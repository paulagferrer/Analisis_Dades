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" sheetId="1" r:id="rId4"/>
    <sheet state="visible" name="Fertirriego" sheetId="2" r:id="rId5"/>
    <sheet state="visible" name="TODO Limpio 23" sheetId="3" r:id="rId6"/>
    <sheet state="visible" name="Rstudio" sheetId="4" r:id="rId7"/>
    <sheet state="visible" name="Rstudio Nacho" sheetId="5" r:id="rId8"/>
    <sheet state="visible" name="Promedios " sheetId="6" r:id="rId9"/>
  </sheets>
  <definedNames/>
  <calcPr/>
  <extLst>
    <ext uri="GoogleSheetsCustomDataVersion2">
      <go:sheetsCustomData xmlns:go="http://customooxmlschemas.google.com/" r:id="rId10" roundtripDataChecksum="lvs8TM1IviFglZPgHqD9i5C6SkGhNUb42zsJ5m6hKN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ID#AAABsNteh40
tc={C3B553AC-6AB5-4EEC-987E-CE3DCE340A3C}    (2025-10-10 08:37:30)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plantas en ROJO se han eliminado!!!
Respuesta:
    Las plantas en VERDE son las que se han eliminado para el experimento de embolismo</t>
      </text>
    </comment>
  </commentList>
  <extLst>
    <ext uri="GoogleSheetsCustomDataVersion2">
      <go:sheetsCustomData xmlns:go="http://customooxmlschemas.google.com/" r:id="rId1" roundtripDataSignature="AMtx7mgx+hZMxiNYpFkf3K4qGeTnJCGQO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ID#AAABsNteh4s
XY    (2025-10-10 08:37:30)
Caudal goteros? 2L/h?</t>
      </text>
    </comment>
  </commentList>
  <extLst>
    <ext uri="GoogleSheetsCustomDataVersion2">
      <go:sheetsCustomData xmlns:go="http://customooxmlschemas.google.com/" r:id="rId1" roundtripDataSignature="AMtx7mgctkss85uiktc5lsMlOLdJ8eOGf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======
ID#AAABwuOV3Lo
tc={3A77F841-1C60-46D4-B946-D5F2F5D11ACA}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Biomasas NO completas. Una es de Poda de sarmientos y otra es de cortar solo un poco de cepellón de raiz
Respuesta:
    Todo ello debido a que las plantas seguían para el año siguiente
Respuesta:
    NO VA POR MOMENTOS HÍDRICOS ES UNA MEDIDA ÚNICA AL FINAL DE TODO</t>
      </text>
    </comment>
    <comment authorId="0" ref="DF1">
      <text>
        <t xml:space="preserve">======
ID#AAABsNteh4o
tc={097E99F6-9071-463A-ADD0-3A8CE3F24A1E}    (2025-10-10 08:37:30)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Biomasas NO completas. Una es de Poda de sarmientos y otra es de cortar solo un poco de cepellón de raiz
Respuesta:
    Todo ello debido a que las plantas seguían para el año siguiente</t>
      </text>
    </comment>
    <comment authorId="0" ref="N1">
      <text>
        <t xml:space="preserve">======
ID#AAABsNteh4k
tc={8AC79C08-38DC-42E9-B38B-7106F8765891}    (2025-10-10 08:37:30)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Clorofila</t>
      </text>
    </comment>
  </commentList>
  <extLst>
    <ext uri="GoogleSheetsCustomDataVersion2">
      <go:sheetsCustomData xmlns:go="http://customooxmlschemas.google.com/" r:id="rId1" roundtripDataSignature="AMtx7mh1NnEzjdQ9nA8jx/xTWmjHoBrlZ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ID#AAABwuOV3LY
tc={9D565F99-18F6-4972-AA13-3FC27C7008B8}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Clorofila</t>
      </text>
    </comment>
    <comment authorId="0" ref="DG1">
      <text>
        <t xml:space="preserve">======
ID#AAABwuOV3LU
tc={811FBC9D-FDFC-45EB-A99B-E2CE196997D8}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Biomasas NO completas. Una es de Poda de sarmientos y otra es de cortar solo un poco de cepellón de raiz
Respuesta:
    Todo ello debido a que las plantas seguían para el año siguiente</t>
      </text>
    </comment>
    <comment authorId="0" ref="T1">
      <text>
        <t xml:space="preserve">======
ID#AAABwuOV3LQ
tc={F54FB502-E1BF-4754-ACDA-432E2AB04206}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Biomasas NO completas. Una es de Poda de sarmientos y otra es de cortar solo un poco de cepellón de raiz
Respuesta:
    Todo ello debido a que las plantas seguían para el año siguiente
Respuesta:
    NO VA POR MOMENTOS HÍDRICOS ES UNA MEDIDA ÚNICA AL FINAL DE TODO</t>
      </text>
    </comment>
  </commentList>
  <extLst>
    <ext uri="GoogleSheetsCustomDataVersion2">
      <go:sheetsCustomData xmlns:go="http://customooxmlschemas.google.com/" r:id="rId1" roundtripDataSignature="AMtx7mispRa3eHJackI3v4izJqYqi4vdZ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F1">
      <text>
        <t xml:space="preserve">======
ID#AAABwuOV3Ls
tc={D8263031-D63B-43D1-B657-971DEA84731F}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Biomasas NO completas. Una es de Poda de sarmientos y otra es de cortar solo un poco de cepellón de raiz
Respuesta:
    Todo ello debido a que las plantas seguían para el año siguiente</t>
      </text>
    </comment>
    <comment authorId="0" ref="S1">
      <text>
        <t xml:space="preserve">======
ID#AAABwuOV3Lk
tc={2A2E14EC-070C-4DF1-AE01-71892FE8B34E}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Biomasas NO completas. Una es de Poda de sarmientos y otra es de cortar solo un poco de cepellón de raiz
Respuesta:
    Todo ello debido a que las plantas seguían para el año siguiente
Respuesta:
    NO VA POR MOMENTOS HÍDRICOS ES UNA MEDIDA ÚNICA AL FINAL DE TODO</t>
      </text>
    </comment>
    <comment authorId="0" ref="N1">
      <text>
        <t xml:space="preserve">======
ID#AAABwuOV3Lc
tc={AF5E71F7-B3B3-42E5-A7BA-5B21780C2587}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Clorofila</t>
      </text>
    </comment>
  </commentList>
  <extLst>
    <ext uri="GoogleSheetsCustomDataVersion2">
      <go:sheetsCustomData xmlns:go="http://customooxmlschemas.google.com/" r:id="rId1" roundtripDataSignature="AMtx7mj9JvA/fzEH9/gK7iLPbvCBC57TG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K13">
      <text>
        <t xml:space="preserve">======
ID#AAABwuOV3Lg
tc={D7C52DCE-A6F1-4A22-9063-EBB90E71B9BF}    (2025-11-25 10:27:13)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muestras del genotipo 12 de tallo
Respuesta:
    Datos medios para que funcione Rstudio</t>
      </text>
    </comment>
  </commentList>
  <extLst>
    <ext uri="GoogleSheetsCustomDataVersion2">
      <go:sheetsCustomData xmlns:go="http://customooxmlschemas.google.com/" r:id="rId1" roundtripDataSignature="AMtx7mil8lX0M/R54x0OKn2MVfu++Uzw1A=="/>
    </ext>
  </extLst>
</comments>
</file>

<file path=xl/sharedStrings.xml><?xml version="1.0" encoding="utf-8"?>
<sst xmlns="http://schemas.openxmlformats.org/spreadsheetml/2006/main" count="8123" uniqueCount="343">
  <si>
    <t>Código</t>
  </si>
  <si>
    <t>Genotipo</t>
  </si>
  <si>
    <t>Réplica</t>
  </si>
  <si>
    <t xml:space="preserve">Plano </t>
  </si>
  <si>
    <t xml:space="preserve">T232- 140 Ru-1 </t>
  </si>
  <si>
    <t>T232- 140Ru</t>
  </si>
  <si>
    <t>R</t>
  </si>
  <si>
    <t xml:space="preserve">T232 - 110R </t>
  </si>
  <si>
    <t>T232- 140 Ru-2</t>
  </si>
  <si>
    <t>T232- 140 Ru-3</t>
  </si>
  <si>
    <t>G435 - SO4</t>
  </si>
  <si>
    <t xml:space="preserve">T232 - SO4 </t>
  </si>
  <si>
    <t>G435 - 110R</t>
  </si>
  <si>
    <t>T232- 140 Ru-4</t>
  </si>
  <si>
    <t>T232- 140 Ru-5</t>
  </si>
  <si>
    <t>T232- 140 Ru-6</t>
  </si>
  <si>
    <t>G435-RG2- 1</t>
  </si>
  <si>
    <t>G435-RG2</t>
  </si>
  <si>
    <t>G435 - RG8</t>
  </si>
  <si>
    <t>G435-RG2- 2</t>
  </si>
  <si>
    <t>T1052 - RG2</t>
  </si>
  <si>
    <t>G435-RG2- 3</t>
  </si>
  <si>
    <t>G15 - RG2</t>
  </si>
  <si>
    <t>G435-RG2- 4</t>
  </si>
  <si>
    <t>T1052 - 110R</t>
  </si>
  <si>
    <t>G435-RG2- 5</t>
  </si>
  <si>
    <t>G15 - 140Ru</t>
  </si>
  <si>
    <t>G435-RG2- 6</t>
  </si>
  <si>
    <t>T1052 - 140Ru</t>
  </si>
  <si>
    <t>T232-RG8-1</t>
  </si>
  <si>
    <t>T232-RG8</t>
  </si>
  <si>
    <t>G435 - 140Ru</t>
  </si>
  <si>
    <t>T232-RG8-2</t>
  </si>
  <si>
    <t>T1052 - RG8</t>
  </si>
  <si>
    <t>T232-RG8-3</t>
  </si>
  <si>
    <t>G15 - SO4</t>
  </si>
  <si>
    <t>T232-RG8-4</t>
  </si>
  <si>
    <t>T232 - 110R</t>
  </si>
  <si>
    <t>T232-RG8-5</t>
  </si>
  <si>
    <t>T232-RG8-6</t>
  </si>
  <si>
    <t>T232 - RG2</t>
  </si>
  <si>
    <t>G435-110R-1</t>
  </si>
  <si>
    <t>G435-110R</t>
  </si>
  <si>
    <t>GEVIS - RG8</t>
  </si>
  <si>
    <t>G435-110R-2</t>
  </si>
  <si>
    <t>T232 - SO4</t>
  </si>
  <si>
    <t>G435-110R-3</t>
  </si>
  <si>
    <t>G15 - 110R</t>
  </si>
  <si>
    <t>G435-110R-4</t>
  </si>
  <si>
    <t>T1052 - SO4</t>
  </si>
  <si>
    <t>G435-110R-5</t>
  </si>
  <si>
    <t>G435-110R-6</t>
  </si>
  <si>
    <t>T232 - RG8</t>
  </si>
  <si>
    <t>T1052- SO4-1</t>
  </si>
  <si>
    <t>T1052- SO4</t>
  </si>
  <si>
    <t>G435 - RG2</t>
  </si>
  <si>
    <t>T1052- SO4-2</t>
  </si>
  <si>
    <t>T232 - 140Ru</t>
  </si>
  <si>
    <t>T1052- SO4-3</t>
  </si>
  <si>
    <t>T1052- SO4-4</t>
  </si>
  <si>
    <t>Número de planta por fila</t>
  </si>
  <si>
    <t>Portainjerto-nº réplica</t>
  </si>
  <si>
    <t>T1052- SO4-5</t>
  </si>
  <si>
    <t>T1052- SO4-6</t>
  </si>
  <si>
    <t>G15-110R-1</t>
  </si>
  <si>
    <t>G15-110R</t>
  </si>
  <si>
    <t>INVERNADERO</t>
  </si>
  <si>
    <t>G15-110R-2</t>
  </si>
  <si>
    <t>G15-110R-3</t>
  </si>
  <si>
    <t>G15-110R-4</t>
  </si>
  <si>
    <t>G15-110R-5</t>
  </si>
  <si>
    <t>G15-110R-6</t>
  </si>
  <si>
    <t>T232- SO4-1</t>
  </si>
  <si>
    <t>T232- SO4</t>
  </si>
  <si>
    <t>T232- SO4-2</t>
  </si>
  <si>
    <t>T232- SO4-3</t>
  </si>
  <si>
    <t>T232- SO4-4</t>
  </si>
  <si>
    <t>T232- SO4-5</t>
  </si>
  <si>
    <t>T232- SO4-6</t>
  </si>
  <si>
    <t>G15- RG8-1</t>
  </si>
  <si>
    <t>G15- RG8</t>
  </si>
  <si>
    <t>G15- RG8-2</t>
  </si>
  <si>
    <t>G15- RG8-3</t>
  </si>
  <si>
    <t>G15- RG8-4</t>
  </si>
  <si>
    <t>G15- RG8-5</t>
  </si>
  <si>
    <t>G15- RG8-6</t>
  </si>
  <si>
    <t>T232-RG2-1</t>
  </si>
  <si>
    <t>T232-RG2</t>
  </si>
  <si>
    <t>T232-RG2-2</t>
  </si>
  <si>
    <t>T232-RG2-3</t>
  </si>
  <si>
    <t>T232-RG2-4</t>
  </si>
  <si>
    <t>T232-RG2-5</t>
  </si>
  <si>
    <t>T232-RG2-6</t>
  </si>
  <si>
    <t>G435-SO4-1</t>
  </si>
  <si>
    <t>G435-SO4</t>
  </si>
  <si>
    <t>G435-SO4-2</t>
  </si>
  <si>
    <t>G435-SO4-3</t>
  </si>
  <si>
    <t>G435-SO4-4</t>
  </si>
  <si>
    <t>G435-SO4-5</t>
  </si>
  <si>
    <t>G435-SO4-6</t>
  </si>
  <si>
    <t>T232-110R-1</t>
  </si>
  <si>
    <t>T232-110R</t>
  </si>
  <si>
    <t>T232-110R-2</t>
  </si>
  <si>
    <t>T232-110R-3</t>
  </si>
  <si>
    <t>T232-110R-4</t>
  </si>
  <si>
    <t>T232-110R-5</t>
  </si>
  <si>
    <t>T232-110R-6</t>
  </si>
  <si>
    <t>G15- SO4-1</t>
  </si>
  <si>
    <t>G15- SO4</t>
  </si>
  <si>
    <t>G15- SO4-2</t>
  </si>
  <si>
    <t>G15- SO4-3</t>
  </si>
  <si>
    <t>G15- SO4-4</t>
  </si>
  <si>
    <t>G15- SO4-5</t>
  </si>
  <si>
    <t>G15- SO4-6</t>
  </si>
  <si>
    <t>T1052- RG8-1</t>
  </si>
  <si>
    <t>T1052- RG8</t>
  </si>
  <si>
    <t>T1052- RG8-2</t>
  </si>
  <si>
    <t>T1052- RG8-3</t>
  </si>
  <si>
    <t>T1052- RG8-4</t>
  </si>
  <si>
    <t>T1052- RG8-5</t>
  </si>
  <si>
    <t>T1052- RG8-6</t>
  </si>
  <si>
    <t>G435- 140Ru-1</t>
  </si>
  <si>
    <t>G435- 140Ru</t>
  </si>
  <si>
    <t>G435- 140Ru-2</t>
  </si>
  <si>
    <t>G435- 140Ru-3</t>
  </si>
  <si>
    <t>G435- 140Ru-4</t>
  </si>
  <si>
    <t>G435- 140Ru-5</t>
  </si>
  <si>
    <t>G435- 140Ru-6</t>
  </si>
  <si>
    <t>T1052- 140Ru-1</t>
  </si>
  <si>
    <t>T1052- 140Ru</t>
  </si>
  <si>
    <t>T1052- 140Ru-2</t>
  </si>
  <si>
    <t>T1052- 140Ru-3</t>
  </si>
  <si>
    <t>T1052- 140Ru-4</t>
  </si>
  <si>
    <t>T1052- 140Ru-5</t>
  </si>
  <si>
    <t>T1052- 140Ru-6</t>
  </si>
  <si>
    <t>G15- 140Ru-1</t>
  </si>
  <si>
    <t>G15- 140Ru</t>
  </si>
  <si>
    <t>G15- 140Ru-2</t>
  </si>
  <si>
    <t>G15- 140Ru-3</t>
  </si>
  <si>
    <t>G15- 140Ru-4</t>
  </si>
  <si>
    <t>G15- 140Ru-5</t>
  </si>
  <si>
    <t>G15- 140Ru-6</t>
  </si>
  <si>
    <t>T1052- 110R-1</t>
  </si>
  <si>
    <t>T1052- 110R</t>
  </si>
  <si>
    <t>T1052- 110R-2</t>
  </si>
  <si>
    <t>T1052- 110R-3</t>
  </si>
  <si>
    <t>T1052- 110R-4</t>
  </si>
  <si>
    <t>T1052- 110R-5</t>
  </si>
  <si>
    <t>T1052- 110R-6</t>
  </si>
  <si>
    <t>G15-RG2-1</t>
  </si>
  <si>
    <t>G15-RG2</t>
  </si>
  <si>
    <t>G15-RG2-2</t>
  </si>
  <si>
    <t>G15-RG2-3</t>
  </si>
  <si>
    <t>G15-RG2-4</t>
  </si>
  <si>
    <t>G15-RG2-5</t>
  </si>
  <si>
    <t>G15-RG2-6</t>
  </si>
  <si>
    <t>T1052- RG2-1</t>
  </si>
  <si>
    <t>T1052- RG2</t>
  </si>
  <si>
    <t>T1052- RG2-2</t>
  </si>
  <si>
    <t>T1052- RG2-3</t>
  </si>
  <si>
    <t>T1052- RG2-4</t>
  </si>
  <si>
    <t>T1052- RG2-5</t>
  </si>
  <si>
    <t>T1052- RG2-6</t>
  </si>
  <si>
    <t>G435- RG8-1</t>
  </si>
  <si>
    <t>G435- RG8</t>
  </si>
  <si>
    <t>G435- RG8-2</t>
  </si>
  <si>
    <t>G435- RG8-3</t>
  </si>
  <si>
    <t>G435- RG8-4</t>
  </si>
  <si>
    <t>G435- RG8-5</t>
  </si>
  <si>
    <t>G435- RG8-6</t>
  </si>
  <si>
    <t>Fecha</t>
  </si>
  <si>
    <t>Tiempo de riego (minutos)</t>
  </si>
  <si>
    <t>Contador</t>
  </si>
  <si>
    <t>DÍas semana</t>
  </si>
  <si>
    <t>Abono</t>
  </si>
  <si>
    <t>boquillas</t>
  </si>
  <si>
    <t>Fila</t>
  </si>
  <si>
    <t>Conductancia mg/l</t>
  </si>
  <si>
    <t>TºC</t>
  </si>
  <si>
    <t>Diferencia 0,2 venturi</t>
  </si>
  <si>
    <t>Tratamiento productos</t>
  </si>
  <si>
    <t>?</t>
  </si>
  <si>
    <t>2 dias semana</t>
  </si>
  <si>
    <t>2l</t>
  </si>
  <si>
    <t>1.1</t>
  </si>
  <si>
    <t>22.4</t>
  </si>
  <si>
    <t>leimay 80cl</t>
  </si>
  <si>
    <t>100l</t>
  </si>
  <si>
    <t xml:space="preserve">Fila 3: 00158,162 </t>
  </si>
  <si>
    <t>1.2</t>
  </si>
  <si>
    <t>22.5</t>
  </si>
  <si>
    <t>dorado 45ml</t>
  </si>
  <si>
    <t>120l</t>
  </si>
  <si>
    <t xml:space="preserve">Fila 2: 00076,397 </t>
  </si>
  <si>
    <t>2.1</t>
  </si>
  <si>
    <t>triac 120ml</t>
  </si>
  <si>
    <t>Fila 1: 00111,637</t>
  </si>
  <si>
    <t>2.2</t>
  </si>
  <si>
    <t>22.6</t>
  </si>
  <si>
    <t xml:space="preserve"> Triac</t>
  </si>
  <si>
    <t>225 ml.</t>
  </si>
  <si>
    <t>-</t>
  </si>
  <si>
    <t>3.1</t>
  </si>
  <si>
    <t>Leimay</t>
  </si>
  <si>
    <t>150 ml.</t>
  </si>
  <si>
    <t>3 dias semana</t>
  </si>
  <si>
    <t>3.2</t>
  </si>
  <si>
    <t>23.1</t>
  </si>
  <si>
    <t xml:space="preserve">Dorado </t>
  </si>
  <si>
    <t>45 ml</t>
  </si>
  <si>
    <t>4 dias semana</t>
  </si>
  <si>
    <t>23.2</t>
  </si>
  <si>
    <t xml:space="preserve"> Prolectus, N8</t>
  </si>
  <si>
    <t>150 gr</t>
  </si>
  <si>
    <t>3 regadas mangera</t>
  </si>
  <si>
    <t>Portainjerto</t>
  </si>
  <si>
    <t>Clon</t>
  </si>
  <si>
    <t>Variedad</t>
  </si>
  <si>
    <t>AN</t>
  </si>
  <si>
    <t>gs</t>
  </si>
  <si>
    <t>E</t>
  </si>
  <si>
    <t>WUEi</t>
  </si>
  <si>
    <t>Ypd</t>
  </si>
  <si>
    <t>Ymd</t>
  </si>
  <si>
    <t>Ymd - Ypd</t>
  </si>
  <si>
    <t>Chl</t>
  </si>
  <si>
    <t>Kroot-stem</t>
  </si>
  <si>
    <t>Kplant</t>
  </si>
  <si>
    <t>Ap. Hojas</t>
  </si>
  <si>
    <t>Área Foliar (cm2)</t>
  </si>
  <si>
    <t>Peso Madera Poda (g)</t>
  </si>
  <si>
    <t>Peso Raíz (g)</t>
  </si>
  <si>
    <t>WW1</t>
  </si>
  <si>
    <t>WS2</t>
  </si>
  <si>
    <t>WS3</t>
  </si>
  <si>
    <t>R1</t>
  </si>
  <si>
    <t>R2</t>
  </si>
  <si>
    <t>Única medida</t>
  </si>
  <si>
    <t>140 Ru</t>
  </si>
  <si>
    <t>T232</t>
  </si>
  <si>
    <t>Tempranillo</t>
  </si>
  <si>
    <t>T232-140Ru</t>
  </si>
  <si>
    <t>T1052-SO4</t>
  </si>
  <si>
    <t>T232-SO4</t>
  </si>
  <si>
    <t>RG8</t>
  </si>
  <si>
    <t>G15-RG8</t>
  </si>
  <si>
    <t>G15-SO4</t>
  </si>
  <si>
    <t>T1052-RG8</t>
  </si>
  <si>
    <t>G435-140Ru</t>
  </si>
  <si>
    <t>110R</t>
  </si>
  <si>
    <t>G435</t>
  </si>
  <si>
    <t>Garnacha</t>
  </si>
  <si>
    <t>T1052-140Ru</t>
  </si>
  <si>
    <t>G15-140Ru</t>
  </si>
  <si>
    <t>T1052-110R</t>
  </si>
  <si>
    <t>G435-RG8</t>
  </si>
  <si>
    <t>SO4</t>
  </si>
  <si>
    <t>T1052</t>
  </si>
  <si>
    <t>G15</t>
  </si>
  <si>
    <t>Replica</t>
  </si>
  <si>
    <t>Planta</t>
  </si>
  <si>
    <t>DifY</t>
  </si>
  <si>
    <t>Kroot</t>
  </si>
  <si>
    <t>Hojas</t>
  </si>
  <si>
    <t>Afoliar</t>
  </si>
  <si>
    <t>BioPoda</t>
  </si>
  <si>
    <t>BioRaiz</t>
  </si>
  <si>
    <t>CoBio</t>
  </si>
  <si>
    <t>AeBio</t>
  </si>
  <si>
    <t>RaizBio</t>
  </si>
  <si>
    <t>EstSize</t>
  </si>
  <si>
    <t>EstDen</t>
  </si>
  <si>
    <t>RDxil</t>
  </si>
  <si>
    <t>RDenXil</t>
  </si>
  <si>
    <t>TDxil</t>
  </si>
  <si>
    <t>TDenXil</t>
  </si>
  <si>
    <t>WW</t>
  </si>
  <si>
    <t>WS1</t>
  </si>
  <si>
    <t>Efi</t>
  </si>
  <si>
    <t>Efi-140Ru</t>
  </si>
  <si>
    <t>Efi-RG8</t>
  </si>
  <si>
    <t>Efi-110R</t>
  </si>
  <si>
    <t>Inefi</t>
  </si>
  <si>
    <t>Inefi-SO4</t>
  </si>
  <si>
    <t>Inefi-110R</t>
  </si>
  <si>
    <t>Efi-SO4</t>
  </si>
  <si>
    <t>Inefi-RG8</t>
  </si>
  <si>
    <t>Inefi-140Ru</t>
  </si>
  <si>
    <t>AN WW1</t>
  </si>
  <si>
    <t>AN WS2</t>
  </si>
  <si>
    <t>AN WS3</t>
  </si>
  <si>
    <t>AN R1</t>
  </si>
  <si>
    <t>AN R2</t>
  </si>
  <si>
    <t>gs WW1</t>
  </si>
  <si>
    <t>gs WS2</t>
  </si>
  <si>
    <t>gs WS3</t>
  </si>
  <si>
    <t>gs R1</t>
  </si>
  <si>
    <t>gs R2</t>
  </si>
  <si>
    <t>E WW1</t>
  </si>
  <si>
    <t>E WS2</t>
  </si>
  <si>
    <t>E WS3</t>
  </si>
  <si>
    <t>E R1</t>
  </si>
  <si>
    <t>E R2</t>
  </si>
  <si>
    <t>WUEi WW1</t>
  </si>
  <si>
    <t>WUEi WS2</t>
  </si>
  <si>
    <t>WUEi WS3</t>
  </si>
  <si>
    <t>WUEi R1</t>
  </si>
  <si>
    <t>WUEi R2</t>
  </si>
  <si>
    <t>Ypd WW1</t>
  </si>
  <si>
    <t>Ypd WS2</t>
  </si>
  <si>
    <t>Ypd WS3</t>
  </si>
  <si>
    <t>Ypd R1</t>
  </si>
  <si>
    <t>Ypd R2</t>
  </si>
  <si>
    <t>Ymd WW1</t>
  </si>
  <si>
    <t>Ymd WS2</t>
  </si>
  <si>
    <t>Ymd WS3</t>
  </si>
  <si>
    <t>Ymd R1</t>
  </si>
  <si>
    <t>Ymd R2</t>
  </si>
  <si>
    <t>DifY WW1</t>
  </si>
  <si>
    <t>DifY WS2</t>
  </si>
  <si>
    <t>DifY WS3</t>
  </si>
  <si>
    <t>DifY R1</t>
  </si>
  <si>
    <t>DifY R2</t>
  </si>
  <si>
    <t>Kroot WW1</t>
  </si>
  <si>
    <t>Kroot WS2</t>
  </si>
  <si>
    <t>Kroot WS3</t>
  </si>
  <si>
    <t>Kroot R1</t>
  </si>
  <si>
    <t>Kroot R2</t>
  </si>
  <si>
    <t>Kplant WW1</t>
  </si>
  <si>
    <t>Kplant WS2</t>
  </si>
  <si>
    <t>Kplant WS3</t>
  </si>
  <si>
    <t>Kplant R1</t>
  </si>
  <si>
    <t>Kplant R2</t>
  </si>
  <si>
    <t>Hojas WW1</t>
  </si>
  <si>
    <t>HojasWS2</t>
  </si>
  <si>
    <t>Hojas WS3</t>
  </si>
  <si>
    <t>Hojas R1</t>
  </si>
  <si>
    <t>Hojas R2</t>
  </si>
  <si>
    <t>Afoliar WW1</t>
  </si>
  <si>
    <t>Afoliar WS2</t>
  </si>
  <si>
    <t>Afoliar WS3</t>
  </si>
  <si>
    <t>Afoliar R1</t>
  </si>
  <si>
    <t>Afoliar 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</si>
</sst>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11.0"/>
      <color theme="1"/>
      <name val="Aptos Narrow"/>
    </font>
    <font>
      <color theme="1"/>
      <name val="Aptos Narrow"/>
      <scheme val="minor"/>
    </font>
    <font>
      <sz val="11.0"/>
      <color rgb="FF444444"/>
      <name val="Calibri"/>
    </font>
    <font>
      <sz val="11.0"/>
      <color rgb="FF444444"/>
      <name val="Aptos Narrow"/>
    </font>
    <font>
      <sz val="11.0"/>
      <color rgb="FF000000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C1F0C8"/>
        <bgColor rgb="FFC1F0C8"/>
      </patternFill>
    </fill>
  </fills>
  <borders count="55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0" fillId="0" fontId="1" numFmtId="0" xfId="0" applyAlignment="1" applyFont="1">
      <alignment horizontal="center" vertical="center"/>
    </xf>
    <xf borderId="3" fillId="0" fontId="3" numFmtId="0" xfId="0" applyBorder="1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4" fillId="0" fontId="2" numFmtId="0" xfId="0" applyBorder="1" applyFont="1"/>
    <xf borderId="0" fillId="0" fontId="4" numFmtId="0" xfId="0" applyFont="1"/>
    <xf borderId="0" fillId="0" fontId="5" numFmtId="0" xfId="0" applyFont="1"/>
    <xf borderId="5" fillId="0" fontId="1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/>
    </xf>
    <xf borderId="7" fillId="2" fontId="1" numFmtId="0" xfId="0" applyAlignment="1" applyBorder="1" applyFont="1">
      <alignment horizontal="center"/>
    </xf>
    <xf borderId="8" fillId="3" fontId="1" numFmtId="0" xfId="0" applyAlignment="1" applyBorder="1" applyFill="1" applyFont="1">
      <alignment horizontal="center"/>
    </xf>
    <xf borderId="7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9" fillId="0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4" fontId="1" numFmtId="0" xfId="0" applyAlignment="1" applyBorder="1" applyFill="1" applyFont="1">
      <alignment horizontal="center"/>
    </xf>
    <xf borderId="11" fillId="4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2" fillId="5" fontId="1" numFmtId="0" xfId="0" applyAlignment="1" applyBorder="1" applyFill="1" applyFont="1">
      <alignment horizontal="center"/>
    </xf>
    <xf borderId="11" fillId="5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vertical="center"/>
    </xf>
    <xf borderId="8" fillId="6" fontId="1" numFmtId="0" xfId="0" applyAlignment="1" applyBorder="1" applyFill="1" applyFont="1">
      <alignment horizontal="center"/>
    </xf>
    <xf borderId="7" fillId="6" fontId="1" numFmtId="0" xfId="0" applyAlignment="1" applyBorder="1" applyFont="1">
      <alignment horizontal="center"/>
    </xf>
    <xf borderId="8" fillId="6" fontId="1" numFmtId="0" xfId="0" applyAlignment="1" applyBorder="1" applyFont="1">
      <alignment horizontal="center" vertical="center"/>
    </xf>
    <xf borderId="7" fillId="6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2" fillId="5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/>
    </xf>
    <xf borderId="11" fillId="6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/>
    </xf>
    <xf borderId="7" fillId="5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10" fillId="7" fontId="1" numFmtId="0" xfId="0" applyBorder="1" applyFill="1" applyFont="1"/>
    <xf borderId="2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22" fillId="0" fontId="3" numFmtId="0" xfId="0" applyBorder="1" applyFont="1"/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/>
    </xf>
    <xf borderId="20" fillId="0" fontId="2" numFmtId="0" xfId="0" applyBorder="1" applyFont="1"/>
    <xf borderId="25" fillId="0" fontId="1" numFmtId="164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vertical="center"/>
    </xf>
    <xf borderId="29" fillId="0" fontId="1" numFmtId="0" xfId="0" applyBorder="1" applyFont="1"/>
    <xf borderId="31" fillId="0" fontId="1" numFmtId="0" xfId="0" applyBorder="1" applyFont="1"/>
    <xf borderId="28" fillId="0" fontId="1" numFmtId="164" xfId="0" applyAlignment="1" applyBorder="1" applyFont="1" applyNumberForma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vertical="center"/>
    </xf>
    <xf borderId="26" fillId="0" fontId="2" numFmtId="0" xfId="0" applyBorder="1" applyFont="1"/>
    <xf borderId="35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4" fontId="1" numFmtId="0" xfId="0" applyAlignment="1" applyBorder="1" applyFont="1">
      <alignment horizontal="center" vertical="center"/>
    </xf>
    <xf borderId="35" fillId="0" fontId="1" numFmtId="0" xfId="0" applyBorder="1" applyFont="1"/>
    <xf borderId="36" fillId="0" fontId="1" numFmtId="0" xfId="0" applyBorder="1" applyFont="1"/>
    <xf borderId="25" fillId="0" fontId="2" numFmtId="0" xfId="0" applyBorder="1" applyFont="1"/>
    <xf borderId="38" fillId="0" fontId="1" numFmtId="0" xfId="0" applyBorder="1" applyFont="1"/>
    <xf borderId="39" fillId="0" fontId="1" numFmtId="0" xfId="0" applyBorder="1" applyFont="1"/>
    <xf borderId="30" fillId="0" fontId="2" numFmtId="0" xfId="0" applyBorder="1" applyFont="1"/>
    <xf borderId="27" fillId="0" fontId="2" numFmtId="0" xfId="0" applyBorder="1" applyFont="1"/>
    <xf borderId="40" fillId="0" fontId="1" numFmtId="0" xfId="0" applyBorder="1" applyFont="1"/>
    <xf borderId="41" fillId="0" fontId="1" numFmtId="0" xfId="0" applyBorder="1" applyFont="1"/>
    <xf borderId="5" fillId="0" fontId="1" numFmtId="164" xfId="0" applyBorder="1" applyFont="1" applyNumberFormat="1"/>
    <xf borderId="33" fillId="0" fontId="1" numFmtId="164" xfId="0" applyBorder="1" applyFont="1" applyNumberFormat="1"/>
    <xf borderId="42" fillId="0" fontId="1" numFmtId="0" xfId="0" applyBorder="1" applyFont="1"/>
    <xf borderId="42" fillId="0" fontId="1" numFmtId="0" xfId="0" applyAlignment="1" applyBorder="1" applyFont="1">
      <alignment horizontal="center" vertical="center"/>
    </xf>
    <xf borderId="9" fillId="0" fontId="1" numFmtId="164" xfId="0" applyBorder="1" applyFont="1" applyNumberFormat="1"/>
    <xf borderId="28" fillId="0" fontId="1" numFmtId="164" xfId="0" applyBorder="1" applyFont="1" applyNumberFormat="1"/>
    <xf borderId="34" fillId="0" fontId="1" numFmtId="0" xfId="0" applyBorder="1" applyFont="1"/>
    <xf borderId="43" fillId="4" fontId="1" numFmtId="0" xfId="0" applyAlignment="1" applyBorder="1" applyFont="1">
      <alignment horizontal="center" vertical="center"/>
    </xf>
    <xf borderId="33" fillId="0" fontId="1" numFmtId="0" xfId="0" applyBorder="1" applyFont="1"/>
    <xf borderId="4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44" fillId="0" fontId="1" numFmtId="0" xfId="0" applyBorder="1" applyFont="1"/>
    <xf borderId="45" fillId="0" fontId="1" numFmtId="0" xfId="0" applyBorder="1" applyFont="1"/>
    <xf borderId="13" fillId="0" fontId="1" numFmtId="164" xfId="0" applyBorder="1" applyFont="1" applyNumberFormat="1"/>
    <xf borderId="33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46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20" fillId="0" fontId="3" numFmtId="0" xfId="0" applyBorder="1" applyFont="1"/>
    <xf borderId="5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5" fillId="0" fontId="3" numFmtId="0" xfId="0" applyBorder="1" applyFont="1"/>
    <xf borderId="1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1" numFmtId="0" xfId="0" applyBorder="1" applyFont="1"/>
    <xf borderId="6" fillId="8" fontId="1" numFmtId="16" xfId="0" applyAlignment="1" applyBorder="1" applyFill="1" applyFont="1" applyNumberFormat="1">
      <alignment horizontal="center"/>
    </xf>
    <xf borderId="4" fillId="0" fontId="7" numFmtId="2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47" fillId="0" fontId="1" numFmtId="165" xfId="0" applyAlignment="1" applyBorder="1" applyFont="1" applyNumberFormat="1">
      <alignment horizontal="center"/>
    </xf>
    <xf borderId="47" fillId="0" fontId="1" numFmtId="2" xfId="0" applyAlignment="1" applyBorder="1" applyFont="1" applyNumberFormat="1">
      <alignment horizontal="center"/>
    </xf>
    <xf borderId="15" fillId="0" fontId="1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1" fillId="0" fontId="1" numFmtId="2" xfId="0" applyBorder="1" applyFont="1" applyNumberFormat="1"/>
    <xf borderId="4" fillId="0" fontId="1" numFmtId="2" xfId="0" applyBorder="1" applyFont="1" applyNumberFormat="1"/>
    <xf borderId="2" fillId="0" fontId="1" numFmtId="2" xfId="0" applyBorder="1" applyFont="1" applyNumberFormat="1"/>
    <xf borderId="5" fillId="0" fontId="1" numFmtId="0" xfId="0" applyAlignment="1" applyBorder="1" applyFont="1">
      <alignment horizontal="center"/>
    </xf>
    <xf borderId="5" fillId="0" fontId="1" numFmtId="2" xfId="0" applyAlignment="1" applyBorder="1" applyFont="1" applyNumberFormat="1">
      <alignment horizontal="right"/>
    </xf>
    <xf borderId="5" fillId="0" fontId="1" numFmtId="2" xfId="0" applyBorder="1" applyFont="1" applyNumberFormat="1"/>
    <xf borderId="1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0" fillId="8" fontId="1" numFmtId="16" xfId="0" applyAlignment="1" applyBorder="1" applyFont="1" applyNumberFormat="1">
      <alignment horizontal="center"/>
    </xf>
    <xf borderId="0" fillId="0" fontId="7" numFmtId="2" xfId="0" applyAlignment="1" applyFont="1" applyNumberFormat="1">
      <alignment horizontal="center"/>
    </xf>
    <xf borderId="14" fillId="0" fontId="1" numFmtId="2" xfId="0" applyBorder="1" applyFont="1" applyNumberFormat="1"/>
    <xf borderId="0" fillId="0" fontId="1" numFmtId="2" xfId="0" applyFont="1" applyNumberFormat="1"/>
    <xf borderId="15" fillId="0" fontId="1" numFmtId="2" xfId="0" applyBorder="1" applyFont="1" applyNumberFormat="1"/>
    <xf borderId="9" fillId="0" fontId="1" numFmtId="0" xfId="0" applyAlignment="1" applyBorder="1" applyFont="1">
      <alignment horizontal="center"/>
    </xf>
    <xf borderId="9" fillId="0" fontId="1" numFmtId="2" xfId="0" applyAlignment="1" applyBorder="1" applyFont="1" applyNumberFormat="1">
      <alignment horizontal="right"/>
    </xf>
    <xf borderId="9" fillId="0" fontId="1" numFmtId="2" xfId="0" applyBorder="1" applyFont="1" applyNumberFormat="1"/>
    <xf borderId="48" fillId="0" fontId="1" numFmtId="0" xfId="0" applyAlignment="1" applyBorder="1" applyFont="1">
      <alignment horizontal="center"/>
    </xf>
    <xf borderId="49" fillId="0" fontId="1" numFmtId="2" xfId="0" applyAlignment="1" applyBorder="1" applyFont="1" applyNumberFormat="1">
      <alignment horizontal="center"/>
    </xf>
    <xf borderId="50" fillId="0" fontId="1" numFmtId="2" xfId="0" applyAlignment="1" applyBorder="1" applyFont="1" applyNumberFormat="1">
      <alignment horizontal="center"/>
    </xf>
    <xf borderId="48" fillId="0" fontId="1" numFmtId="2" xfId="0" applyBorder="1" applyFont="1" applyNumberFormat="1"/>
    <xf borderId="49" fillId="0" fontId="1" numFmtId="2" xfId="0" applyBorder="1" applyFont="1" applyNumberFormat="1"/>
    <xf borderId="50" fillId="0" fontId="1" numFmtId="2" xfId="0" applyBorder="1" applyFont="1" applyNumberFormat="1"/>
    <xf borderId="13" fillId="0" fontId="1" numFmtId="0" xfId="0" applyAlignment="1" applyBorder="1" applyFont="1">
      <alignment horizontal="center"/>
    </xf>
    <xf borderId="13" fillId="0" fontId="1" numFmtId="2" xfId="0" applyAlignment="1" applyBorder="1" applyFont="1" applyNumberFormat="1">
      <alignment horizontal="right"/>
    </xf>
    <xf borderId="13" fillId="0" fontId="1" numFmtId="2" xfId="0" applyBorder="1" applyFont="1" applyNumberFormat="1"/>
    <xf borderId="48" fillId="0" fontId="6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right"/>
    </xf>
    <xf borderId="51" fillId="8" fontId="1" numFmtId="16" xfId="0" applyAlignment="1" applyBorder="1" applyFont="1" applyNumberFormat="1">
      <alignment horizontal="center"/>
    </xf>
    <xf borderId="49" fillId="0" fontId="7" numFmtId="2" xfId="0" applyAlignment="1" applyBorder="1" applyFont="1" applyNumberFormat="1">
      <alignment horizontal="center"/>
    </xf>
    <xf borderId="49" fillId="0" fontId="1" numFmtId="165" xfId="0" applyAlignment="1" applyBorder="1" applyFont="1" applyNumberFormat="1">
      <alignment horizontal="center"/>
    </xf>
    <xf borderId="52" fillId="0" fontId="1" numFmtId="165" xfId="0" applyAlignment="1" applyBorder="1" applyFont="1" applyNumberFormat="1">
      <alignment horizontal="center"/>
    </xf>
    <xf borderId="6" fillId="9" fontId="1" numFmtId="0" xfId="0" applyAlignment="1" applyBorder="1" applyFill="1" applyFont="1">
      <alignment horizontal="center"/>
    </xf>
    <xf borderId="15" fillId="0" fontId="1" numFmtId="0" xfId="0" applyBorder="1" applyFont="1"/>
    <xf borderId="10" fillId="9" fontId="1" numFmtId="0" xfId="0" applyAlignment="1" applyBorder="1" applyFont="1">
      <alignment horizontal="center"/>
    </xf>
    <xf borderId="51" fillId="9" fontId="1" numFmtId="0" xfId="0" applyAlignment="1" applyBorder="1" applyFont="1">
      <alignment horizontal="center"/>
    </xf>
    <xf borderId="6" fillId="10" fontId="1" numFmtId="0" xfId="0" applyAlignment="1" applyBorder="1" applyFill="1" applyFont="1">
      <alignment horizontal="center"/>
    </xf>
    <xf borderId="10" fillId="10" fontId="1" numFmtId="0" xfId="0" applyAlignment="1" applyBorder="1" applyFont="1">
      <alignment horizontal="center"/>
    </xf>
    <xf borderId="51" fillId="10" fontId="1" numFmtId="0" xfId="0" applyAlignment="1" applyBorder="1" applyFont="1">
      <alignment horizontal="center"/>
    </xf>
    <xf borderId="6" fillId="11" fontId="1" numFmtId="0" xfId="0" applyAlignment="1" applyBorder="1" applyFill="1" applyFont="1">
      <alignment horizontal="center"/>
    </xf>
    <xf borderId="10" fillId="11" fontId="1" numFmtId="0" xfId="0" applyAlignment="1" applyBorder="1" applyFont="1">
      <alignment horizontal="center"/>
    </xf>
    <xf borderId="51" fillId="11" fontId="1" numFmtId="0" xfId="0" applyAlignment="1" applyBorder="1" applyFont="1">
      <alignment horizontal="center"/>
    </xf>
    <xf borderId="6" fillId="12" fontId="1" numFmtId="0" xfId="0" applyAlignment="1" applyBorder="1" applyFill="1" applyFont="1">
      <alignment horizontal="center"/>
    </xf>
    <xf borderId="10" fillId="12" fontId="1" numFmtId="0" xfId="0" applyAlignment="1" applyBorder="1" applyFont="1">
      <alignment horizontal="center"/>
    </xf>
    <xf borderId="51" fillId="12" fontId="1" numFmtId="0" xfId="0" applyAlignment="1" applyBorder="1" applyFont="1">
      <alignment horizontal="center"/>
    </xf>
    <xf borderId="52" fillId="0" fontId="1" numFmtId="2" xfId="0" applyAlignment="1" applyBorder="1" applyFont="1" applyNumberFormat="1">
      <alignment horizontal="center"/>
    </xf>
    <xf borderId="49" fillId="0" fontId="1" numFmtId="0" xfId="0" applyAlignment="1" applyBorder="1" applyFont="1">
      <alignment horizontal="center"/>
    </xf>
    <xf borderId="50" fillId="0" fontId="1" numFmtId="0" xfId="0" applyBorder="1" applyFont="1"/>
    <xf borderId="14" fillId="0" fontId="1" numFmtId="0" xfId="0" applyBorder="1" applyFont="1"/>
    <xf borderId="47" fillId="0" fontId="1" numFmtId="0" xfId="0" applyBorder="1" applyFont="1"/>
    <xf borderId="47" fillId="0" fontId="1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4" fillId="0" fontId="9" numFmtId="0" xfId="0" applyAlignment="1" applyBorder="1" applyFont="1">
      <alignment readingOrder="0"/>
    </xf>
    <xf borderId="8" fillId="13" fontId="1" numFmtId="4" xfId="0" applyAlignment="1" applyBorder="1" applyFill="1" applyFont="1" applyNumberFormat="1">
      <alignment horizontal="center"/>
    </xf>
    <xf borderId="5" fillId="0" fontId="1" numFmtId="4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2" fillId="13" fontId="1" numFmtId="4" xfId="0" applyAlignment="1" applyBorder="1" applyFont="1" applyNumberFormat="1">
      <alignment horizontal="center"/>
    </xf>
    <xf borderId="9" fillId="0" fontId="1" numFmtId="4" xfId="0" applyAlignment="1" applyBorder="1" applyFont="1" applyNumberFormat="1">
      <alignment horizontal="center"/>
    </xf>
    <xf borderId="53" fillId="13" fontId="1" numFmtId="4" xfId="0" applyAlignment="1" applyBorder="1" applyFont="1" applyNumberFormat="1">
      <alignment horizontal="center"/>
    </xf>
    <xf borderId="14" fillId="0" fontId="1" numFmtId="4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 vertical="center"/>
    </xf>
    <xf borderId="54" fillId="14" fontId="1" numFmtId="4" xfId="0" applyAlignment="1" applyBorder="1" applyFill="1" applyFont="1" applyNumberFormat="1">
      <alignment horizontal="center"/>
    </xf>
    <xf borderId="48" fillId="0" fontId="1" numFmtId="4" xfId="0" applyAlignment="1" applyBorder="1" applyFont="1" applyNumberFormat="1">
      <alignment horizontal="center"/>
    </xf>
    <xf borderId="19" fillId="0" fontId="1" numFmtId="4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1" fillId="0" fontId="1" numFmtId="4" xfId="0" applyAlignment="1" applyBorder="1" applyFont="1" applyNumberFormat="1">
      <alignment horizontal="center"/>
    </xf>
    <xf borderId="13" fillId="0" fontId="1" numFmtId="4" xfId="0" applyAlignment="1" applyBorder="1" applyFont="1" applyNumberFormat="1">
      <alignment horizontal="center"/>
    </xf>
    <xf borderId="49" fillId="0" fontId="1" numFmtId="1" xfId="0" applyAlignment="1" applyBorder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2</xdr:row>
      <xdr:rowOff>76200</xdr:rowOff>
    </xdr:from>
    <xdr:ext cx="438150" cy="5200650"/>
    <xdr:sp>
      <xdr:nvSpPr>
        <xdr:cNvPr id="3" name="Shape 3"/>
        <xdr:cNvSpPr/>
      </xdr:nvSpPr>
      <xdr:spPr>
        <a:xfrm>
          <a:off x="5136450" y="1189200"/>
          <a:ext cx="419100" cy="5181600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F465E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219075</xdr:colOff>
      <xdr:row>2</xdr:row>
      <xdr:rowOff>66675</xdr:rowOff>
    </xdr:from>
    <xdr:ext cx="438150" cy="5200650"/>
    <xdr:sp>
      <xdr:nvSpPr>
        <xdr:cNvPr id="3" name="Shape 3"/>
        <xdr:cNvSpPr/>
      </xdr:nvSpPr>
      <xdr:spPr>
        <a:xfrm>
          <a:off x="5136450" y="1189200"/>
          <a:ext cx="419100" cy="5181600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F465E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209550</xdr:colOff>
      <xdr:row>2</xdr:row>
      <xdr:rowOff>38100</xdr:rowOff>
    </xdr:from>
    <xdr:ext cx="438150" cy="5200650"/>
    <xdr:sp>
      <xdr:nvSpPr>
        <xdr:cNvPr id="3" name="Shape 3"/>
        <xdr:cNvSpPr/>
      </xdr:nvSpPr>
      <xdr:spPr>
        <a:xfrm>
          <a:off x="5136450" y="1189200"/>
          <a:ext cx="419100" cy="5181600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F465E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2.5"/>
    <col customWidth="1" min="3" max="8" width="11.5"/>
    <col customWidth="1" min="9" max="9" width="16.0"/>
    <col customWidth="1" min="10" max="17" width="14.5"/>
    <col customWidth="1" min="18" max="26" width="11.5"/>
  </cols>
  <sheetData>
    <row r="1">
      <c r="J1" s="1">
        <v>3.0</v>
      </c>
      <c r="K1" s="2"/>
      <c r="L1" s="3"/>
      <c r="M1" s="1">
        <v>2.0</v>
      </c>
      <c r="N1" s="2"/>
      <c r="O1" s="3"/>
      <c r="P1" s="1">
        <v>1.0</v>
      </c>
      <c r="Q1" s="2"/>
    </row>
    <row r="2">
      <c r="A2" s="4" t="s">
        <v>0</v>
      </c>
      <c r="B2" s="4" t="s">
        <v>1</v>
      </c>
      <c r="C2" s="4" t="s">
        <v>2</v>
      </c>
      <c r="D2" s="5"/>
      <c r="F2" s="6" t="s">
        <v>3</v>
      </c>
      <c r="G2" s="7"/>
      <c r="H2" s="7"/>
      <c r="I2" s="7"/>
      <c r="J2" s="7"/>
      <c r="K2" s="7"/>
      <c r="L2" s="7"/>
      <c r="M2" s="7"/>
      <c r="N2" s="7"/>
      <c r="O2" s="7"/>
      <c r="P2" s="7"/>
      <c r="Q2" s="2"/>
    </row>
    <row r="3">
      <c r="A3" s="8" t="s">
        <v>4</v>
      </c>
      <c r="B3" s="9" t="s">
        <v>5</v>
      </c>
      <c r="C3" s="8">
        <v>1.0</v>
      </c>
      <c r="E3" s="10" t="s">
        <v>6</v>
      </c>
      <c r="F3" s="11">
        <v>54.0</v>
      </c>
      <c r="G3" s="12">
        <v>53.0</v>
      </c>
      <c r="J3" s="13" t="s">
        <v>7</v>
      </c>
      <c r="K3" s="14" t="s">
        <v>7</v>
      </c>
      <c r="L3" s="15"/>
      <c r="M3" s="13" t="s">
        <v>7</v>
      </c>
      <c r="N3" s="14" t="s">
        <v>7</v>
      </c>
      <c r="O3" s="15"/>
      <c r="P3" s="16"/>
      <c r="Q3" s="17"/>
    </row>
    <row r="4">
      <c r="A4" s="8" t="s">
        <v>8</v>
      </c>
      <c r="B4" s="9" t="s">
        <v>5</v>
      </c>
      <c r="C4" s="8">
        <v>2.0</v>
      </c>
      <c r="E4" s="18" t="s">
        <v>6</v>
      </c>
      <c r="F4" s="19">
        <v>52.0</v>
      </c>
      <c r="G4" s="20">
        <v>51.0</v>
      </c>
      <c r="J4" s="21" t="s">
        <v>7</v>
      </c>
      <c r="K4" s="22" t="s">
        <v>7</v>
      </c>
      <c r="L4" s="15"/>
      <c r="M4" s="21" t="s">
        <v>7</v>
      </c>
      <c r="N4" s="22" t="s">
        <v>7</v>
      </c>
      <c r="O4" s="15"/>
      <c r="P4" s="23" t="s">
        <v>7</v>
      </c>
      <c r="Q4" s="24" t="s">
        <v>7</v>
      </c>
    </row>
    <row r="5">
      <c r="A5" s="8" t="s">
        <v>9</v>
      </c>
      <c r="B5" s="9" t="s">
        <v>5</v>
      </c>
      <c r="C5" s="8">
        <v>3.0</v>
      </c>
      <c r="E5" s="18" t="s">
        <v>6</v>
      </c>
      <c r="F5" s="19">
        <v>50.0</v>
      </c>
      <c r="G5" s="20">
        <v>49.0</v>
      </c>
      <c r="J5" s="25" t="s">
        <v>10</v>
      </c>
      <c r="K5" s="26" t="s">
        <v>10</v>
      </c>
      <c r="L5" s="15"/>
      <c r="M5" s="21" t="s">
        <v>11</v>
      </c>
      <c r="N5" s="24" t="s">
        <v>11</v>
      </c>
      <c r="O5" s="15"/>
      <c r="P5" s="25" t="s">
        <v>12</v>
      </c>
      <c r="Q5" s="26" t="s">
        <v>12</v>
      </c>
    </row>
    <row r="6">
      <c r="A6" s="8" t="s">
        <v>13</v>
      </c>
      <c r="B6" s="9" t="s">
        <v>5</v>
      </c>
      <c r="C6" s="8">
        <v>4.0</v>
      </c>
      <c r="E6" s="18" t="s">
        <v>6</v>
      </c>
      <c r="F6" s="19">
        <v>48.0</v>
      </c>
      <c r="G6" s="20">
        <v>47.0</v>
      </c>
      <c r="J6" s="25" t="s">
        <v>10</v>
      </c>
      <c r="K6" s="26" t="s">
        <v>10</v>
      </c>
      <c r="L6" s="15"/>
      <c r="M6" s="21" t="s">
        <v>11</v>
      </c>
      <c r="N6" s="24" t="s">
        <v>11</v>
      </c>
      <c r="O6" s="15"/>
      <c r="P6" s="25" t="s">
        <v>12</v>
      </c>
      <c r="Q6" s="26" t="s">
        <v>12</v>
      </c>
    </row>
    <row r="7">
      <c r="A7" s="8" t="s">
        <v>14</v>
      </c>
      <c r="B7" s="9" t="s">
        <v>5</v>
      </c>
      <c r="C7" s="8">
        <v>5.0</v>
      </c>
      <c r="E7" s="18" t="s">
        <v>6</v>
      </c>
      <c r="F7" s="19">
        <v>46.0</v>
      </c>
      <c r="G7" s="20">
        <v>45.0</v>
      </c>
      <c r="J7" s="25" t="s">
        <v>10</v>
      </c>
      <c r="K7" s="26" t="s">
        <v>10</v>
      </c>
      <c r="L7" s="15"/>
      <c r="M7" s="23" t="s">
        <v>11</v>
      </c>
      <c r="N7" s="24" t="s">
        <v>11</v>
      </c>
      <c r="O7" s="15"/>
      <c r="P7" s="25" t="s">
        <v>12</v>
      </c>
      <c r="Q7" s="26" t="s">
        <v>12</v>
      </c>
    </row>
    <row r="8">
      <c r="A8" s="8" t="s">
        <v>15</v>
      </c>
      <c r="B8" s="9" t="s">
        <v>5</v>
      </c>
      <c r="C8" s="8">
        <v>6.0</v>
      </c>
      <c r="E8" s="27" t="s">
        <v>6</v>
      </c>
      <c r="F8" s="19">
        <v>44.0</v>
      </c>
      <c r="G8" s="20">
        <v>43.0</v>
      </c>
      <c r="J8" s="25" t="s">
        <v>10</v>
      </c>
      <c r="K8" s="26" t="s">
        <v>10</v>
      </c>
      <c r="L8" s="15"/>
      <c r="M8" s="23" t="s">
        <v>11</v>
      </c>
      <c r="N8" s="24" t="s">
        <v>11</v>
      </c>
      <c r="O8" s="15"/>
      <c r="P8" s="25" t="s">
        <v>12</v>
      </c>
      <c r="Q8" s="26" t="s">
        <v>12</v>
      </c>
    </row>
    <row r="9">
      <c r="A9" s="8" t="s">
        <v>16</v>
      </c>
      <c r="B9" s="8" t="s">
        <v>17</v>
      </c>
      <c r="C9" s="8">
        <v>1.0</v>
      </c>
      <c r="F9" s="28">
        <v>42.0</v>
      </c>
      <c r="G9" s="29">
        <v>41.0</v>
      </c>
      <c r="J9" s="30" t="s">
        <v>18</v>
      </c>
      <c r="K9" s="31" t="s">
        <v>18</v>
      </c>
      <c r="L9" s="3"/>
      <c r="M9" s="30" t="s">
        <v>18</v>
      </c>
      <c r="N9" s="31" t="s">
        <v>18</v>
      </c>
      <c r="O9" s="3"/>
      <c r="P9" s="30" t="s">
        <v>18</v>
      </c>
      <c r="Q9" s="31" t="s">
        <v>18</v>
      </c>
    </row>
    <row r="10">
      <c r="A10" s="8" t="s">
        <v>19</v>
      </c>
      <c r="B10" s="8" t="s">
        <v>17</v>
      </c>
      <c r="C10" s="8">
        <v>2.0</v>
      </c>
      <c r="F10" s="32">
        <v>40.0</v>
      </c>
      <c r="G10" s="33">
        <v>39.0</v>
      </c>
      <c r="J10" s="34" t="s">
        <v>20</v>
      </c>
      <c r="K10" s="34" t="s">
        <v>20</v>
      </c>
      <c r="L10" s="3"/>
      <c r="M10" s="34" t="s">
        <v>20</v>
      </c>
      <c r="N10" s="34" t="s">
        <v>20</v>
      </c>
      <c r="O10" s="3"/>
      <c r="P10" s="34" t="s">
        <v>20</v>
      </c>
      <c r="Q10" s="34" t="s">
        <v>20</v>
      </c>
    </row>
    <row r="11">
      <c r="A11" s="8" t="s">
        <v>21</v>
      </c>
      <c r="B11" s="8" t="s">
        <v>17</v>
      </c>
      <c r="C11" s="8">
        <v>3.0</v>
      </c>
      <c r="F11" s="35">
        <v>38.0</v>
      </c>
      <c r="G11" s="36">
        <v>37.0</v>
      </c>
      <c r="J11" s="25" t="s">
        <v>22</v>
      </c>
      <c r="K11" s="26" t="s">
        <v>22</v>
      </c>
      <c r="L11" s="15"/>
      <c r="M11" s="25" t="s">
        <v>22</v>
      </c>
      <c r="N11" s="26" t="s">
        <v>22</v>
      </c>
      <c r="O11" s="15"/>
      <c r="P11" s="25" t="s">
        <v>22</v>
      </c>
      <c r="Q11" s="26" t="s">
        <v>22</v>
      </c>
    </row>
    <row r="12">
      <c r="A12" s="8" t="s">
        <v>23</v>
      </c>
      <c r="B12" s="8" t="s">
        <v>17</v>
      </c>
      <c r="C12" s="8">
        <v>4.0</v>
      </c>
      <c r="F12" s="32">
        <v>36.0</v>
      </c>
      <c r="G12" s="33">
        <v>35.0</v>
      </c>
      <c r="J12" s="32" t="s">
        <v>24</v>
      </c>
      <c r="K12" s="33" t="s">
        <v>24</v>
      </c>
      <c r="L12" s="15"/>
      <c r="M12" s="32" t="s">
        <v>24</v>
      </c>
      <c r="N12" s="33" t="s">
        <v>24</v>
      </c>
      <c r="O12" s="15"/>
      <c r="P12" s="32" t="s">
        <v>24</v>
      </c>
      <c r="Q12" s="33" t="s">
        <v>24</v>
      </c>
    </row>
    <row r="13">
      <c r="A13" s="8" t="s">
        <v>25</v>
      </c>
      <c r="B13" s="8" t="s">
        <v>17</v>
      </c>
      <c r="C13" s="8">
        <v>5.0</v>
      </c>
      <c r="F13" s="35">
        <v>34.0</v>
      </c>
      <c r="G13" s="36">
        <v>33.0</v>
      </c>
      <c r="J13" s="35" t="s">
        <v>26</v>
      </c>
      <c r="K13" s="36" t="s">
        <v>26</v>
      </c>
      <c r="L13" s="15"/>
      <c r="M13" s="35" t="s">
        <v>26</v>
      </c>
      <c r="N13" s="36" t="s">
        <v>26</v>
      </c>
      <c r="O13" s="15"/>
      <c r="P13" s="35" t="s">
        <v>26</v>
      </c>
      <c r="Q13" s="36" t="s">
        <v>26</v>
      </c>
    </row>
    <row r="14">
      <c r="A14" s="8" t="s">
        <v>27</v>
      </c>
      <c r="B14" s="8" t="s">
        <v>17</v>
      </c>
      <c r="C14" s="8">
        <v>6.0</v>
      </c>
      <c r="F14" s="32">
        <v>32.0</v>
      </c>
      <c r="G14" s="33">
        <v>31.0</v>
      </c>
      <c r="J14" s="32" t="s">
        <v>28</v>
      </c>
      <c r="K14" s="33" t="s">
        <v>28</v>
      </c>
      <c r="L14" s="15"/>
      <c r="M14" s="32" t="s">
        <v>28</v>
      </c>
      <c r="N14" s="33" t="s">
        <v>28</v>
      </c>
      <c r="O14" s="15"/>
      <c r="P14" s="32" t="s">
        <v>28</v>
      </c>
      <c r="Q14" s="33" t="s">
        <v>28</v>
      </c>
    </row>
    <row r="15">
      <c r="A15" s="8" t="s">
        <v>29</v>
      </c>
      <c r="B15" s="8" t="s">
        <v>30</v>
      </c>
      <c r="C15" s="8">
        <v>1.0</v>
      </c>
      <c r="F15" s="35">
        <v>30.0</v>
      </c>
      <c r="G15" s="36">
        <v>29.0</v>
      </c>
      <c r="J15" s="35" t="s">
        <v>31</v>
      </c>
      <c r="K15" s="36" t="s">
        <v>31</v>
      </c>
      <c r="L15" s="15"/>
      <c r="M15" s="35" t="s">
        <v>31</v>
      </c>
      <c r="N15" s="36" t="s">
        <v>31</v>
      </c>
      <c r="O15" s="15"/>
      <c r="P15" s="35" t="s">
        <v>31</v>
      </c>
      <c r="Q15" s="36" t="s">
        <v>31</v>
      </c>
    </row>
    <row r="16">
      <c r="A16" s="8" t="s">
        <v>32</v>
      </c>
      <c r="B16" s="8" t="s">
        <v>30</v>
      </c>
      <c r="C16" s="8">
        <v>2.0</v>
      </c>
      <c r="F16" s="32">
        <v>28.0</v>
      </c>
      <c r="G16" s="33">
        <v>27.0</v>
      </c>
      <c r="J16" s="32" t="s">
        <v>33</v>
      </c>
      <c r="K16" s="33" t="s">
        <v>33</v>
      </c>
      <c r="L16" s="15"/>
      <c r="M16" s="32" t="s">
        <v>33</v>
      </c>
      <c r="N16" s="33" t="s">
        <v>33</v>
      </c>
      <c r="O16" s="15"/>
      <c r="P16" s="32" t="s">
        <v>33</v>
      </c>
      <c r="Q16" s="33" t="s">
        <v>33</v>
      </c>
    </row>
    <row r="17">
      <c r="A17" s="8" t="s">
        <v>34</v>
      </c>
      <c r="B17" s="8" t="s">
        <v>30</v>
      </c>
      <c r="C17" s="8">
        <v>3.0</v>
      </c>
      <c r="F17" s="35">
        <v>26.0</v>
      </c>
      <c r="G17" s="36">
        <v>25.0</v>
      </c>
      <c r="J17" s="35" t="s">
        <v>35</v>
      </c>
      <c r="K17" s="36" t="s">
        <v>35</v>
      </c>
      <c r="L17" s="15"/>
      <c r="M17" s="35" t="s">
        <v>35</v>
      </c>
      <c r="N17" s="36" t="s">
        <v>35</v>
      </c>
      <c r="O17" s="15"/>
      <c r="P17" s="35" t="s">
        <v>35</v>
      </c>
      <c r="Q17" s="36" t="s">
        <v>35</v>
      </c>
    </row>
    <row r="18">
      <c r="A18" s="8" t="s">
        <v>36</v>
      </c>
      <c r="B18" s="8" t="s">
        <v>30</v>
      </c>
      <c r="C18" s="8">
        <v>4.0</v>
      </c>
      <c r="F18" s="32">
        <v>24.0</v>
      </c>
      <c r="G18" s="33">
        <v>23.0</v>
      </c>
      <c r="J18" s="32" t="s">
        <v>37</v>
      </c>
      <c r="K18" s="33" t="s">
        <v>37</v>
      </c>
      <c r="L18" s="15"/>
      <c r="M18" s="32" t="s">
        <v>37</v>
      </c>
      <c r="N18" s="33" t="s">
        <v>37</v>
      </c>
      <c r="O18" s="15"/>
      <c r="P18" s="32" t="s">
        <v>37</v>
      </c>
      <c r="Q18" s="33" t="s">
        <v>37</v>
      </c>
    </row>
    <row r="19">
      <c r="A19" s="8" t="s">
        <v>38</v>
      </c>
      <c r="B19" s="8" t="s">
        <v>30</v>
      </c>
      <c r="C19" s="8">
        <v>5.0</v>
      </c>
      <c r="F19" s="35">
        <v>22.0</v>
      </c>
      <c r="G19" s="36">
        <v>21.0</v>
      </c>
      <c r="J19" s="35" t="s">
        <v>10</v>
      </c>
      <c r="K19" s="36" t="s">
        <v>10</v>
      </c>
      <c r="L19" s="15"/>
      <c r="M19" s="35" t="s">
        <v>10</v>
      </c>
      <c r="N19" s="36" t="s">
        <v>10</v>
      </c>
      <c r="O19" s="15"/>
      <c r="P19" s="35" t="s">
        <v>10</v>
      </c>
      <c r="Q19" s="36" t="s">
        <v>10</v>
      </c>
    </row>
    <row r="20">
      <c r="A20" s="8" t="s">
        <v>39</v>
      </c>
      <c r="B20" s="8" t="s">
        <v>30</v>
      </c>
      <c r="C20" s="8">
        <v>6.0</v>
      </c>
      <c r="F20" s="32">
        <v>20.0</v>
      </c>
      <c r="G20" s="33">
        <v>19.0</v>
      </c>
      <c r="J20" s="25" t="s">
        <v>40</v>
      </c>
      <c r="K20" s="26" t="s">
        <v>40</v>
      </c>
      <c r="L20" s="15"/>
      <c r="M20" s="25" t="s">
        <v>40</v>
      </c>
      <c r="N20" s="26" t="s">
        <v>40</v>
      </c>
      <c r="O20" s="15"/>
      <c r="P20" s="25" t="s">
        <v>40</v>
      </c>
      <c r="Q20" s="26" t="s">
        <v>40</v>
      </c>
    </row>
    <row r="21" ht="15.75" customHeight="1">
      <c r="A21" s="8" t="s">
        <v>41</v>
      </c>
      <c r="B21" s="8" t="s">
        <v>42</v>
      </c>
      <c r="C21" s="8">
        <v>1.0</v>
      </c>
      <c r="F21" s="35">
        <v>18.0</v>
      </c>
      <c r="G21" s="36">
        <v>17.0</v>
      </c>
      <c r="J21" s="35" t="s">
        <v>43</v>
      </c>
      <c r="K21" s="36" t="s">
        <v>43</v>
      </c>
      <c r="L21" s="15"/>
      <c r="M21" s="35" t="s">
        <v>43</v>
      </c>
      <c r="N21" s="36" t="s">
        <v>43</v>
      </c>
      <c r="O21" s="15"/>
      <c r="P21" s="35" t="s">
        <v>43</v>
      </c>
      <c r="Q21" s="36" t="s">
        <v>43</v>
      </c>
    </row>
    <row r="22" ht="15.75" customHeight="1">
      <c r="A22" s="8" t="s">
        <v>44</v>
      </c>
      <c r="B22" s="8" t="s">
        <v>42</v>
      </c>
      <c r="C22" s="8">
        <v>2.0</v>
      </c>
      <c r="F22" s="32">
        <v>16.0</v>
      </c>
      <c r="G22" s="33">
        <v>15.0</v>
      </c>
      <c r="J22" s="32" t="s">
        <v>45</v>
      </c>
      <c r="K22" s="33" t="s">
        <v>45</v>
      </c>
      <c r="L22" s="15"/>
      <c r="M22" s="32" t="s">
        <v>45</v>
      </c>
      <c r="N22" s="33" t="s">
        <v>45</v>
      </c>
      <c r="O22" s="15"/>
      <c r="P22" s="32" t="s">
        <v>45</v>
      </c>
      <c r="Q22" s="33" t="s">
        <v>45</v>
      </c>
    </row>
    <row r="23" ht="15.75" customHeight="1">
      <c r="A23" s="8" t="s">
        <v>46</v>
      </c>
      <c r="B23" s="8" t="s">
        <v>42</v>
      </c>
      <c r="C23" s="8">
        <v>3.0</v>
      </c>
      <c r="F23" s="35">
        <v>14.0</v>
      </c>
      <c r="G23" s="36">
        <v>13.0</v>
      </c>
      <c r="J23" s="35" t="s">
        <v>47</v>
      </c>
      <c r="K23" s="36" t="s">
        <v>47</v>
      </c>
      <c r="L23" s="15"/>
      <c r="M23" s="35" t="s">
        <v>47</v>
      </c>
      <c r="N23" s="36" t="s">
        <v>47</v>
      </c>
      <c r="O23" s="15"/>
      <c r="P23" s="35" t="s">
        <v>47</v>
      </c>
      <c r="Q23" s="36" t="s">
        <v>47</v>
      </c>
    </row>
    <row r="24" ht="15.75" customHeight="1">
      <c r="A24" s="8" t="s">
        <v>48</v>
      </c>
      <c r="B24" s="8" t="s">
        <v>42</v>
      </c>
      <c r="C24" s="8">
        <v>4.0</v>
      </c>
      <c r="F24" s="32">
        <v>12.0</v>
      </c>
      <c r="G24" s="33">
        <v>11.0</v>
      </c>
      <c r="J24" s="32" t="s">
        <v>49</v>
      </c>
      <c r="K24" s="33" t="s">
        <v>49</v>
      </c>
      <c r="L24" s="15"/>
      <c r="M24" s="32" t="s">
        <v>49</v>
      </c>
      <c r="N24" s="33" t="s">
        <v>49</v>
      </c>
      <c r="O24" s="15"/>
      <c r="P24" s="32" t="s">
        <v>49</v>
      </c>
      <c r="Q24" s="33" t="s">
        <v>49</v>
      </c>
    </row>
    <row r="25" ht="15.75" customHeight="1">
      <c r="A25" s="8" t="s">
        <v>50</v>
      </c>
      <c r="B25" s="8" t="s">
        <v>42</v>
      </c>
      <c r="C25" s="8">
        <v>5.0</v>
      </c>
      <c r="F25" s="35">
        <v>10.0</v>
      </c>
      <c r="G25" s="36">
        <v>9.0</v>
      </c>
      <c r="J25" s="35" t="s">
        <v>12</v>
      </c>
      <c r="K25" s="36" t="s">
        <v>12</v>
      </c>
      <c r="L25" s="15"/>
      <c r="M25" s="35" t="s">
        <v>12</v>
      </c>
      <c r="N25" s="36" t="s">
        <v>12</v>
      </c>
      <c r="O25" s="15"/>
      <c r="P25" s="35" t="s">
        <v>12</v>
      </c>
      <c r="Q25" s="36" t="s">
        <v>12</v>
      </c>
    </row>
    <row r="26" ht="15.75" customHeight="1">
      <c r="A26" s="8" t="s">
        <v>51</v>
      </c>
      <c r="B26" s="8" t="s">
        <v>42</v>
      </c>
      <c r="C26" s="8">
        <v>6.0</v>
      </c>
      <c r="F26" s="32">
        <v>8.0</v>
      </c>
      <c r="G26" s="33">
        <v>7.0</v>
      </c>
      <c r="J26" s="32" t="s">
        <v>52</v>
      </c>
      <c r="K26" s="33" t="s">
        <v>52</v>
      </c>
      <c r="L26" s="15"/>
      <c r="M26" s="32" t="s">
        <v>52</v>
      </c>
      <c r="N26" s="33" t="s">
        <v>52</v>
      </c>
      <c r="O26" s="15"/>
      <c r="P26" s="32" t="s">
        <v>52</v>
      </c>
      <c r="Q26" s="33" t="s">
        <v>52</v>
      </c>
    </row>
    <row r="27" ht="15.75" customHeight="1">
      <c r="A27" s="8" t="s">
        <v>53</v>
      </c>
      <c r="B27" s="8" t="s">
        <v>54</v>
      </c>
      <c r="C27" s="8">
        <v>1.0</v>
      </c>
      <c r="F27" s="35">
        <v>6.0</v>
      </c>
      <c r="G27" s="36">
        <v>5.0</v>
      </c>
      <c r="J27" s="25" t="s">
        <v>55</v>
      </c>
      <c r="K27" s="26" t="s">
        <v>55</v>
      </c>
      <c r="L27" s="15"/>
      <c r="M27" s="25" t="s">
        <v>55</v>
      </c>
      <c r="N27" s="26" t="s">
        <v>55</v>
      </c>
      <c r="O27" s="15"/>
      <c r="P27" s="25" t="s">
        <v>55</v>
      </c>
      <c r="Q27" s="26" t="s">
        <v>55</v>
      </c>
    </row>
    <row r="28" ht="15.75" customHeight="1">
      <c r="A28" s="8" t="s">
        <v>56</v>
      </c>
      <c r="B28" s="8" t="s">
        <v>54</v>
      </c>
      <c r="C28" s="8">
        <v>2.0</v>
      </c>
      <c r="F28" s="32">
        <v>4.0</v>
      </c>
      <c r="G28" s="33">
        <v>3.0</v>
      </c>
      <c r="J28" s="32" t="s">
        <v>57</v>
      </c>
      <c r="K28" s="33" t="s">
        <v>57</v>
      </c>
      <c r="L28" s="15"/>
      <c r="M28" s="32" t="s">
        <v>57</v>
      </c>
      <c r="N28" s="33" t="s">
        <v>57</v>
      </c>
      <c r="O28" s="15"/>
      <c r="P28" s="32" t="s">
        <v>57</v>
      </c>
      <c r="Q28" s="33" t="s">
        <v>57</v>
      </c>
    </row>
    <row r="29" ht="14.25" customHeight="1">
      <c r="A29" s="8" t="s">
        <v>58</v>
      </c>
      <c r="B29" s="8" t="s">
        <v>54</v>
      </c>
      <c r="C29" s="8">
        <v>3.0</v>
      </c>
      <c r="E29" s="37" t="s">
        <v>6</v>
      </c>
      <c r="F29" s="38">
        <v>2.0</v>
      </c>
      <c r="G29" s="39">
        <v>1.0</v>
      </c>
      <c r="J29" s="40" t="s">
        <v>10</v>
      </c>
      <c r="K29" s="41" t="s">
        <v>10</v>
      </c>
      <c r="L29" s="15"/>
      <c r="M29" s="42" t="s">
        <v>45</v>
      </c>
      <c r="N29" s="43" t="s">
        <v>11</v>
      </c>
      <c r="O29" s="15"/>
      <c r="P29" s="40" t="s">
        <v>12</v>
      </c>
      <c r="Q29" s="41" t="s">
        <v>12</v>
      </c>
    </row>
    <row r="30" ht="15.75" customHeight="1">
      <c r="A30" s="8" t="s">
        <v>59</v>
      </c>
      <c r="B30" s="8" t="s">
        <v>54</v>
      </c>
      <c r="C30" s="8">
        <v>4.0</v>
      </c>
      <c r="F30" s="8" t="s">
        <v>60</v>
      </c>
      <c r="I30" s="8" t="s">
        <v>61</v>
      </c>
      <c r="J30" s="44">
        <v>6.0</v>
      </c>
      <c r="K30" s="45">
        <v>5.0</v>
      </c>
      <c r="L30" s="15"/>
      <c r="M30" s="44">
        <v>4.0</v>
      </c>
      <c r="N30" s="45">
        <v>3.0</v>
      </c>
      <c r="O30" s="15"/>
      <c r="P30" s="44">
        <v>2.0</v>
      </c>
      <c r="Q30" s="45">
        <v>1.0</v>
      </c>
    </row>
    <row r="31" ht="15.75" customHeight="1">
      <c r="A31" s="8" t="s">
        <v>62</v>
      </c>
      <c r="B31" s="8" t="s">
        <v>54</v>
      </c>
      <c r="C31" s="8">
        <v>5.0</v>
      </c>
    </row>
    <row r="32" ht="14.25" customHeight="1">
      <c r="A32" s="8" t="s">
        <v>63</v>
      </c>
      <c r="B32" s="8" t="s">
        <v>54</v>
      </c>
      <c r="C32" s="8">
        <v>6.0</v>
      </c>
      <c r="F32" s="46"/>
      <c r="G32" s="46"/>
      <c r="H32" s="46"/>
      <c r="I32" s="46"/>
      <c r="J32" s="46"/>
    </row>
    <row r="33" ht="14.25" customHeight="1">
      <c r="A33" s="8" t="s">
        <v>64</v>
      </c>
      <c r="B33" s="8" t="s">
        <v>65</v>
      </c>
      <c r="C33" s="8">
        <v>1.0</v>
      </c>
      <c r="F33" s="44" t="s">
        <v>66</v>
      </c>
      <c r="G33" s="47"/>
      <c r="H33" s="47"/>
      <c r="I33" s="47"/>
      <c r="J33" s="47"/>
      <c r="K33" s="15"/>
      <c r="L33" s="15"/>
      <c r="M33" s="15"/>
      <c r="N33" s="15"/>
      <c r="O33" s="15"/>
      <c r="P33" s="15"/>
    </row>
    <row r="34" ht="15.75" customHeight="1">
      <c r="A34" s="8" t="s">
        <v>67</v>
      </c>
      <c r="B34" s="8" t="s">
        <v>65</v>
      </c>
      <c r="C34" s="8">
        <v>2.0</v>
      </c>
    </row>
    <row r="35" ht="15.75" customHeight="1">
      <c r="A35" s="8" t="s">
        <v>68</v>
      </c>
      <c r="B35" s="8" t="s">
        <v>65</v>
      </c>
      <c r="C35" s="8">
        <v>3.0</v>
      </c>
    </row>
    <row r="36" ht="15.75" customHeight="1">
      <c r="A36" s="8" t="s">
        <v>69</v>
      </c>
      <c r="B36" s="8" t="s">
        <v>65</v>
      </c>
      <c r="C36" s="8">
        <v>4.0</v>
      </c>
    </row>
    <row r="37" ht="15.75" customHeight="1">
      <c r="A37" s="8" t="s">
        <v>70</v>
      </c>
      <c r="B37" s="8" t="s">
        <v>65</v>
      </c>
      <c r="C37" s="8">
        <v>5.0</v>
      </c>
    </row>
    <row r="38" ht="15.75" customHeight="1">
      <c r="A38" s="8" t="s">
        <v>71</v>
      </c>
      <c r="B38" s="8" t="s">
        <v>65</v>
      </c>
      <c r="C38" s="8">
        <v>6.0</v>
      </c>
    </row>
    <row r="39" ht="15.75" customHeight="1">
      <c r="A39" s="8" t="s">
        <v>72</v>
      </c>
      <c r="B39" s="8" t="s">
        <v>73</v>
      </c>
      <c r="C39" s="8">
        <v>1.0</v>
      </c>
    </row>
    <row r="40" ht="15.75" customHeight="1">
      <c r="A40" s="8" t="s">
        <v>74</v>
      </c>
      <c r="B40" s="8" t="s">
        <v>73</v>
      </c>
      <c r="C40" s="8">
        <v>2.0</v>
      </c>
    </row>
    <row r="41" ht="15.75" customHeight="1">
      <c r="A41" s="8" t="s">
        <v>75</v>
      </c>
      <c r="B41" s="8" t="s">
        <v>73</v>
      </c>
      <c r="C41" s="8">
        <v>3.0</v>
      </c>
    </row>
    <row r="42" ht="15.75" customHeight="1">
      <c r="A42" s="8" t="s">
        <v>76</v>
      </c>
      <c r="B42" s="8" t="s">
        <v>73</v>
      </c>
      <c r="C42" s="8">
        <v>4.0</v>
      </c>
    </row>
    <row r="43" ht="15.75" customHeight="1">
      <c r="A43" s="8" t="s">
        <v>77</v>
      </c>
      <c r="B43" s="8" t="s">
        <v>73</v>
      </c>
      <c r="C43" s="8">
        <v>5.0</v>
      </c>
    </row>
    <row r="44" ht="15.75" customHeight="1">
      <c r="A44" s="8" t="s">
        <v>78</v>
      </c>
      <c r="B44" s="8" t="s">
        <v>73</v>
      </c>
      <c r="C44" s="8">
        <v>6.0</v>
      </c>
    </row>
    <row r="45" ht="15.75" customHeight="1">
      <c r="A45" s="8" t="s">
        <v>79</v>
      </c>
      <c r="B45" s="8" t="s">
        <v>80</v>
      </c>
      <c r="C45" s="8">
        <v>1.0</v>
      </c>
    </row>
    <row r="46" ht="15.75" customHeight="1">
      <c r="A46" s="8" t="s">
        <v>81</v>
      </c>
      <c r="B46" s="8" t="s">
        <v>80</v>
      </c>
      <c r="C46" s="8">
        <v>2.0</v>
      </c>
    </row>
    <row r="47" ht="15.75" customHeight="1">
      <c r="A47" s="8" t="s">
        <v>82</v>
      </c>
      <c r="B47" s="8" t="s">
        <v>80</v>
      </c>
      <c r="C47" s="8">
        <v>3.0</v>
      </c>
    </row>
    <row r="48" ht="15.75" customHeight="1">
      <c r="A48" s="8" t="s">
        <v>83</v>
      </c>
      <c r="B48" s="8" t="s">
        <v>80</v>
      </c>
      <c r="C48" s="8">
        <v>4.0</v>
      </c>
    </row>
    <row r="49" ht="15.75" customHeight="1">
      <c r="A49" s="8" t="s">
        <v>84</v>
      </c>
      <c r="B49" s="8" t="s">
        <v>80</v>
      </c>
      <c r="C49" s="8">
        <v>5.0</v>
      </c>
    </row>
    <row r="50" ht="15.75" customHeight="1">
      <c r="A50" s="8" t="s">
        <v>85</v>
      </c>
      <c r="B50" s="8" t="s">
        <v>80</v>
      </c>
      <c r="C50" s="8">
        <v>6.0</v>
      </c>
    </row>
    <row r="51" ht="15.75" customHeight="1">
      <c r="A51" s="8" t="s">
        <v>86</v>
      </c>
      <c r="B51" s="8" t="s">
        <v>87</v>
      </c>
      <c r="C51" s="8">
        <v>1.0</v>
      </c>
    </row>
    <row r="52" ht="15.75" customHeight="1">
      <c r="A52" s="8" t="s">
        <v>88</v>
      </c>
      <c r="B52" s="8" t="s">
        <v>87</v>
      </c>
      <c r="C52" s="8">
        <v>2.0</v>
      </c>
    </row>
    <row r="53" ht="15.75" customHeight="1">
      <c r="A53" s="8" t="s">
        <v>89</v>
      </c>
      <c r="B53" s="8" t="s">
        <v>87</v>
      </c>
      <c r="C53" s="8">
        <v>3.0</v>
      </c>
    </row>
    <row r="54" ht="15.75" customHeight="1">
      <c r="A54" s="8" t="s">
        <v>90</v>
      </c>
      <c r="B54" s="8" t="s">
        <v>87</v>
      </c>
      <c r="C54" s="8">
        <v>4.0</v>
      </c>
    </row>
    <row r="55" ht="15.75" customHeight="1">
      <c r="A55" s="8" t="s">
        <v>91</v>
      </c>
      <c r="B55" s="8" t="s">
        <v>87</v>
      </c>
      <c r="C55" s="8">
        <v>5.0</v>
      </c>
    </row>
    <row r="56" ht="15.75" customHeight="1">
      <c r="A56" s="8" t="s">
        <v>92</v>
      </c>
      <c r="B56" s="8" t="s">
        <v>87</v>
      </c>
      <c r="C56" s="8">
        <v>6.0</v>
      </c>
    </row>
    <row r="57" ht="15.75" customHeight="1">
      <c r="A57" s="8" t="s">
        <v>93</v>
      </c>
      <c r="B57" s="8" t="s">
        <v>94</v>
      </c>
      <c r="C57" s="8">
        <v>1.0</v>
      </c>
    </row>
    <row r="58" ht="15.75" customHeight="1">
      <c r="A58" s="8" t="s">
        <v>95</v>
      </c>
      <c r="B58" s="8" t="s">
        <v>94</v>
      </c>
      <c r="C58" s="8">
        <v>2.0</v>
      </c>
    </row>
    <row r="59" ht="15.75" customHeight="1">
      <c r="A59" s="8" t="s">
        <v>96</v>
      </c>
      <c r="B59" s="8" t="s">
        <v>94</v>
      </c>
      <c r="C59" s="8">
        <v>3.0</v>
      </c>
    </row>
    <row r="60" ht="15.75" customHeight="1">
      <c r="A60" s="8" t="s">
        <v>97</v>
      </c>
      <c r="B60" s="8" t="s">
        <v>94</v>
      </c>
      <c r="C60" s="8">
        <v>4.0</v>
      </c>
    </row>
    <row r="61" ht="15.75" customHeight="1">
      <c r="A61" s="8" t="s">
        <v>98</v>
      </c>
      <c r="B61" s="8" t="s">
        <v>94</v>
      </c>
      <c r="C61" s="8">
        <v>5.0</v>
      </c>
    </row>
    <row r="62" ht="15.75" customHeight="1">
      <c r="A62" s="8" t="s">
        <v>99</v>
      </c>
      <c r="B62" s="8" t="s">
        <v>94</v>
      </c>
      <c r="C62" s="8">
        <v>6.0</v>
      </c>
    </row>
    <row r="63" ht="15.75" customHeight="1">
      <c r="A63" s="8" t="s">
        <v>100</v>
      </c>
      <c r="B63" s="8" t="s">
        <v>101</v>
      </c>
      <c r="C63" s="8">
        <v>1.0</v>
      </c>
    </row>
    <row r="64" ht="15.75" customHeight="1">
      <c r="A64" s="8" t="s">
        <v>102</v>
      </c>
      <c r="B64" s="8" t="s">
        <v>101</v>
      </c>
      <c r="C64" s="8">
        <v>2.0</v>
      </c>
    </row>
    <row r="65" ht="15.75" customHeight="1">
      <c r="A65" s="8" t="s">
        <v>103</v>
      </c>
      <c r="B65" s="8" t="s">
        <v>101</v>
      </c>
      <c r="C65" s="8">
        <v>3.0</v>
      </c>
    </row>
    <row r="66" ht="15.75" customHeight="1">
      <c r="A66" s="8" t="s">
        <v>104</v>
      </c>
      <c r="B66" s="8" t="s">
        <v>101</v>
      </c>
      <c r="C66" s="8">
        <v>4.0</v>
      </c>
    </row>
    <row r="67" ht="15.75" customHeight="1">
      <c r="A67" s="8" t="s">
        <v>105</v>
      </c>
      <c r="B67" s="8" t="s">
        <v>101</v>
      </c>
      <c r="C67" s="8">
        <v>5.0</v>
      </c>
    </row>
    <row r="68" ht="15.75" customHeight="1">
      <c r="A68" s="8" t="s">
        <v>106</v>
      </c>
      <c r="B68" s="8" t="s">
        <v>101</v>
      </c>
      <c r="C68" s="8">
        <v>6.0</v>
      </c>
    </row>
    <row r="69" ht="15.75" customHeight="1">
      <c r="A69" s="8" t="s">
        <v>107</v>
      </c>
      <c r="B69" s="8" t="s">
        <v>108</v>
      </c>
      <c r="C69" s="8">
        <v>1.0</v>
      </c>
    </row>
    <row r="70" ht="15.75" customHeight="1">
      <c r="A70" s="8" t="s">
        <v>109</v>
      </c>
      <c r="B70" s="8" t="s">
        <v>108</v>
      </c>
      <c r="C70" s="8">
        <v>2.0</v>
      </c>
    </row>
    <row r="71" ht="15.75" customHeight="1">
      <c r="A71" s="8" t="s">
        <v>110</v>
      </c>
      <c r="B71" s="8" t="s">
        <v>108</v>
      </c>
      <c r="C71" s="8">
        <v>3.0</v>
      </c>
    </row>
    <row r="72" ht="15.75" customHeight="1">
      <c r="A72" s="8" t="s">
        <v>111</v>
      </c>
      <c r="B72" s="8" t="s">
        <v>108</v>
      </c>
      <c r="C72" s="8">
        <v>4.0</v>
      </c>
    </row>
    <row r="73" ht="15.75" customHeight="1">
      <c r="A73" s="8" t="s">
        <v>112</v>
      </c>
      <c r="B73" s="8" t="s">
        <v>108</v>
      </c>
      <c r="C73" s="8">
        <v>5.0</v>
      </c>
    </row>
    <row r="74" ht="15.75" customHeight="1">
      <c r="A74" s="8" t="s">
        <v>113</v>
      </c>
      <c r="B74" s="8" t="s">
        <v>108</v>
      </c>
      <c r="C74" s="8">
        <v>6.0</v>
      </c>
    </row>
    <row r="75" ht="15.75" customHeight="1">
      <c r="A75" s="8" t="s">
        <v>114</v>
      </c>
      <c r="B75" s="8" t="s">
        <v>115</v>
      </c>
      <c r="C75" s="48">
        <v>1.0</v>
      </c>
    </row>
    <row r="76" ht="15.75" customHeight="1">
      <c r="A76" s="8" t="s">
        <v>116</v>
      </c>
      <c r="B76" s="8" t="s">
        <v>115</v>
      </c>
      <c r="C76" s="48">
        <v>2.0</v>
      </c>
    </row>
    <row r="77" ht="15.75" customHeight="1">
      <c r="A77" s="8" t="s">
        <v>117</v>
      </c>
      <c r="B77" s="8" t="s">
        <v>115</v>
      </c>
      <c r="C77" s="48">
        <v>3.0</v>
      </c>
    </row>
    <row r="78" ht="15.75" customHeight="1">
      <c r="A78" s="8" t="s">
        <v>118</v>
      </c>
      <c r="B78" s="8" t="s">
        <v>115</v>
      </c>
      <c r="C78" s="48">
        <v>4.0</v>
      </c>
    </row>
    <row r="79" ht="15.75" customHeight="1">
      <c r="A79" s="8" t="s">
        <v>119</v>
      </c>
      <c r="B79" s="8" t="s">
        <v>115</v>
      </c>
      <c r="C79" s="48">
        <v>5.0</v>
      </c>
    </row>
    <row r="80" ht="15.75" customHeight="1">
      <c r="A80" s="8" t="s">
        <v>120</v>
      </c>
      <c r="B80" s="8" t="s">
        <v>115</v>
      </c>
      <c r="C80" s="48">
        <v>6.0</v>
      </c>
    </row>
    <row r="81" ht="15.75" customHeight="1">
      <c r="A81" s="8" t="s">
        <v>121</v>
      </c>
      <c r="B81" s="8" t="s">
        <v>122</v>
      </c>
      <c r="C81" s="48">
        <v>1.0</v>
      </c>
    </row>
    <row r="82" ht="15.75" customHeight="1">
      <c r="A82" s="8" t="s">
        <v>123</v>
      </c>
      <c r="B82" s="8" t="s">
        <v>122</v>
      </c>
      <c r="C82" s="48">
        <v>2.0</v>
      </c>
    </row>
    <row r="83" ht="15.75" customHeight="1">
      <c r="A83" s="8" t="s">
        <v>124</v>
      </c>
      <c r="B83" s="8" t="s">
        <v>122</v>
      </c>
      <c r="C83" s="48">
        <v>3.0</v>
      </c>
    </row>
    <row r="84" ht="15.75" customHeight="1">
      <c r="A84" s="8" t="s">
        <v>125</v>
      </c>
      <c r="B84" s="8" t="s">
        <v>122</v>
      </c>
      <c r="C84" s="48">
        <v>4.0</v>
      </c>
    </row>
    <row r="85" ht="15.75" customHeight="1">
      <c r="A85" s="8" t="s">
        <v>126</v>
      </c>
      <c r="B85" s="8" t="s">
        <v>122</v>
      </c>
      <c r="C85" s="48">
        <v>5.0</v>
      </c>
    </row>
    <row r="86" ht="15.75" customHeight="1">
      <c r="A86" s="8" t="s">
        <v>127</v>
      </c>
      <c r="B86" s="8" t="s">
        <v>122</v>
      </c>
      <c r="C86" s="48">
        <v>6.0</v>
      </c>
    </row>
    <row r="87" ht="15.75" customHeight="1">
      <c r="A87" s="8" t="s">
        <v>128</v>
      </c>
      <c r="B87" s="8" t="s">
        <v>129</v>
      </c>
      <c r="C87" s="48">
        <v>1.0</v>
      </c>
    </row>
    <row r="88" ht="15.75" customHeight="1">
      <c r="A88" s="8" t="s">
        <v>130</v>
      </c>
      <c r="B88" s="8" t="s">
        <v>129</v>
      </c>
      <c r="C88" s="48">
        <v>2.0</v>
      </c>
    </row>
    <row r="89" ht="15.75" customHeight="1">
      <c r="A89" s="8" t="s">
        <v>131</v>
      </c>
      <c r="B89" s="8" t="s">
        <v>129</v>
      </c>
      <c r="C89" s="48">
        <v>3.0</v>
      </c>
    </row>
    <row r="90" ht="15.75" customHeight="1">
      <c r="A90" s="8" t="s">
        <v>132</v>
      </c>
      <c r="B90" s="8" t="s">
        <v>129</v>
      </c>
      <c r="C90" s="48">
        <v>4.0</v>
      </c>
    </row>
    <row r="91" ht="15.75" customHeight="1">
      <c r="A91" s="8" t="s">
        <v>133</v>
      </c>
      <c r="B91" s="8" t="s">
        <v>129</v>
      </c>
      <c r="C91" s="48">
        <v>5.0</v>
      </c>
    </row>
    <row r="92" ht="15.75" customHeight="1">
      <c r="A92" s="8" t="s">
        <v>134</v>
      </c>
      <c r="B92" s="8" t="s">
        <v>129</v>
      </c>
      <c r="C92" s="48">
        <v>6.0</v>
      </c>
    </row>
    <row r="93" ht="15.75" customHeight="1">
      <c r="A93" s="8" t="s">
        <v>135</v>
      </c>
      <c r="B93" s="8" t="s">
        <v>136</v>
      </c>
      <c r="C93" s="48">
        <v>1.0</v>
      </c>
    </row>
    <row r="94" ht="15.75" customHeight="1">
      <c r="A94" s="8" t="s">
        <v>137</v>
      </c>
      <c r="B94" s="8" t="s">
        <v>136</v>
      </c>
      <c r="C94" s="48">
        <v>2.0</v>
      </c>
    </row>
    <row r="95" ht="15.75" customHeight="1">
      <c r="A95" s="8" t="s">
        <v>138</v>
      </c>
      <c r="B95" s="8" t="s">
        <v>136</v>
      </c>
      <c r="C95" s="48">
        <v>3.0</v>
      </c>
    </row>
    <row r="96" ht="15.75" customHeight="1">
      <c r="A96" s="8" t="s">
        <v>139</v>
      </c>
      <c r="B96" s="8" t="s">
        <v>136</v>
      </c>
      <c r="C96" s="48">
        <v>4.0</v>
      </c>
    </row>
    <row r="97" ht="15.75" customHeight="1">
      <c r="A97" s="8" t="s">
        <v>140</v>
      </c>
      <c r="B97" s="8" t="s">
        <v>136</v>
      </c>
      <c r="C97" s="48">
        <v>5.0</v>
      </c>
    </row>
    <row r="98" ht="15.75" customHeight="1">
      <c r="A98" s="8" t="s">
        <v>141</v>
      </c>
      <c r="B98" s="8" t="s">
        <v>136</v>
      </c>
      <c r="C98" s="48">
        <v>6.0</v>
      </c>
    </row>
    <row r="99" ht="15.75" customHeight="1">
      <c r="A99" s="8" t="s">
        <v>142</v>
      </c>
      <c r="B99" s="8" t="s">
        <v>143</v>
      </c>
      <c r="C99" s="48">
        <v>1.0</v>
      </c>
    </row>
    <row r="100" ht="15.75" customHeight="1">
      <c r="A100" s="8" t="s">
        <v>144</v>
      </c>
      <c r="B100" s="8" t="s">
        <v>143</v>
      </c>
      <c r="C100" s="48">
        <v>2.0</v>
      </c>
    </row>
    <row r="101" ht="15.75" customHeight="1">
      <c r="A101" s="8" t="s">
        <v>145</v>
      </c>
      <c r="B101" s="8" t="s">
        <v>143</v>
      </c>
      <c r="C101" s="48">
        <v>3.0</v>
      </c>
    </row>
    <row r="102" ht="15.75" customHeight="1">
      <c r="A102" s="8" t="s">
        <v>146</v>
      </c>
      <c r="B102" s="8" t="s">
        <v>143</v>
      </c>
      <c r="C102" s="48">
        <v>4.0</v>
      </c>
    </row>
    <row r="103" ht="15.75" customHeight="1">
      <c r="A103" s="8" t="s">
        <v>147</v>
      </c>
      <c r="B103" s="8" t="s">
        <v>143</v>
      </c>
      <c r="C103" s="48">
        <v>5.0</v>
      </c>
    </row>
    <row r="104" ht="15.75" customHeight="1">
      <c r="A104" s="8" t="s">
        <v>148</v>
      </c>
      <c r="B104" s="8" t="s">
        <v>143</v>
      </c>
      <c r="C104" s="48">
        <v>6.0</v>
      </c>
    </row>
    <row r="105" ht="15.75" customHeight="1">
      <c r="A105" s="8" t="s">
        <v>149</v>
      </c>
      <c r="B105" s="8" t="s">
        <v>150</v>
      </c>
      <c r="C105" s="48">
        <v>1.0</v>
      </c>
    </row>
    <row r="106" ht="15.75" customHeight="1">
      <c r="A106" s="8" t="s">
        <v>151</v>
      </c>
      <c r="B106" s="8" t="s">
        <v>150</v>
      </c>
      <c r="C106" s="48">
        <v>2.0</v>
      </c>
    </row>
    <row r="107" ht="15.75" customHeight="1">
      <c r="A107" s="8" t="s">
        <v>152</v>
      </c>
      <c r="B107" s="8" t="s">
        <v>150</v>
      </c>
      <c r="C107" s="48">
        <v>3.0</v>
      </c>
    </row>
    <row r="108" ht="15.75" customHeight="1">
      <c r="A108" s="8" t="s">
        <v>153</v>
      </c>
      <c r="B108" s="8" t="s">
        <v>150</v>
      </c>
      <c r="C108" s="48">
        <v>4.0</v>
      </c>
    </row>
    <row r="109" ht="15.75" customHeight="1">
      <c r="A109" s="8" t="s">
        <v>154</v>
      </c>
      <c r="B109" s="8" t="s">
        <v>150</v>
      </c>
      <c r="C109" s="48">
        <v>5.0</v>
      </c>
    </row>
    <row r="110" ht="15.75" customHeight="1">
      <c r="A110" s="8" t="s">
        <v>155</v>
      </c>
      <c r="B110" s="8" t="s">
        <v>150</v>
      </c>
      <c r="C110" s="48">
        <v>6.0</v>
      </c>
    </row>
    <row r="111" ht="15.75" customHeight="1">
      <c r="A111" s="8" t="s">
        <v>156</v>
      </c>
      <c r="B111" s="8" t="s">
        <v>157</v>
      </c>
      <c r="C111" s="48">
        <v>1.0</v>
      </c>
    </row>
    <row r="112" ht="15.75" customHeight="1">
      <c r="A112" s="8" t="s">
        <v>158</v>
      </c>
      <c r="B112" s="8" t="s">
        <v>157</v>
      </c>
      <c r="C112" s="48">
        <v>2.0</v>
      </c>
    </row>
    <row r="113" ht="15.75" customHeight="1">
      <c r="A113" s="8" t="s">
        <v>159</v>
      </c>
      <c r="B113" s="8" t="s">
        <v>157</v>
      </c>
      <c r="C113" s="48">
        <v>3.0</v>
      </c>
    </row>
    <row r="114" ht="15.75" customHeight="1">
      <c r="A114" s="8" t="s">
        <v>160</v>
      </c>
      <c r="B114" s="8" t="s">
        <v>157</v>
      </c>
      <c r="C114" s="48">
        <v>4.0</v>
      </c>
    </row>
    <row r="115" ht="15.75" customHeight="1">
      <c r="A115" s="8" t="s">
        <v>161</v>
      </c>
      <c r="B115" s="8" t="s">
        <v>157</v>
      </c>
      <c r="C115" s="48">
        <v>5.0</v>
      </c>
    </row>
    <row r="116" ht="15.75" customHeight="1">
      <c r="A116" s="8" t="s">
        <v>162</v>
      </c>
      <c r="B116" s="8" t="s">
        <v>157</v>
      </c>
      <c r="C116" s="48">
        <v>6.0</v>
      </c>
    </row>
    <row r="117" ht="15.75" customHeight="1">
      <c r="A117" s="8" t="s">
        <v>163</v>
      </c>
      <c r="B117" s="8" t="s">
        <v>164</v>
      </c>
      <c r="C117" s="48">
        <v>1.0</v>
      </c>
    </row>
    <row r="118" ht="15.75" customHeight="1">
      <c r="A118" s="8" t="s">
        <v>165</v>
      </c>
      <c r="B118" s="8" t="s">
        <v>164</v>
      </c>
      <c r="C118" s="48">
        <v>2.0</v>
      </c>
    </row>
    <row r="119" ht="15.75" customHeight="1">
      <c r="A119" s="8" t="s">
        <v>166</v>
      </c>
      <c r="B119" s="8" t="s">
        <v>164</v>
      </c>
      <c r="C119" s="48">
        <v>3.0</v>
      </c>
    </row>
    <row r="120" ht="15.75" customHeight="1">
      <c r="A120" s="8" t="s">
        <v>167</v>
      </c>
      <c r="B120" s="8" t="s">
        <v>164</v>
      </c>
      <c r="C120" s="48">
        <v>4.0</v>
      </c>
    </row>
    <row r="121" ht="15.75" customHeight="1">
      <c r="A121" s="8" t="s">
        <v>168</v>
      </c>
      <c r="B121" s="8" t="s">
        <v>164</v>
      </c>
      <c r="C121" s="48">
        <v>5.0</v>
      </c>
    </row>
    <row r="122" ht="15.75" customHeight="1">
      <c r="A122" s="8" t="s">
        <v>169</v>
      </c>
      <c r="B122" s="8" t="s">
        <v>164</v>
      </c>
      <c r="C122" s="48">
        <v>6.0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J1:K1"/>
    <mergeCell ref="M1:N1"/>
    <mergeCell ref="P1:Q1"/>
    <mergeCell ref="F2:Q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3.5"/>
    <col customWidth="1" min="3" max="3" width="16.5"/>
    <col customWidth="1" min="4" max="4" width="12.0"/>
    <col customWidth="1" min="5" max="7" width="10.5"/>
    <col customWidth="1" min="8" max="8" width="4.5"/>
    <col customWidth="1" min="9" max="9" width="17.5"/>
    <col customWidth="1" min="10" max="10" width="10.5"/>
    <col customWidth="1" min="11" max="11" width="20.5"/>
    <col customWidth="1" min="12" max="14" width="10.5"/>
    <col customWidth="1" min="15" max="15" width="13.0"/>
    <col customWidth="1" min="16" max="26" width="10.5"/>
  </cols>
  <sheetData>
    <row r="1">
      <c r="A1" s="49" t="s">
        <v>170</v>
      </c>
      <c r="B1" s="50" t="s">
        <v>171</v>
      </c>
      <c r="C1" s="51" t="s">
        <v>172</v>
      </c>
      <c r="D1" s="52" t="s">
        <v>173</v>
      </c>
      <c r="E1" s="52" t="s">
        <v>174</v>
      </c>
      <c r="F1" s="53" t="s">
        <v>175</v>
      </c>
      <c r="G1" s="5"/>
      <c r="H1" s="52" t="s">
        <v>176</v>
      </c>
      <c r="I1" s="54" t="s">
        <v>177</v>
      </c>
      <c r="J1" s="55" t="s">
        <v>178</v>
      </c>
      <c r="K1" s="5" t="s">
        <v>179</v>
      </c>
      <c r="L1" s="5"/>
      <c r="M1" s="56" t="s">
        <v>180</v>
      </c>
      <c r="N1" s="5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8">
        <v>45040.0</v>
      </c>
      <c r="B2" s="59">
        <v>60.0</v>
      </c>
      <c r="C2" s="60" t="s">
        <v>181</v>
      </c>
      <c r="D2" s="61" t="s">
        <v>182</v>
      </c>
      <c r="E2" s="62">
        <v>0.0</v>
      </c>
      <c r="F2" s="63" t="s">
        <v>183</v>
      </c>
      <c r="G2" s="5"/>
      <c r="H2" s="64" t="s">
        <v>184</v>
      </c>
      <c r="I2" s="65">
        <v>471.0</v>
      </c>
      <c r="J2" s="66" t="s">
        <v>185</v>
      </c>
      <c r="K2" s="67">
        <f t="shared" ref="K2:K7" si="1">I2-$I$8</f>
        <v>147</v>
      </c>
      <c r="M2" s="68" t="s">
        <v>186</v>
      </c>
      <c r="N2" s="69" t="s">
        <v>187</v>
      </c>
    </row>
    <row r="3">
      <c r="A3" s="70">
        <v>45049.0</v>
      </c>
      <c r="B3" s="71">
        <v>60.0</v>
      </c>
      <c r="C3" s="72" t="s">
        <v>188</v>
      </c>
      <c r="D3" s="73" t="s">
        <v>182</v>
      </c>
      <c r="E3" s="74">
        <v>0.2</v>
      </c>
      <c r="F3" s="75"/>
      <c r="G3" s="5"/>
      <c r="H3" s="76" t="s">
        <v>189</v>
      </c>
      <c r="I3" s="77">
        <v>457.0</v>
      </c>
      <c r="J3" s="78" t="s">
        <v>190</v>
      </c>
      <c r="K3" s="79">
        <f t="shared" si="1"/>
        <v>133</v>
      </c>
      <c r="M3" s="80" t="s">
        <v>191</v>
      </c>
      <c r="N3" s="81" t="s">
        <v>192</v>
      </c>
    </row>
    <row r="4">
      <c r="A4" s="75"/>
      <c r="B4" s="75"/>
      <c r="C4" s="72" t="s">
        <v>193</v>
      </c>
      <c r="D4" s="82"/>
      <c r="E4" s="82"/>
      <c r="F4" s="75"/>
      <c r="G4" s="5"/>
      <c r="H4" s="76" t="s">
        <v>194</v>
      </c>
      <c r="I4" s="77">
        <v>463.0</v>
      </c>
      <c r="J4" s="78" t="s">
        <v>190</v>
      </c>
      <c r="K4" s="79">
        <f t="shared" si="1"/>
        <v>139</v>
      </c>
      <c r="M4" s="83" t="s">
        <v>195</v>
      </c>
      <c r="N4" s="84" t="s">
        <v>192</v>
      </c>
    </row>
    <row r="5">
      <c r="A5" s="85"/>
      <c r="B5" s="85"/>
      <c r="C5" s="71" t="s">
        <v>196</v>
      </c>
      <c r="D5" s="86"/>
      <c r="E5" s="86"/>
      <c r="F5" s="75"/>
      <c r="G5" s="5"/>
      <c r="H5" s="76" t="s">
        <v>197</v>
      </c>
      <c r="I5" s="77">
        <v>453.0</v>
      </c>
      <c r="J5" s="78" t="s">
        <v>198</v>
      </c>
      <c r="K5" s="79">
        <f t="shared" si="1"/>
        <v>129</v>
      </c>
      <c r="M5" s="87" t="s">
        <v>199</v>
      </c>
      <c r="N5" s="88" t="s">
        <v>200</v>
      </c>
      <c r="O5" s="89">
        <v>48405.0</v>
      </c>
    </row>
    <row r="6">
      <c r="A6" s="90">
        <v>45061.0</v>
      </c>
      <c r="B6" s="77">
        <v>60.0</v>
      </c>
      <c r="C6" s="77" t="s">
        <v>201</v>
      </c>
      <c r="D6" s="91" t="s">
        <v>182</v>
      </c>
      <c r="E6" s="92">
        <v>0.5</v>
      </c>
      <c r="F6" s="75"/>
      <c r="G6" s="5"/>
      <c r="H6" s="76" t="s">
        <v>202</v>
      </c>
      <c r="I6" s="77">
        <v>462.0</v>
      </c>
      <c r="J6" s="78" t="s">
        <v>190</v>
      </c>
      <c r="K6" s="79">
        <f t="shared" si="1"/>
        <v>138</v>
      </c>
      <c r="M6" s="80" t="s">
        <v>203</v>
      </c>
      <c r="N6" s="81" t="s">
        <v>204</v>
      </c>
      <c r="O6" s="93">
        <v>48405.0</v>
      </c>
    </row>
    <row r="7">
      <c r="A7" s="94">
        <v>45072.0</v>
      </c>
      <c r="B7" s="63">
        <v>80.0</v>
      </c>
      <c r="C7" s="63" t="s">
        <v>201</v>
      </c>
      <c r="D7" s="95" t="s">
        <v>205</v>
      </c>
      <c r="E7" s="74">
        <v>0.5</v>
      </c>
      <c r="F7" s="75"/>
      <c r="H7" s="76" t="s">
        <v>206</v>
      </c>
      <c r="I7" s="77">
        <v>470.0</v>
      </c>
      <c r="J7" s="78" t="s">
        <v>207</v>
      </c>
      <c r="K7" s="96">
        <f t="shared" si="1"/>
        <v>146</v>
      </c>
      <c r="M7" s="80" t="s">
        <v>208</v>
      </c>
      <c r="N7" s="81" t="s">
        <v>209</v>
      </c>
      <c r="O7" s="93">
        <v>48405.0</v>
      </c>
    </row>
    <row r="8">
      <c r="A8" s="90">
        <v>45091.0</v>
      </c>
      <c r="B8" s="77">
        <v>80.0</v>
      </c>
      <c r="C8" s="72" t="s">
        <v>201</v>
      </c>
      <c r="D8" s="97" t="s">
        <v>210</v>
      </c>
      <c r="E8" s="92">
        <v>0.5</v>
      </c>
      <c r="F8" s="75"/>
      <c r="H8" s="98">
        <v>0.0</v>
      </c>
      <c r="I8" s="99">
        <v>324.0</v>
      </c>
      <c r="J8" s="100" t="s">
        <v>211</v>
      </c>
      <c r="M8" s="101" t="s">
        <v>212</v>
      </c>
      <c r="N8" s="102" t="s">
        <v>213</v>
      </c>
      <c r="O8" s="103">
        <v>48405.0</v>
      </c>
    </row>
    <row r="9" ht="15.0" customHeight="1">
      <c r="A9" s="90">
        <v>45103.0</v>
      </c>
      <c r="B9" s="77">
        <v>30.0</v>
      </c>
      <c r="C9" s="72" t="s">
        <v>201</v>
      </c>
      <c r="D9" s="97">
        <v>7.0</v>
      </c>
      <c r="E9" s="92">
        <v>0.2</v>
      </c>
      <c r="F9" s="75"/>
    </row>
    <row r="10" ht="15.0" customHeight="1">
      <c r="A10" s="90">
        <v>45080.0</v>
      </c>
      <c r="B10" s="77">
        <v>0.0</v>
      </c>
      <c r="C10" s="72" t="s">
        <v>201</v>
      </c>
      <c r="D10" s="97">
        <v>0.0</v>
      </c>
      <c r="E10" s="92">
        <v>0.0</v>
      </c>
      <c r="F10" s="75"/>
    </row>
    <row r="11" ht="15.0" customHeight="1">
      <c r="A11" s="90">
        <v>45113.0</v>
      </c>
      <c r="B11" s="77">
        <v>30.0</v>
      </c>
      <c r="C11" s="72" t="s">
        <v>201</v>
      </c>
      <c r="D11" s="97">
        <v>7.0</v>
      </c>
      <c r="E11" s="92">
        <v>0.2</v>
      </c>
      <c r="F11" s="75"/>
    </row>
    <row r="12" ht="15.0" customHeight="1">
      <c r="A12" s="90">
        <v>45118.0</v>
      </c>
      <c r="B12" s="77">
        <v>20.0</v>
      </c>
      <c r="C12" s="104" t="s">
        <v>201</v>
      </c>
      <c r="D12" s="97">
        <v>7.0</v>
      </c>
      <c r="E12" s="77">
        <v>0.2</v>
      </c>
      <c r="F12" s="75"/>
    </row>
    <row r="13" ht="15.0" customHeight="1">
      <c r="A13" s="90">
        <v>45139.0</v>
      </c>
      <c r="B13" s="77">
        <v>300.0</v>
      </c>
      <c r="C13" s="104" t="s">
        <v>201</v>
      </c>
      <c r="D13" s="97">
        <v>1.0</v>
      </c>
      <c r="E13" s="77">
        <v>0.0</v>
      </c>
      <c r="F13" s="75"/>
    </row>
    <row r="14" ht="15.0" customHeight="1">
      <c r="A14" s="90">
        <v>45139.0</v>
      </c>
      <c r="B14" s="77" t="s">
        <v>214</v>
      </c>
      <c r="C14" s="104" t="s">
        <v>201</v>
      </c>
      <c r="D14" s="97">
        <v>1.0</v>
      </c>
      <c r="E14" s="77">
        <v>0.0</v>
      </c>
      <c r="F14" s="75"/>
    </row>
    <row r="15" ht="15.0" customHeight="1">
      <c r="A15" s="90">
        <v>45140.0</v>
      </c>
      <c r="B15" s="77">
        <v>80.0</v>
      </c>
      <c r="C15" s="104" t="s">
        <v>201</v>
      </c>
      <c r="D15" s="97">
        <v>7.0</v>
      </c>
      <c r="E15" s="77">
        <v>0.0</v>
      </c>
      <c r="F15" s="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M1:N1"/>
    <mergeCell ref="F2:F15"/>
    <mergeCell ref="A3:A5"/>
    <mergeCell ref="B3:B5"/>
    <mergeCell ref="D3:D5"/>
    <mergeCell ref="E3:E5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.88"/>
    <col customWidth="1" min="3" max="3" width="12.13"/>
    <col customWidth="1" min="4" max="4" width="11.13"/>
    <col customWidth="1" min="5" max="5" width="7.13"/>
    <col customWidth="1" min="6" max="6" width="5.88"/>
    <col customWidth="1" min="7" max="7" width="5.25"/>
    <col customWidth="1" min="8" max="8" width="4.38"/>
    <col customWidth="1" min="9" max="9" width="5.25"/>
    <col customWidth="1" min="10" max="10" width="7.0"/>
    <col customWidth="1" min="11" max="12" width="6.0"/>
    <col customWidth="1" min="13" max="13" width="9.5"/>
    <col customWidth="1" min="14" max="14" width="5.38"/>
    <col customWidth="1" min="15" max="15" width="10.5"/>
    <col customWidth="1" min="16" max="16" width="6.38"/>
    <col customWidth="1" min="17" max="17" width="8.25"/>
    <col customWidth="1" min="18" max="18" width="15.38"/>
    <col customWidth="1" min="19" max="19" width="19.5"/>
    <col customWidth="1" min="20" max="20" width="11.5"/>
    <col customWidth="1" min="21" max="25" width="8.5"/>
    <col customWidth="1" min="26" max="26" width="11.63"/>
    <col customWidth="1" min="27" max="27" width="5.75"/>
    <col customWidth="1" min="28" max="28" width="5.25"/>
    <col customWidth="1" min="29" max="29" width="4.75"/>
    <col customWidth="1" min="30" max="31" width="5.25"/>
    <col customWidth="1" min="32" max="32" width="8.5"/>
    <col customWidth="1" min="33" max="33" width="11.63"/>
    <col customWidth="1" min="34" max="34" width="5.75"/>
    <col customWidth="1" min="35" max="36" width="4.75"/>
    <col customWidth="1" min="37" max="38" width="4.38"/>
    <col customWidth="1" min="39" max="39" width="8.5"/>
    <col customWidth="1" min="40" max="40" width="11.63"/>
    <col customWidth="1" min="41" max="41" width="5.75"/>
    <col customWidth="1" min="42" max="43" width="4.75"/>
    <col customWidth="1" min="44" max="44" width="4.38"/>
    <col customWidth="1" min="45" max="45" width="5.25"/>
    <col customWidth="1" min="46" max="46" width="8.5"/>
    <col customWidth="1" min="47" max="47" width="17.25"/>
    <col customWidth="1" min="48" max="48" width="5.75"/>
    <col customWidth="1" min="49" max="52" width="5.25"/>
    <col customWidth="1" min="53" max="53" width="8.5"/>
    <col customWidth="1" min="54" max="54" width="17.25"/>
    <col customWidth="1" min="55" max="55" width="5.75"/>
    <col customWidth="1" min="56" max="59" width="5.0"/>
    <col customWidth="1" min="60" max="60" width="8.5"/>
    <col customWidth="1" min="61" max="61" width="17.25"/>
    <col customWidth="1" min="62" max="62" width="5.75"/>
    <col customWidth="1" min="63" max="66" width="5.0"/>
    <col customWidth="1" min="67" max="67" width="8.5"/>
    <col customWidth="1" min="68" max="68" width="11.63"/>
    <col customWidth="1" min="69" max="69" width="5.75"/>
    <col customWidth="1" min="70" max="71" width="4.75"/>
    <col customWidth="1" min="72" max="73" width="4.38"/>
    <col customWidth="1" min="74" max="74" width="8.5"/>
    <col customWidth="1" min="75" max="75" width="11.63"/>
    <col customWidth="1" min="76" max="76" width="5.75"/>
    <col customWidth="1" min="77" max="80" width="5.25"/>
    <col customWidth="1" min="81" max="81" width="8.5"/>
    <col customWidth="1" min="82" max="82" width="11.63"/>
    <col customWidth="1" min="83" max="83" width="5.75"/>
    <col customWidth="1" min="84" max="85" width="4.75"/>
    <col customWidth="1" min="86" max="87" width="5.25"/>
    <col customWidth="1" min="88" max="88" width="8.5"/>
    <col customWidth="1" min="89" max="89" width="11.63"/>
    <col customWidth="1" min="90" max="90" width="5.75"/>
    <col customWidth="1" min="91" max="92" width="4.75"/>
    <col customWidth="1" min="93" max="94" width="5.25"/>
    <col customWidth="1" min="95" max="95" width="8.5"/>
    <col customWidth="1" min="96" max="96" width="11.63"/>
    <col customWidth="1" min="97" max="97" width="5.75"/>
    <col customWidth="1" min="98" max="101" width="5.25"/>
    <col customWidth="1" min="102" max="102" width="8.5"/>
    <col customWidth="1" min="103" max="103" width="15.38"/>
    <col customWidth="1" min="104" max="104" width="5.75"/>
    <col customWidth="1" min="105" max="106" width="4.75"/>
    <col customWidth="1" min="107" max="108" width="4.38"/>
    <col customWidth="1" min="109" max="109" width="8.5"/>
    <col customWidth="1" min="110" max="110" width="19.5"/>
    <col customWidth="1" min="111" max="111" width="12.5"/>
    <col customWidth="1" min="112" max="112" width="8.5"/>
    <col customWidth="1" min="113" max="113" width="11.63"/>
    <col customWidth="1" min="114" max="114" width="12.5"/>
  </cols>
  <sheetData>
    <row r="1" ht="14.25" customHeight="1">
      <c r="A1" s="105" t="s">
        <v>215</v>
      </c>
      <c r="B1" s="106" t="s">
        <v>216</v>
      </c>
      <c r="C1" s="107" t="s">
        <v>1</v>
      </c>
      <c r="D1" s="107" t="s">
        <v>217</v>
      </c>
      <c r="E1" s="107" t="s">
        <v>2</v>
      </c>
      <c r="F1" s="107" t="s">
        <v>170</v>
      </c>
      <c r="G1" s="107" t="s">
        <v>218</v>
      </c>
      <c r="H1" s="107" t="s">
        <v>219</v>
      </c>
      <c r="I1" s="107" t="s">
        <v>220</v>
      </c>
      <c r="J1" s="108" t="s">
        <v>221</v>
      </c>
      <c r="K1" s="108" t="s">
        <v>222</v>
      </c>
      <c r="L1" s="108" t="s">
        <v>223</v>
      </c>
      <c r="M1" s="109" t="s">
        <v>224</v>
      </c>
      <c r="N1" s="110" t="s">
        <v>225</v>
      </c>
      <c r="O1" s="108" t="s">
        <v>226</v>
      </c>
      <c r="P1" s="109" t="s">
        <v>227</v>
      </c>
      <c r="Q1" s="108" t="s">
        <v>228</v>
      </c>
      <c r="R1" s="108" t="s">
        <v>229</v>
      </c>
      <c r="S1" s="110" t="s">
        <v>230</v>
      </c>
      <c r="T1" s="111" t="s">
        <v>231</v>
      </c>
      <c r="U1" s="5"/>
      <c r="V1" s="5"/>
      <c r="W1" s="5"/>
      <c r="X1" s="5"/>
      <c r="Y1" s="5"/>
      <c r="Z1" s="112" t="s">
        <v>218</v>
      </c>
      <c r="AA1" s="107" t="s">
        <v>232</v>
      </c>
      <c r="AB1" s="107" t="s">
        <v>233</v>
      </c>
      <c r="AC1" s="107" t="s">
        <v>234</v>
      </c>
      <c r="AD1" s="107" t="s">
        <v>235</v>
      </c>
      <c r="AE1" s="113" t="s">
        <v>236</v>
      </c>
      <c r="AF1" s="5"/>
      <c r="AG1" s="112" t="s">
        <v>219</v>
      </c>
      <c r="AH1" s="107" t="s">
        <v>232</v>
      </c>
      <c r="AI1" s="107" t="s">
        <v>233</v>
      </c>
      <c r="AJ1" s="107" t="s">
        <v>234</v>
      </c>
      <c r="AK1" s="107" t="s">
        <v>235</v>
      </c>
      <c r="AL1" s="113" t="s">
        <v>236</v>
      </c>
      <c r="AM1" s="5"/>
      <c r="AN1" s="112" t="s">
        <v>220</v>
      </c>
      <c r="AO1" s="107" t="s">
        <v>232</v>
      </c>
      <c r="AP1" s="107" t="s">
        <v>233</v>
      </c>
      <c r="AQ1" s="107" t="s">
        <v>234</v>
      </c>
      <c r="AR1" s="107" t="s">
        <v>235</v>
      </c>
      <c r="AS1" s="113" t="s">
        <v>236</v>
      </c>
      <c r="AT1" s="5"/>
      <c r="AU1" s="112" t="s">
        <v>221</v>
      </c>
      <c r="AV1" s="107" t="s">
        <v>232</v>
      </c>
      <c r="AW1" s="107" t="s">
        <v>233</v>
      </c>
      <c r="AX1" s="107" t="s">
        <v>234</v>
      </c>
      <c r="AY1" s="107" t="s">
        <v>235</v>
      </c>
      <c r="AZ1" s="113" t="s">
        <v>236</v>
      </c>
      <c r="BA1" s="5"/>
      <c r="BB1" s="112" t="s">
        <v>222</v>
      </c>
      <c r="BC1" s="107" t="s">
        <v>232</v>
      </c>
      <c r="BD1" s="107" t="s">
        <v>233</v>
      </c>
      <c r="BE1" s="107" t="s">
        <v>234</v>
      </c>
      <c r="BF1" s="107" t="s">
        <v>235</v>
      </c>
      <c r="BG1" s="113" t="s">
        <v>236</v>
      </c>
      <c r="BH1" s="5"/>
      <c r="BI1" s="112" t="s">
        <v>223</v>
      </c>
      <c r="BJ1" s="107" t="s">
        <v>232</v>
      </c>
      <c r="BK1" s="107" t="s">
        <v>233</v>
      </c>
      <c r="BL1" s="107" t="s">
        <v>234</v>
      </c>
      <c r="BM1" s="107" t="s">
        <v>235</v>
      </c>
      <c r="BN1" s="113" t="s">
        <v>236</v>
      </c>
      <c r="BO1" s="5"/>
      <c r="BP1" s="112" t="s">
        <v>224</v>
      </c>
      <c r="BQ1" s="107" t="s">
        <v>232</v>
      </c>
      <c r="BR1" s="107" t="s">
        <v>233</v>
      </c>
      <c r="BS1" s="107" t="s">
        <v>234</v>
      </c>
      <c r="BT1" s="107" t="s">
        <v>235</v>
      </c>
      <c r="BU1" s="113" t="s">
        <v>236</v>
      </c>
      <c r="BV1" s="5"/>
      <c r="BW1" s="112" t="s">
        <v>225</v>
      </c>
      <c r="BX1" s="107" t="s">
        <v>232</v>
      </c>
      <c r="BY1" s="107" t="s">
        <v>233</v>
      </c>
      <c r="BZ1" s="107" t="s">
        <v>234</v>
      </c>
      <c r="CA1" s="107" t="s">
        <v>235</v>
      </c>
      <c r="CB1" s="113" t="s">
        <v>236</v>
      </c>
      <c r="CC1" s="5"/>
      <c r="CD1" s="112" t="s">
        <v>226</v>
      </c>
      <c r="CE1" s="107" t="s">
        <v>232</v>
      </c>
      <c r="CF1" s="107" t="s">
        <v>233</v>
      </c>
      <c r="CG1" s="107" t="s">
        <v>234</v>
      </c>
      <c r="CH1" s="107" t="s">
        <v>235</v>
      </c>
      <c r="CI1" s="113" t="s">
        <v>236</v>
      </c>
      <c r="CJ1" s="5"/>
      <c r="CK1" s="112" t="s">
        <v>227</v>
      </c>
      <c r="CL1" s="107" t="s">
        <v>232</v>
      </c>
      <c r="CM1" s="107" t="s">
        <v>233</v>
      </c>
      <c r="CN1" s="107" t="s">
        <v>234</v>
      </c>
      <c r="CO1" s="107" t="s">
        <v>235</v>
      </c>
      <c r="CP1" s="113" t="s">
        <v>236</v>
      </c>
      <c r="CQ1" s="5"/>
      <c r="CR1" s="112" t="s">
        <v>228</v>
      </c>
      <c r="CS1" s="107" t="s">
        <v>232</v>
      </c>
      <c r="CT1" s="107" t="s">
        <v>233</v>
      </c>
      <c r="CU1" s="107" t="s">
        <v>234</v>
      </c>
      <c r="CV1" s="107" t="s">
        <v>235</v>
      </c>
      <c r="CW1" s="113" t="s">
        <v>236</v>
      </c>
      <c r="CX1" s="5"/>
      <c r="CY1" s="112" t="s">
        <v>229</v>
      </c>
      <c r="CZ1" s="107" t="s">
        <v>232</v>
      </c>
      <c r="DA1" s="107" t="s">
        <v>233</v>
      </c>
      <c r="DB1" s="107" t="s">
        <v>234</v>
      </c>
      <c r="DC1" s="107" t="s">
        <v>235</v>
      </c>
      <c r="DD1" s="113" t="s">
        <v>236</v>
      </c>
      <c r="DE1" s="5"/>
      <c r="DF1" s="112" t="s">
        <v>230</v>
      </c>
      <c r="DG1" s="112" t="s">
        <v>237</v>
      </c>
      <c r="DH1" s="5"/>
      <c r="DI1" s="114" t="s">
        <v>231</v>
      </c>
      <c r="DJ1" s="112" t="s">
        <v>237</v>
      </c>
    </row>
    <row r="2" ht="14.25" customHeight="1">
      <c r="A2" s="115" t="s">
        <v>238</v>
      </c>
      <c r="B2" s="116" t="s">
        <v>239</v>
      </c>
      <c r="C2" s="116" t="s">
        <v>5</v>
      </c>
      <c r="D2" s="116" t="s">
        <v>240</v>
      </c>
      <c r="E2" s="117">
        <v>1.0</v>
      </c>
      <c r="F2" s="118" t="s">
        <v>232</v>
      </c>
      <c r="G2" s="119">
        <v>21.2264887</v>
      </c>
      <c r="H2" s="119">
        <v>0.4763378</v>
      </c>
      <c r="I2" s="119">
        <v>5.44257676</v>
      </c>
      <c r="J2" s="120">
        <f t="shared" ref="J2:J481" si="1">G2/H2</f>
        <v>44.56183973</v>
      </c>
      <c r="K2" s="121">
        <v>-0.31</v>
      </c>
      <c r="L2" s="121">
        <v>-0.612</v>
      </c>
      <c r="M2" s="122">
        <v>0.302</v>
      </c>
      <c r="N2" s="120">
        <v>41.4</v>
      </c>
      <c r="O2" s="120">
        <v>18.02177735099338</v>
      </c>
      <c r="P2" s="123">
        <v>8.691604955968948</v>
      </c>
      <c r="Q2" s="120">
        <v>0.7142857142857143</v>
      </c>
      <c r="R2" s="120">
        <v>0.48228345000000006</v>
      </c>
      <c r="S2" s="120">
        <v>110.02702702702703</v>
      </c>
      <c r="T2" s="124">
        <v>23.9</v>
      </c>
      <c r="Z2" s="125" t="s">
        <v>241</v>
      </c>
      <c r="AA2" s="126">
        <f>AVERAGE(G2:G7)</f>
        <v>15.57133583</v>
      </c>
      <c r="AB2" s="126">
        <f>AVERAGE(G98:G103)</f>
        <v>7.84262831</v>
      </c>
      <c r="AC2" s="126">
        <f>AVERAGE(G194:G199)</f>
        <v>6.478969853</v>
      </c>
      <c r="AD2" s="126">
        <f>AVERAGE(G290:G295)</f>
        <v>10.91090373</v>
      </c>
      <c r="AE2" s="127">
        <f>AVERAGE(G386:G391)</f>
        <v>11.84301568</v>
      </c>
      <c r="AG2" s="125" t="s">
        <v>241</v>
      </c>
      <c r="AH2" s="128">
        <f>AVERAGE(H2:H7)</f>
        <v>0.36500446</v>
      </c>
      <c r="AI2" s="129">
        <f>AVERAGE(H98:H103)</f>
        <v>0.1276435067</v>
      </c>
      <c r="AJ2" s="129">
        <f>AVERAGE(H194:H199)</f>
        <v>0.09174230667</v>
      </c>
      <c r="AK2" s="129">
        <f>AVERAGE(H290:H295)</f>
        <v>0.1693274783</v>
      </c>
      <c r="AL2" s="130">
        <f>AVERAGE(H386:H391)</f>
        <v>0.2500405883</v>
      </c>
      <c r="AN2" s="125" t="s">
        <v>241</v>
      </c>
      <c r="AO2" s="128">
        <f>AVERAGE(I2:I7)</f>
        <v>6.670137072</v>
      </c>
      <c r="AP2" s="129">
        <f>AVERAGE(I98:I103)</f>
        <v>4.205855715</v>
      </c>
      <c r="AQ2" s="129">
        <f>AVERAGE(I194:I199)</f>
        <v>2.96270393</v>
      </c>
      <c r="AR2" s="129">
        <f>AVERAGE(I290:I295)</f>
        <v>5.280990543</v>
      </c>
      <c r="AS2" s="130">
        <f>AVERAGE(I386:I391)</f>
        <v>8.161998335</v>
      </c>
      <c r="AU2" s="125" t="s">
        <v>241</v>
      </c>
      <c r="AV2" s="128">
        <f>AVERAGE(J2:J7)</f>
        <v>42.70685246</v>
      </c>
      <c r="AW2" s="129">
        <f>AVERAGE(J98:J103)</f>
        <v>62.11819843</v>
      </c>
      <c r="AX2" s="129">
        <f>AVERAGE(J194:J199)</f>
        <v>33.82366779</v>
      </c>
      <c r="AY2" s="129">
        <f>AVERAGE(J290:J295)</f>
        <v>67.73756099</v>
      </c>
      <c r="AZ2" s="130">
        <f>AVERAGE(J386:J391)</f>
        <v>44.92539826</v>
      </c>
      <c r="BB2" s="125" t="s">
        <v>241</v>
      </c>
      <c r="BC2" s="128">
        <f>AVERAGE(K2:K7)</f>
        <v>-0.2986666667</v>
      </c>
      <c r="BD2" s="129">
        <f>AVERAGE(K98:K103)</f>
        <v>-0.4873333333</v>
      </c>
      <c r="BE2" s="129">
        <f>AVERAGE(K194:K199)</f>
        <v>-0.5925</v>
      </c>
      <c r="BF2" s="129">
        <f>AVERAGE(K290:K295)</f>
        <v>-0.194</v>
      </c>
      <c r="BG2" s="130">
        <f>AVERAGE(K386:K391)</f>
        <v>-0.3793333333</v>
      </c>
      <c r="BI2" s="125" t="s">
        <v>241</v>
      </c>
      <c r="BJ2" s="128">
        <f>AVERAGE(L2:L7)</f>
        <v>-0.7358333333</v>
      </c>
      <c r="BK2" s="129">
        <f>AVERAGE(L98:L103)</f>
        <v>-1.158833333</v>
      </c>
      <c r="BL2" s="129">
        <f>AVERAGE(L194:L199)</f>
        <v>-1.396666667</v>
      </c>
      <c r="BM2" s="129">
        <f>AVERAGE(L290:L295)</f>
        <v>-0.7018333333</v>
      </c>
      <c r="BN2" s="130">
        <f>AVERAGE(L386:L391)</f>
        <v>-0.7836666667</v>
      </c>
      <c r="BP2" s="125" t="s">
        <v>241</v>
      </c>
      <c r="BQ2" s="128">
        <f>AVERAGE(M2:M7)</f>
        <v>0.3686666667</v>
      </c>
      <c r="BR2" s="129">
        <f>AVERAGE(M98:M103)</f>
        <v>0.7503333333</v>
      </c>
      <c r="BS2" s="129">
        <f>AVERAGE(M194:M199)</f>
        <v>0.8041666667</v>
      </c>
      <c r="BT2" s="129">
        <f>AVERAGE(M290:M295)</f>
        <v>0.51325</v>
      </c>
      <c r="BU2" s="129">
        <f>AVERAGE(M386:M391)</f>
        <v>0.4043333333</v>
      </c>
      <c r="BW2" s="125" t="s">
        <v>241</v>
      </c>
      <c r="BX2" s="128">
        <f>AVERAGE(N2:N7)</f>
        <v>40.95</v>
      </c>
      <c r="BY2" s="129">
        <f>AVERAGE(N98:N103)</f>
        <v>41.7</v>
      </c>
      <c r="BZ2" s="129">
        <f>AVERAGE(N194:N199)</f>
        <v>44.11666667</v>
      </c>
      <c r="CA2" s="129">
        <f>AVERAGE(N290:N295)</f>
        <v>41.61666667</v>
      </c>
      <c r="CB2" s="130">
        <f>AVERAGE(N386:N391)</f>
        <v>42.13333333</v>
      </c>
      <c r="CD2" s="125" t="s">
        <v>241</v>
      </c>
      <c r="CE2" s="128">
        <f>AVERAGE(O2:O7)</f>
        <v>15.83609902</v>
      </c>
      <c r="CF2" s="129">
        <f>AVERAGE(O98:O103)</f>
        <v>6.417744225</v>
      </c>
      <c r="CG2" s="129">
        <f>AVERAGE(O194:O199)</f>
        <v>3.476113791</v>
      </c>
      <c r="CH2" s="129">
        <f>AVERAGE(O290:O295)</f>
        <v>10.49772519</v>
      </c>
      <c r="CI2" s="130">
        <f>AVERAGE(O386:O391)</f>
        <v>21.06338919</v>
      </c>
      <c r="CK2" s="125" t="s">
        <v>241</v>
      </c>
      <c r="CL2" s="128">
        <f>AVERAGE(P2:P7)</f>
        <v>8.894464511</v>
      </c>
      <c r="CM2" s="129">
        <f>AVERAGE(P98:P103)</f>
        <v>5.689313944</v>
      </c>
      <c r="CN2" s="129">
        <f>AVERAGE(P194:P199)</f>
        <v>3.121501214</v>
      </c>
      <c r="CO2" s="129">
        <f>AVERAGE(P290:P295)</f>
        <v>9.641008908</v>
      </c>
      <c r="CP2" s="129">
        <f>AVERAGE(P386:P391)</f>
        <v>21.38903848</v>
      </c>
      <c r="CR2" s="125" t="s">
        <v>241</v>
      </c>
      <c r="CS2" s="128">
        <f>AVERAGE(Q2:Q7)</f>
        <v>1.047619048</v>
      </c>
      <c r="CT2" s="129">
        <f>AVERAGE(Q98:Q103)</f>
        <v>0.7380952381</v>
      </c>
      <c r="CU2" s="129">
        <f>AVERAGE(Q194:Q199)</f>
        <v>0.09523809524</v>
      </c>
      <c r="CV2" s="129">
        <f>AVERAGE(Q290:Q295)</f>
        <v>0.4166666667</v>
      </c>
      <c r="CW2" s="130">
        <f>AVERAGE(Q386:Q391)</f>
        <v>0.4166666667</v>
      </c>
      <c r="CY2" s="125" t="s">
        <v>241</v>
      </c>
      <c r="CZ2" s="128">
        <f>AVERAGE(R2:R7)</f>
        <v>0.5650998</v>
      </c>
      <c r="DA2" s="129">
        <f>AVERAGE(R98:R103)</f>
        <v>0.879314775</v>
      </c>
      <c r="DB2" s="129">
        <f>AVERAGE(R194:R199)</f>
        <v>0.928030275</v>
      </c>
      <c r="DC2" s="129">
        <f>AVERAGE(R290:R295)</f>
        <v>0.928030275</v>
      </c>
      <c r="DD2" s="129">
        <f>AVERAGE(R386:R391)</f>
        <v>0.98892465</v>
      </c>
      <c r="DF2" s="131" t="s">
        <v>241</v>
      </c>
      <c r="DG2" s="132">
        <f>AVERAGE(S2:S7)</f>
        <v>131.8084887</v>
      </c>
      <c r="DI2" s="131" t="s">
        <v>241</v>
      </c>
      <c r="DJ2" s="133">
        <f>AVERAGE(T2:T7)</f>
        <v>17.71666667</v>
      </c>
    </row>
    <row r="3" ht="14.25" customHeight="1">
      <c r="A3" s="134" t="s">
        <v>238</v>
      </c>
      <c r="B3" s="135" t="s">
        <v>239</v>
      </c>
      <c r="C3" s="135" t="s">
        <v>5</v>
      </c>
      <c r="D3" s="135" t="s">
        <v>240</v>
      </c>
      <c r="E3" s="8">
        <v>2.0</v>
      </c>
      <c r="F3" s="136" t="s">
        <v>232</v>
      </c>
      <c r="G3" s="137">
        <v>12.7785882</v>
      </c>
      <c r="H3" s="137">
        <v>0.34166575</v>
      </c>
      <c r="I3" s="137">
        <v>5.47102595</v>
      </c>
      <c r="J3" s="120">
        <f t="shared" si="1"/>
        <v>37.40084629</v>
      </c>
      <c r="K3" s="121"/>
      <c r="L3" s="121">
        <v>-0.72</v>
      </c>
      <c r="M3" s="122"/>
      <c r="N3" s="120">
        <v>42.0</v>
      </c>
      <c r="O3" s="120">
        <v>13.026252261904762</v>
      </c>
      <c r="P3" s="123">
        <v>7.805338822397305</v>
      </c>
      <c r="Q3" s="120">
        <v>1.1428571428571428</v>
      </c>
      <c r="R3" s="120">
        <v>0.5992006500000001</v>
      </c>
      <c r="S3" s="120">
        <v>176.1391304347826</v>
      </c>
      <c r="T3" s="124">
        <v>16.1</v>
      </c>
      <c r="Z3" s="32" t="s">
        <v>30</v>
      </c>
      <c r="AA3" s="120">
        <f>AVERAGE(G8:G13)</f>
        <v>14.45236978</v>
      </c>
      <c r="AB3" s="120">
        <f>AVERAGE(G104:G109)</f>
        <v>9.469301988</v>
      </c>
      <c r="AC3" s="120">
        <f>AVERAGE(G200:G205)</f>
        <v>6.50143057</v>
      </c>
      <c r="AD3" s="120">
        <f>AVERAGE(G296:G301)</f>
        <v>13.46789158</v>
      </c>
      <c r="AE3" s="124">
        <f>AVERAGE(G392:G397)</f>
        <v>15.23717363</v>
      </c>
      <c r="AG3" s="32" t="s">
        <v>30</v>
      </c>
      <c r="AH3" s="138">
        <f>AVERAGE(H8:H13)</f>
        <v>0.2739106383</v>
      </c>
      <c r="AI3" s="139">
        <f>AVERAGE(H104:H109)</f>
        <v>0.1588436783</v>
      </c>
      <c r="AJ3" s="139">
        <f>AVERAGE(H200:H205)</f>
        <v>0.091094735</v>
      </c>
      <c r="AK3" s="139">
        <f>AVERAGE(H296:H301)</f>
        <v>0.2298050933</v>
      </c>
      <c r="AL3" s="140">
        <f>AVERAGE(H392:H397)</f>
        <v>0.299844365</v>
      </c>
      <c r="AN3" s="32" t="s">
        <v>30</v>
      </c>
      <c r="AO3" s="138">
        <f>AVERAGE(I8:I13)</f>
        <v>5.416136552</v>
      </c>
      <c r="AP3" s="139">
        <f>AVERAGE(I104:I109)</f>
        <v>5.045128265</v>
      </c>
      <c r="AQ3" s="139">
        <f>AVERAGE(I200:I205)</f>
        <v>3.124654812</v>
      </c>
      <c r="AR3" s="139">
        <f>AVERAGE(I296:I301)</f>
        <v>6.597966292</v>
      </c>
      <c r="AS3" s="140">
        <f>AVERAGE(I392:I397)</f>
        <v>9.68592238</v>
      </c>
      <c r="AU3" s="32" t="s">
        <v>30</v>
      </c>
      <c r="AV3" s="138">
        <f>AVERAGE(J8:J13)</f>
        <v>58.41999523</v>
      </c>
      <c r="AW3" s="139">
        <f>AVERAGE(J104:J109)</f>
        <v>62.1697828</v>
      </c>
      <c r="AX3" s="139">
        <f>AVERAGE(J200:J205)</f>
        <v>72.41277107</v>
      </c>
      <c r="AY3" s="139">
        <f>AVERAGE(J296:J301)</f>
        <v>59.90950202</v>
      </c>
      <c r="AZ3" s="140">
        <f>AVERAGE(J392:J397)</f>
        <v>50.98061436</v>
      </c>
      <c r="BB3" s="32" t="s">
        <v>30</v>
      </c>
      <c r="BC3" s="138">
        <f>AVERAGE(K8:K13)</f>
        <v>-0.3223333333</v>
      </c>
      <c r="BD3" s="139">
        <f>AVERAGE(K104:K109)</f>
        <v>-0.4293333333</v>
      </c>
      <c r="BE3" s="139">
        <f>AVERAGE(K200:K205)</f>
        <v>-0.5373333333</v>
      </c>
      <c r="BF3" s="139">
        <f>AVERAGE(K296:K301)</f>
        <v>-0.13775</v>
      </c>
      <c r="BG3" s="140">
        <f>AVERAGE(K392:K397)</f>
        <v>-0.3455</v>
      </c>
      <c r="BI3" s="32" t="s">
        <v>30</v>
      </c>
      <c r="BJ3" s="138">
        <f>AVERAGE(L8:L13)</f>
        <v>-0.7983333333</v>
      </c>
      <c r="BK3" s="139">
        <f>AVERAGE(L104:L109)</f>
        <v>-1.169</v>
      </c>
      <c r="BL3" s="139">
        <f>AVERAGE(L200:L205)</f>
        <v>-1.447</v>
      </c>
      <c r="BM3" s="139">
        <f>AVERAGE(L296:L301)</f>
        <v>-0.6393333333</v>
      </c>
      <c r="BN3" s="140">
        <f>AVERAGE(L392:L397)</f>
        <v>-0.7611666667</v>
      </c>
      <c r="BP3" s="32" t="s">
        <v>30</v>
      </c>
      <c r="BQ3" s="138">
        <f>AVERAGE(M8:M13)</f>
        <v>0.4983333333</v>
      </c>
      <c r="BR3" s="139">
        <f>AVERAGE(M104:M109)</f>
        <v>0.773</v>
      </c>
      <c r="BS3" s="139">
        <f>AVERAGE(M200:M205)</f>
        <v>0.9096666667</v>
      </c>
      <c r="BT3" s="139">
        <f>AVERAGE(M296:M301)</f>
        <v>0.4795</v>
      </c>
      <c r="BU3" s="139">
        <f>AVERAGE(M392:M397)</f>
        <v>0.4156666667</v>
      </c>
      <c r="BW3" s="32" t="s">
        <v>30</v>
      </c>
      <c r="BX3" s="138">
        <f>AVERAGE(N8:N13)</f>
        <v>41.95</v>
      </c>
      <c r="BY3" s="139">
        <f>AVERAGE(N104:N109)</f>
        <v>45.93333333</v>
      </c>
      <c r="BZ3" s="139">
        <f>AVERAGE(N200:N205)</f>
        <v>49.96666667</v>
      </c>
      <c r="CA3" s="139">
        <f>AVERAGE(N296:N301)</f>
        <v>44.3</v>
      </c>
      <c r="CB3" s="140">
        <f>AVERAGE(N392:N397)</f>
        <v>41.95</v>
      </c>
      <c r="CD3" s="32" t="s">
        <v>30</v>
      </c>
      <c r="CE3" s="138">
        <f>AVERAGE(O8:O13)</f>
        <v>11.95646951</v>
      </c>
      <c r="CF3" s="139">
        <f>AVERAGE(O104:O109)</f>
        <v>6.940338731</v>
      </c>
      <c r="CG3" s="139">
        <f>AVERAGE(O200:O205)</f>
        <v>3.450245911</v>
      </c>
      <c r="CH3" s="139">
        <f>AVERAGE(O296:O301)</f>
        <v>13.66575183</v>
      </c>
      <c r="CI3" s="140">
        <f>AVERAGE(O392:O397)</f>
        <v>24.17187921</v>
      </c>
      <c r="CK3" s="32" t="s">
        <v>30</v>
      </c>
      <c r="CL3" s="138">
        <f>AVERAGE(P8:P13)</f>
        <v>7.257638283</v>
      </c>
      <c r="CM3" s="139">
        <f>AVERAGE(P104:P109)</f>
        <v>6.348202126</v>
      </c>
      <c r="CN3" s="139">
        <f>AVERAGE(P200:P205)</f>
        <v>3.335773226</v>
      </c>
      <c r="CO3" s="139">
        <f>AVERAGE(P296:P301)</f>
        <v>13.10931797</v>
      </c>
      <c r="CP3" s="139">
        <f>AVERAGE(P392:P397)</f>
        <v>25.04492436</v>
      </c>
      <c r="CR3" s="32" t="s">
        <v>30</v>
      </c>
      <c r="CS3" s="138">
        <f>AVERAGE(Q8:Q13)</f>
        <v>1.023809524</v>
      </c>
      <c r="CT3" s="139">
        <f>AVERAGE(Q104:Q109)</f>
        <v>0.619047619</v>
      </c>
      <c r="CU3" s="139">
        <f>AVERAGE(Q200:Q205)</f>
        <v>0.04761904762</v>
      </c>
      <c r="CV3" s="139">
        <f>AVERAGE(Q296:Q301)</f>
        <v>0.55</v>
      </c>
      <c r="CW3" s="140">
        <f>AVERAGE(Q392:Q397)</f>
        <v>0.55</v>
      </c>
      <c r="CY3" s="32" t="s">
        <v>30</v>
      </c>
      <c r="CZ3" s="138">
        <f>AVERAGE(R8:R13)</f>
        <v>0.606507975</v>
      </c>
      <c r="DA3" s="139">
        <f>AVERAGE(R104:R109)</f>
        <v>0.9255945</v>
      </c>
      <c r="DB3" s="139">
        <f>AVERAGE(R200:R205)</f>
        <v>0.9645669</v>
      </c>
      <c r="DC3" s="139">
        <f>AVERAGE(R296:R301)</f>
        <v>0.9645669</v>
      </c>
      <c r="DD3" s="139">
        <f>AVERAGE(R392:R397)</f>
        <v>1.044947475</v>
      </c>
      <c r="DF3" s="141" t="s">
        <v>30</v>
      </c>
      <c r="DG3" s="142">
        <f>AVERAGE(S8:S13)</f>
        <v>156.9652663</v>
      </c>
      <c r="DI3" s="141" t="s">
        <v>30</v>
      </c>
      <c r="DJ3" s="143">
        <f>AVERAGE(T8:T13)</f>
        <v>17.7</v>
      </c>
    </row>
    <row r="4" ht="14.25" customHeight="1">
      <c r="A4" s="134" t="s">
        <v>238</v>
      </c>
      <c r="B4" s="135" t="s">
        <v>239</v>
      </c>
      <c r="C4" s="135" t="s">
        <v>5</v>
      </c>
      <c r="D4" s="135" t="s">
        <v>240</v>
      </c>
      <c r="E4" s="8">
        <v>3.0</v>
      </c>
      <c r="F4" s="136" t="s">
        <v>232</v>
      </c>
      <c r="G4" s="137">
        <v>16.833082</v>
      </c>
      <c r="H4" s="137">
        <v>0.36492115</v>
      </c>
      <c r="I4" s="137">
        <v>7.04139305</v>
      </c>
      <c r="J4" s="120">
        <f t="shared" si="1"/>
        <v>46.12799779</v>
      </c>
      <c r="K4" s="121">
        <v>-0.31</v>
      </c>
      <c r="L4" s="121">
        <v>-0.63</v>
      </c>
      <c r="M4" s="122">
        <v>0.32</v>
      </c>
      <c r="N4" s="120">
        <v>39.2</v>
      </c>
      <c r="O4" s="120">
        <v>22.004353281249998</v>
      </c>
      <c r="P4" s="123">
        <v>13.185022788954633</v>
      </c>
      <c r="Q4" s="120">
        <v>1.1428571428571428</v>
      </c>
      <c r="R4" s="120">
        <v>0.5992006500000001</v>
      </c>
      <c r="S4" s="120">
        <v>179.03489361702128</v>
      </c>
      <c r="T4" s="124">
        <v>15.2</v>
      </c>
      <c r="Z4" s="32" t="s">
        <v>42</v>
      </c>
      <c r="AA4" s="120">
        <f>AVERAGE(G14:G19)</f>
        <v>16.40768692</v>
      </c>
      <c r="AB4" s="120">
        <f>AVERAGE(G110:G115)</f>
        <v>8.177696002</v>
      </c>
      <c r="AC4" s="120">
        <f>AVERAGE(G206:G211)</f>
        <v>4.371606172</v>
      </c>
      <c r="AD4" s="120">
        <f>AVERAGE(G302:G307)</f>
        <v>12.00877145</v>
      </c>
      <c r="AE4" s="124">
        <f>AVERAGE(G398:G403)</f>
        <v>14.55926017</v>
      </c>
      <c r="AG4" s="32" t="s">
        <v>42</v>
      </c>
      <c r="AH4" s="138">
        <f>AVERAGE(H14:H19)</f>
        <v>0.4318714783</v>
      </c>
      <c r="AI4" s="139">
        <f>AVERAGE(H110:H115)</f>
        <v>0.1266970933</v>
      </c>
      <c r="AJ4" s="139">
        <f>AVERAGE(H206:H211)</f>
        <v>0.05693632333</v>
      </c>
      <c r="AK4" s="139">
        <f>AVERAGE(H302:H307)</f>
        <v>0.1876000867</v>
      </c>
      <c r="AL4" s="140">
        <f>AVERAGE(H398:H403)</f>
        <v>0.2887530467</v>
      </c>
      <c r="AN4" s="32" t="s">
        <v>42</v>
      </c>
      <c r="AO4" s="138">
        <f>AVERAGE(I14:I19)</f>
        <v>7.325264667</v>
      </c>
      <c r="AP4" s="139">
        <f>AVERAGE(I110:I115)</f>
        <v>4.406109265</v>
      </c>
      <c r="AQ4" s="139">
        <f>AVERAGE(I206:I211)</f>
        <v>2.169672702</v>
      </c>
      <c r="AR4" s="139">
        <f>AVERAGE(I302:I307)</f>
        <v>5.765269287</v>
      </c>
      <c r="AS4" s="140">
        <f>AVERAGE(I398:I403)</f>
        <v>9.294137368</v>
      </c>
      <c r="AU4" s="32" t="s">
        <v>42</v>
      </c>
      <c r="AV4" s="138">
        <f>AVERAGE(J14:J19)</f>
        <v>38.62017287</v>
      </c>
      <c r="AW4" s="139">
        <f>AVERAGE(J110:J115)</f>
        <v>66.02807927</v>
      </c>
      <c r="AX4" s="139">
        <f>AVERAGE(J206:J211)</f>
        <v>74.81112622</v>
      </c>
      <c r="AY4" s="139">
        <f>AVERAGE(J302:J307)</f>
        <v>64.30831168</v>
      </c>
      <c r="AZ4" s="140">
        <f>AVERAGE(J398:J403)</f>
        <v>50.37572674</v>
      </c>
      <c r="BB4" s="32" t="s">
        <v>42</v>
      </c>
      <c r="BC4" s="138">
        <f>AVERAGE(K14:K19)</f>
        <v>-0.1873333333</v>
      </c>
      <c r="BD4" s="139">
        <f>AVERAGE(K110:K115)</f>
        <v>-0.35</v>
      </c>
      <c r="BE4" s="139">
        <f>AVERAGE(K206:K211)</f>
        <v>-0.3886666667</v>
      </c>
      <c r="BF4" s="139">
        <f>AVERAGE(K302:K307)</f>
        <v>-0.1345</v>
      </c>
      <c r="BG4" s="140">
        <f>AVERAGE(K398:K403)</f>
        <v>-0.2721666667</v>
      </c>
      <c r="BI4" s="32" t="s">
        <v>42</v>
      </c>
      <c r="BJ4" s="138">
        <f>AVERAGE(L14:L19)</f>
        <v>-0.7111666667</v>
      </c>
      <c r="BK4" s="139">
        <f>AVERAGE(L110:L115)</f>
        <v>-1.058833333</v>
      </c>
      <c r="BL4" s="139">
        <f>AVERAGE(L206:L211)</f>
        <v>-1.393833333</v>
      </c>
      <c r="BM4" s="139">
        <f>AVERAGE(L302:L307)</f>
        <v>-0.64</v>
      </c>
      <c r="BN4" s="140">
        <f>AVERAGE(L398:L403)</f>
        <v>-0.7061666667</v>
      </c>
      <c r="BP4" s="32" t="s">
        <v>42</v>
      </c>
      <c r="BQ4" s="138">
        <f>AVERAGE(M14:M19)</f>
        <v>0.4326666667</v>
      </c>
      <c r="BR4" s="139">
        <f>AVERAGE(M110:M115)</f>
        <v>0.747</v>
      </c>
      <c r="BS4" s="139">
        <f>AVERAGE(M206:M211)</f>
        <v>1.005166667</v>
      </c>
      <c r="BT4" s="139">
        <f>AVERAGE(M302:M307)</f>
        <v>0.50875</v>
      </c>
      <c r="BU4" s="139">
        <f>AVERAGE(M398:M403)</f>
        <v>0.434</v>
      </c>
      <c r="BW4" s="32" t="s">
        <v>42</v>
      </c>
      <c r="BX4" s="138">
        <f>AVERAGE(N14:N19)</f>
        <v>35.95</v>
      </c>
      <c r="BY4" s="139">
        <f>AVERAGE(N110:N115)</f>
        <v>37.03333333</v>
      </c>
      <c r="BZ4" s="139">
        <f>AVERAGE(N206:N211)</f>
        <v>42.23333333</v>
      </c>
      <c r="CA4" s="139">
        <f>AVERAGE(N302:N307)</f>
        <v>41.68333333</v>
      </c>
      <c r="CB4" s="140">
        <f>AVERAGE(N398:N403)</f>
        <v>38</v>
      </c>
      <c r="CD4" s="32" t="s">
        <v>42</v>
      </c>
      <c r="CE4" s="138">
        <f>AVERAGE(O14:O19)</f>
        <v>14.35038119</v>
      </c>
      <c r="CF4" s="139">
        <f>AVERAGE(O110:O115)</f>
        <v>6.268441918</v>
      </c>
      <c r="CG4" s="139">
        <f>AVERAGE(O206:O211)</f>
        <v>2.152116948</v>
      </c>
      <c r="CH4" s="139">
        <f>AVERAGE(O302:O307)</f>
        <v>11.64822609</v>
      </c>
      <c r="CI4" s="140">
        <f>AVERAGE(O398:O403)</f>
        <v>22.545751</v>
      </c>
      <c r="CK4" s="32" t="s">
        <v>42</v>
      </c>
      <c r="CL4" s="138">
        <f>AVERAGE(P14:P19)</f>
        <v>7.440450014</v>
      </c>
      <c r="CM4" s="139">
        <f>AVERAGE(P110:P115)</f>
        <v>6.75839849</v>
      </c>
      <c r="CN4" s="139">
        <f>AVERAGE(P206:P211)</f>
        <v>2.408697079</v>
      </c>
      <c r="CO4" s="139">
        <f>AVERAGE(P302:P307)</f>
        <v>13.05310853</v>
      </c>
      <c r="CP4" s="139">
        <f>AVERAGE(P398:P403)</f>
        <v>27.05525797</v>
      </c>
      <c r="CR4" s="32" t="s">
        <v>42</v>
      </c>
      <c r="CS4" s="138">
        <f>AVERAGE(Q14:Q19)</f>
        <v>1.238095238</v>
      </c>
      <c r="CT4" s="139">
        <f>AVERAGE(Q110:Q115)</f>
        <v>0.880952381</v>
      </c>
      <c r="CU4" s="139">
        <f>AVERAGE(Q206:Q211)</f>
        <v>0.02380952381</v>
      </c>
      <c r="CV4" s="139">
        <f>AVERAGE(Q302:Q307)</f>
        <v>0.5833333333</v>
      </c>
      <c r="CW4" s="140">
        <f>AVERAGE(Q398:Q403)</f>
        <v>0.5833333333</v>
      </c>
      <c r="CY4" s="32" t="s">
        <v>42</v>
      </c>
      <c r="CZ4" s="138">
        <f>AVERAGE(R14:R19)</f>
        <v>0.5176418542</v>
      </c>
      <c r="DA4" s="139">
        <f>AVERAGE(R110:R115)</f>
        <v>1.06686945</v>
      </c>
      <c r="DB4" s="139">
        <f>AVERAGE(R206:R211)</f>
        <v>1.11558495</v>
      </c>
      <c r="DC4" s="139">
        <f>AVERAGE(R302:R307)</f>
        <v>1.11558495</v>
      </c>
      <c r="DD4" s="139">
        <f>AVERAGE(R398:R403)</f>
        <v>1.200837075</v>
      </c>
      <c r="DF4" s="141" t="s">
        <v>42</v>
      </c>
      <c r="DG4" s="142">
        <f>AVERAGE(S14:S19)</f>
        <v>180.433047</v>
      </c>
      <c r="DI4" s="141" t="s">
        <v>42</v>
      </c>
      <c r="DJ4" s="143">
        <f>AVERAGE(T14:T19)</f>
        <v>32.68333333</v>
      </c>
    </row>
    <row r="5" ht="14.25" customHeight="1">
      <c r="A5" s="134" t="s">
        <v>238</v>
      </c>
      <c r="B5" s="135" t="s">
        <v>239</v>
      </c>
      <c r="C5" s="135" t="s">
        <v>5</v>
      </c>
      <c r="D5" s="135" t="s">
        <v>240</v>
      </c>
      <c r="E5" s="8">
        <v>4.0</v>
      </c>
      <c r="F5" s="136" t="s">
        <v>232</v>
      </c>
      <c r="G5" s="137">
        <v>13.9478851</v>
      </c>
      <c r="H5" s="137">
        <v>0.3517747</v>
      </c>
      <c r="I5" s="137">
        <v>7.71859993</v>
      </c>
      <c r="J5" s="120">
        <f t="shared" si="1"/>
        <v>39.65005187</v>
      </c>
      <c r="K5" s="121"/>
      <c r="L5" s="121">
        <v>-0.884</v>
      </c>
      <c r="M5" s="122"/>
      <c r="N5" s="120">
        <v>40.6</v>
      </c>
      <c r="O5" s="120">
        <v>13.216780702054793</v>
      </c>
      <c r="P5" s="123">
        <v>7.726344963491406</v>
      </c>
      <c r="Q5" s="120">
        <v>1.2857142857142858</v>
      </c>
      <c r="R5" s="120">
        <v>0.5845860000000002</v>
      </c>
      <c r="S5" s="120">
        <v>154.95</v>
      </c>
      <c r="T5" s="124">
        <v>10.8</v>
      </c>
      <c r="Z5" s="32" t="s">
        <v>242</v>
      </c>
      <c r="AA5" s="120">
        <f>AVERAGE(G20:G25)</f>
        <v>15.54060995</v>
      </c>
      <c r="AB5" s="120">
        <f>AVERAGE(G116:G121)</f>
        <v>9.455476135</v>
      </c>
      <c r="AC5" s="120">
        <f>AVERAGE(G212:G217)</f>
        <v>7.254412427</v>
      </c>
      <c r="AD5" s="120">
        <f>AVERAGE(G308:G313)</f>
        <v>11.08086877</v>
      </c>
      <c r="AE5" s="124">
        <f>AVERAGE(G404:G409)</f>
        <v>13.05503293</v>
      </c>
      <c r="AG5" s="32" t="s">
        <v>242</v>
      </c>
      <c r="AH5" s="138">
        <f>AVERAGE(H20:H25)</f>
        <v>0.2489248617</v>
      </c>
      <c r="AI5" s="139">
        <f>AVERAGE(H116:H121)</f>
        <v>0.1743334467</v>
      </c>
      <c r="AJ5" s="139">
        <f>AVERAGE(H212:H217)</f>
        <v>0.08940557333</v>
      </c>
      <c r="AK5" s="139">
        <f>AVERAGE(H308:H313)</f>
        <v>0.1728173367</v>
      </c>
      <c r="AL5" s="140">
        <f>AVERAGE(H404:H409)</f>
        <v>0.2159336867</v>
      </c>
      <c r="AN5" s="32" t="s">
        <v>242</v>
      </c>
      <c r="AO5" s="138">
        <f>AVERAGE(I20:I25)</f>
        <v>5.237203283</v>
      </c>
      <c r="AP5" s="139">
        <f>AVERAGE(I116:I121)</f>
        <v>5.639232867</v>
      </c>
      <c r="AQ5" s="139">
        <f>AVERAGE(I212:I217)</f>
        <v>3.116809097</v>
      </c>
      <c r="AR5" s="139">
        <f>AVERAGE(I308:I313)</f>
        <v>5.793438678</v>
      </c>
      <c r="AS5" s="140">
        <f>AVERAGE(I404:I409)</f>
        <v>7.711192422</v>
      </c>
      <c r="AU5" s="32" t="s">
        <v>242</v>
      </c>
      <c r="AV5" s="138">
        <f>AVERAGE(J20:J25)</f>
        <v>63.99680216</v>
      </c>
      <c r="AW5" s="139">
        <f>AVERAGE(J116:J121)</f>
        <v>55.05411875</v>
      </c>
      <c r="AX5" s="139">
        <f>AVERAGE(J212:J217)</f>
        <v>78.53477608</v>
      </c>
      <c r="AY5" s="139">
        <f>AVERAGE(J308:J313)</f>
        <v>64.12140325</v>
      </c>
      <c r="AZ5" s="140">
        <f>AVERAGE(J404:J409)</f>
        <v>63.125252</v>
      </c>
      <c r="BB5" s="32" t="s">
        <v>242</v>
      </c>
      <c r="BC5" s="138">
        <f>AVERAGE(K20:K25)</f>
        <v>-0.33</v>
      </c>
      <c r="BD5" s="139">
        <f>AVERAGE(K116:K121)</f>
        <v>-0.4283333333</v>
      </c>
      <c r="BE5" s="139">
        <f>AVERAGE(K212:K217)</f>
        <v>-0.495</v>
      </c>
      <c r="BF5" s="139">
        <f>AVERAGE(K308:K313)</f>
        <v>-0.18125</v>
      </c>
      <c r="BG5" s="140">
        <f>AVERAGE(K404:K409)</f>
        <v>-0.3505</v>
      </c>
      <c r="BI5" s="32" t="s">
        <v>242</v>
      </c>
      <c r="BJ5" s="138">
        <f>AVERAGE(L20:L25)</f>
        <v>-0.7718333333</v>
      </c>
      <c r="BK5" s="139">
        <f>AVERAGE(L116:L121)</f>
        <v>-1.095333333</v>
      </c>
      <c r="BL5" s="139">
        <f>AVERAGE(L212:L217)</f>
        <v>-1.341333333</v>
      </c>
      <c r="BM5" s="139">
        <f>AVERAGE(L308:L313)</f>
        <v>-0.6243333333</v>
      </c>
      <c r="BN5" s="140">
        <f>AVERAGE(L404:L409)</f>
        <v>-0.6856666667</v>
      </c>
      <c r="BP5" s="32" t="s">
        <v>242</v>
      </c>
      <c r="BQ5" s="138">
        <f>AVERAGE(M20:M25)</f>
        <v>0.4646666667</v>
      </c>
      <c r="BR5" s="139">
        <f>AVERAGE(M116:M121)</f>
        <v>0.7216666667</v>
      </c>
      <c r="BS5" s="139">
        <f>AVERAGE(M212:M217)</f>
        <v>0.8463333333</v>
      </c>
      <c r="BT5" s="139">
        <f>AVERAGE(M308:M313)</f>
        <v>0.49</v>
      </c>
      <c r="BU5" s="139">
        <f>AVERAGE(M404:M409)</f>
        <v>0.3351666667</v>
      </c>
      <c r="BW5" s="32" t="s">
        <v>242</v>
      </c>
      <c r="BX5" s="138">
        <f>AVERAGE(N20:N25)</f>
        <v>46.16666667</v>
      </c>
      <c r="BY5" s="139">
        <f>AVERAGE(N116:N121)</f>
        <v>47.78333333</v>
      </c>
      <c r="BZ5" s="139">
        <f>AVERAGE(N212:N217)</f>
        <v>46.5</v>
      </c>
      <c r="CA5" s="139">
        <f>AVERAGE(N308:N313)</f>
        <v>46.25</v>
      </c>
      <c r="CB5" s="140">
        <f>AVERAGE(N404:N409)</f>
        <v>47.11666667</v>
      </c>
      <c r="CD5" s="32" t="s">
        <v>242</v>
      </c>
      <c r="CE5" s="138">
        <f>AVERAGE(O20:O25)</f>
        <v>12.46944362</v>
      </c>
      <c r="CF5" s="139">
        <f>AVERAGE(O116:O121)</f>
        <v>8.586686041</v>
      </c>
      <c r="CG5" s="139">
        <f>AVERAGE(O212:O217)</f>
        <v>3.965244565</v>
      </c>
      <c r="CH5" s="139">
        <f>AVERAGE(O308:O313)</f>
        <v>13.09168656</v>
      </c>
      <c r="CI5" s="140">
        <f>AVERAGE(O404:O409)</f>
        <v>24.33473794</v>
      </c>
      <c r="CK5" s="32" t="s">
        <v>242</v>
      </c>
      <c r="CL5" s="138">
        <f>AVERAGE(P20:P25)</f>
        <v>7.921448295</v>
      </c>
      <c r="CM5" s="139">
        <f>AVERAGE(P116:P121)</f>
        <v>8.260040012</v>
      </c>
      <c r="CN5" s="139">
        <f>AVERAGE(P212:P217)</f>
        <v>4.025217314</v>
      </c>
      <c r="CO5" s="139">
        <f>AVERAGE(P308:P313)</f>
        <v>13.11404644</v>
      </c>
      <c r="CP5" s="139">
        <f>AVERAGE(P404:P409)</f>
        <v>25.93516604</v>
      </c>
      <c r="CR5" s="32" t="s">
        <v>242</v>
      </c>
      <c r="CS5" s="138">
        <f>AVERAGE(Q20:Q25)</f>
        <v>1.166666667</v>
      </c>
      <c r="CT5" s="139">
        <f>AVERAGE(Q116:Q121)</f>
        <v>0.7380952381</v>
      </c>
      <c r="CU5" s="139">
        <f>AVERAGE(Q212:Q217)</f>
        <v>0.02380952381</v>
      </c>
      <c r="CV5" s="139">
        <f>AVERAGE(Q308:Q313)</f>
        <v>0.5</v>
      </c>
      <c r="CW5" s="140">
        <f>AVERAGE(Q404:Q409)</f>
        <v>0.5</v>
      </c>
      <c r="CY5" s="32" t="s">
        <v>242</v>
      </c>
      <c r="CZ5" s="138">
        <f>AVERAGE(R20:R25)</f>
        <v>0.6279212667</v>
      </c>
      <c r="DA5" s="139">
        <f>AVERAGE(R116:R121)</f>
        <v>0.962131125</v>
      </c>
      <c r="DB5" s="139">
        <f>AVERAGE(R212:R217)</f>
        <v>0.99866775</v>
      </c>
      <c r="DC5" s="139">
        <f>AVERAGE(R308:R313)</f>
        <v>0.99866775</v>
      </c>
      <c r="DD5" s="139">
        <f>AVERAGE(R404:R409)</f>
        <v>1.071741</v>
      </c>
      <c r="DF5" s="141" t="s">
        <v>242</v>
      </c>
      <c r="DG5" s="142">
        <f>AVERAGE(S20:S25)</f>
        <v>160.0095031</v>
      </c>
      <c r="DI5" s="141" t="s">
        <v>242</v>
      </c>
      <c r="DJ5" s="143">
        <f>AVERAGE(T20:T25)</f>
        <v>28.03333333</v>
      </c>
    </row>
    <row r="6" ht="14.25" customHeight="1">
      <c r="A6" s="134" t="s">
        <v>238</v>
      </c>
      <c r="B6" s="135" t="s">
        <v>239</v>
      </c>
      <c r="C6" s="135" t="s">
        <v>5</v>
      </c>
      <c r="D6" s="135" t="s">
        <v>240</v>
      </c>
      <c r="E6" s="8">
        <v>5.0</v>
      </c>
      <c r="F6" s="136" t="s">
        <v>232</v>
      </c>
      <c r="G6" s="137">
        <v>14.8285041</v>
      </c>
      <c r="H6" s="137">
        <v>0.29662361</v>
      </c>
      <c r="I6" s="137">
        <v>5.52177016</v>
      </c>
      <c r="J6" s="120">
        <f t="shared" si="1"/>
        <v>49.99097712</v>
      </c>
      <c r="K6" s="121">
        <v>-0.276</v>
      </c>
      <c r="L6" s="121">
        <v>-0.76</v>
      </c>
      <c r="M6" s="122">
        <v>0.484</v>
      </c>
      <c r="N6" s="120">
        <v>47.6</v>
      </c>
      <c r="O6" s="120">
        <v>11.408616033057852</v>
      </c>
      <c r="P6" s="123">
        <v>6.836050142608687</v>
      </c>
      <c r="Q6" s="120">
        <v>1.1428571428571428</v>
      </c>
      <c r="R6" s="120">
        <v>0.5992006500000001</v>
      </c>
      <c r="S6" s="120">
        <v>117.4617857142857</v>
      </c>
      <c r="T6" s="124">
        <v>24.2</v>
      </c>
      <c r="Z6" s="32" t="s">
        <v>65</v>
      </c>
      <c r="AA6" s="120">
        <f>AVERAGE(G26:G31)</f>
        <v>16.60352193</v>
      </c>
      <c r="AB6" s="120">
        <f>AVERAGE(G122:G127)</f>
        <v>8.020362618</v>
      </c>
      <c r="AC6" s="120">
        <f>AVERAGE(G218:G223)</f>
        <v>5.393164783</v>
      </c>
      <c r="AD6" s="120">
        <f>AVERAGE(G314:G319)</f>
        <v>13.04318597</v>
      </c>
      <c r="AE6" s="124">
        <f>AVERAGE(G410:G415)</f>
        <v>15.25707437</v>
      </c>
      <c r="AG6" s="32" t="s">
        <v>65</v>
      </c>
      <c r="AH6" s="138">
        <f>AVERAGE(H26:H31)</f>
        <v>0.4017758133</v>
      </c>
      <c r="AI6" s="139">
        <f>AVERAGE(H122:H127)</f>
        <v>0.1456587767</v>
      </c>
      <c r="AJ6" s="139">
        <f>AVERAGE(H218:H223)</f>
        <v>0.06439272167</v>
      </c>
      <c r="AK6" s="139">
        <f>AVERAGE(H314:H319)</f>
        <v>0.2089144733</v>
      </c>
      <c r="AL6" s="140">
        <f>AVERAGE(H410:H415)</f>
        <v>0.3021980033</v>
      </c>
      <c r="AN6" s="32" t="s">
        <v>65</v>
      </c>
      <c r="AO6" s="138">
        <f>AVERAGE(I26:I31)</f>
        <v>6.998658043</v>
      </c>
      <c r="AP6" s="139">
        <f>AVERAGE(I122:I127)</f>
        <v>4.97926367</v>
      </c>
      <c r="AQ6" s="139">
        <f>AVERAGE(I218:I223)</f>
        <v>2.506175963</v>
      </c>
      <c r="AR6" s="139">
        <f>AVERAGE(I314:I319)</f>
        <v>6.31021729</v>
      </c>
      <c r="AS6" s="140">
        <f>AVERAGE(I410:I415)</f>
        <v>9.567662432</v>
      </c>
      <c r="AU6" s="32" t="s">
        <v>65</v>
      </c>
      <c r="AV6" s="138">
        <f>AVERAGE(J26:J31)</f>
        <v>45.69207211</v>
      </c>
      <c r="AW6" s="139">
        <f>AVERAGE(J122:J127)</f>
        <v>56.25489766</v>
      </c>
      <c r="AX6" s="139">
        <f>AVERAGE(J218:J223)</f>
        <v>80.24704889</v>
      </c>
      <c r="AY6" s="139">
        <f>AVERAGE(J314:J319)</f>
        <v>62.8671163</v>
      </c>
      <c r="AZ6" s="140">
        <f>AVERAGE(J410:J415)</f>
        <v>52.66017015</v>
      </c>
      <c r="BB6" s="32" t="s">
        <v>65</v>
      </c>
      <c r="BC6" s="138">
        <f>AVERAGE(K26:K31)</f>
        <v>-0.2386666667</v>
      </c>
      <c r="BD6" s="139">
        <f>AVERAGE(K122:K127)</f>
        <v>-0.4526666667</v>
      </c>
      <c r="BE6" s="139">
        <f>AVERAGE(K218:K223)</f>
        <v>-0.5105</v>
      </c>
      <c r="BF6" s="139">
        <f>AVERAGE(K314:K319)</f>
        <v>-0.13285</v>
      </c>
      <c r="BG6" s="140">
        <f>AVERAGE(K410:K415)</f>
        <v>-0.2816666667</v>
      </c>
      <c r="BI6" s="32" t="s">
        <v>65</v>
      </c>
      <c r="BJ6" s="138">
        <f>AVERAGE(L26:L31)</f>
        <v>-0.768</v>
      </c>
      <c r="BK6" s="139">
        <f>AVERAGE(L122:L127)</f>
        <v>-1.094</v>
      </c>
      <c r="BL6" s="139">
        <f>AVERAGE(L218:L223)</f>
        <v>-1.457</v>
      </c>
      <c r="BM6" s="139">
        <f>AVERAGE(L314:L319)</f>
        <v>-0.6285</v>
      </c>
      <c r="BN6" s="140">
        <f>AVERAGE(L410:L415)</f>
        <v>-0.711</v>
      </c>
      <c r="BP6" s="32" t="s">
        <v>65</v>
      </c>
      <c r="BQ6" s="138">
        <f>AVERAGE(M26:M31)</f>
        <v>0.531</v>
      </c>
      <c r="BR6" s="139">
        <f>AVERAGE(M122:M127)</f>
        <v>0.6693333333</v>
      </c>
      <c r="BS6" s="139">
        <f>AVERAGE(M218:M223)</f>
        <v>0.9465</v>
      </c>
      <c r="BT6" s="139">
        <f>AVERAGE(M314:M319)</f>
        <v>0.4844</v>
      </c>
      <c r="BU6" s="139">
        <f>AVERAGE(M410:M415)</f>
        <v>0.4293333333</v>
      </c>
      <c r="BW6" s="32" t="s">
        <v>65</v>
      </c>
      <c r="BX6" s="138">
        <f>AVERAGE(N26:N31)</f>
        <v>39.53333333</v>
      </c>
      <c r="BY6" s="139">
        <f>AVERAGE(N122:N127)</f>
        <v>37.41666667</v>
      </c>
      <c r="BZ6" s="139">
        <f>AVERAGE(N218:N223)</f>
        <v>43.96666667</v>
      </c>
      <c r="CA6" s="139">
        <f>AVERAGE(N314:N319)</f>
        <v>44.15</v>
      </c>
      <c r="CB6" s="140">
        <f>AVERAGE(N410:N415)</f>
        <v>40.36666667</v>
      </c>
      <c r="CD6" s="32" t="s">
        <v>65</v>
      </c>
      <c r="CE6" s="138">
        <f>AVERAGE(O26:O31)</f>
        <v>13.46673654</v>
      </c>
      <c r="CF6" s="139">
        <f>AVERAGE(O122:O127)</f>
        <v>7.865916004</v>
      </c>
      <c r="CG6" s="139">
        <f>AVERAGE(O218:O223)</f>
        <v>2.658120748</v>
      </c>
      <c r="CH6" s="139">
        <f>AVERAGE(O314:O319)</f>
        <v>13.11964138</v>
      </c>
      <c r="CI6" s="140">
        <f>AVERAGE(O410:O415)</f>
        <v>23.97619677</v>
      </c>
      <c r="CK6" s="32" t="s">
        <v>65</v>
      </c>
      <c r="CL6" s="138">
        <f>AVERAGE(P26:P31)</f>
        <v>7.167109065</v>
      </c>
      <c r="CM6" s="139">
        <f>AVERAGE(P122:P127)</f>
        <v>8.561906512</v>
      </c>
      <c r="CN6" s="139">
        <f>AVERAGE(P218:P223)</f>
        <v>3.043000459</v>
      </c>
      <c r="CO6" s="139">
        <f>AVERAGE(P314:P319)</f>
        <v>14.9703524</v>
      </c>
      <c r="CP6" s="139">
        <f>AVERAGE(P410:P415)</f>
        <v>29.11558152</v>
      </c>
      <c r="CR6" s="32" t="s">
        <v>65</v>
      </c>
      <c r="CS6" s="138">
        <f>AVERAGE(Q26:Q31)</f>
        <v>1.142857143</v>
      </c>
      <c r="CT6" s="139">
        <f>AVERAGE(Q122:Q127)</f>
        <v>0.880952381</v>
      </c>
      <c r="CU6" s="139">
        <f>AVERAGE(Q218:Q223)</f>
        <v>0.02380952381</v>
      </c>
      <c r="CV6" s="139">
        <f>AVERAGE(Q314:Q319)</f>
        <v>0.65</v>
      </c>
      <c r="CW6" s="140">
        <f>AVERAGE(Q410:Q415)</f>
        <v>0.65</v>
      </c>
      <c r="CY6" s="32" t="s">
        <v>65</v>
      </c>
      <c r="CZ6" s="138">
        <f>AVERAGE(R26:R31)</f>
        <v>0.5331777417</v>
      </c>
      <c r="DA6" s="139">
        <f>AVERAGE(R122:R127)</f>
        <v>1.083919875</v>
      </c>
      <c r="DB6" s="139">
        <f>AVERAGE(R218:R223)</f>
        <v>1.13507115</v>
      </c>
      <c r="DC6" s="139">
        <f>AVERAGE(R314:R319)</f>
        <v>1.13507115</v>
      </c>
      <c r="DD6" s="139">
        <f>AVERAGE(R410:R415)</f>
        <v>1.230066375</v>
      </c>
      <c r="DF6" s="141" t="s">
        <v>65</v>
      </c>
      <c r="DG6" s="142">
        <f>AVERAGE(S26:S31)</f>
        <v>182.6095291</v>
      </c>
      <c r="DI6" s="141" t="s">
        <v>65</v>
      </c>
      <c r="DJ6" s="143">
        <f>AVERAGE(T26:T31)</f>
        <v>35.13333333</v>
      </c>
    </row>
    <row r="7" ht="14.25" customHeight="1">
      <c r="A7" s="134" t="s">
        <v>238</v>
      </c>
      <c r="B7" s="135" t="s">
        <v>239</v>
      </c>
      <c r="C7" s="135" t="s">
        <v>5</v>
      </c>
      <c r="D7" s="135" t="s">
        <v>240</v>
      </c>
      <c r="E7" s="8">
        <v>6.0</v>
      </c>
      <c r="F7" s="136" t="s">
        <v>232</v>
      </c>
      <c r="G7" s="137">
        <v>13.8134669</v>
      </c>
      <c r="H7" s="137">
        <v>0.35870375</v>
      </c>
      <c r="I7" s="137">
        <v>8.82545658</v>
      </c>
      <c r="J7" s="120">
        <f t="shared" si="1"/>
        <v>38.50940198</v>
      </c>
      <c r="K7" s="121"/>
      <c r="L7" s="121">
        <v>-0.809</v>
      </c>
      <c r="M7" s="122"/>
      <c r="N7" s="120">
        <v>34.9</v>
      </c>
      <c r="O7" s="120">
        <v>17.33881449901768</v>
      </c>
      <c r="P7" s="123">
        <v>9.122425391450477</v>
      </c>
      <c r="Q7" s="120">
        <v>0.8571428571428571</v>
      </c>
      <c r="R7" s="120">
        <v>0.5261274000000001</v>
      </c>
      <c r="S7" s="120">
        <v>53.23809523809524</v>
      </c>
      <c r="T7" s="124">
        <v>16.1</v>
      </c>
      <c r="Z7" s="32" t="s">
        <v>243</v>
      </c>
      <c r="AA7" s="120">
        <f>AVERAGE(G32:G37)</f>
        <v>14.29412157</v>
      </c>
      <c r="AB7" s="120">
        <f>AVERAGE(G128:G133)</f>
        <v>8.669874678</v>
      </c>
      <c r="AC7" s="120">
        <f>AVERAGE(G224:G229)</f>
        <v>6.104553508</v>
      </c>
      <c r="AD7" s="120">
        <f>AVERAGE(G320:G325)</f>
        <v>12.9935918</v>
      </c>
      <c r="AE7" s="124">
        <f>AVERAGE(G416:G421)</f>
        <v>13.60909627</v>
      </c>
      <c r="AG7" s="32" t="s">
        <v>243</v>
      </c>
      <c r="AH7" s="138">
        <f>AVERAGE(H32:H37)</f>
        <v>0.2362369017</v>
      </c>
      <c r="AI7" s="139">
        <f>AVERAGE(H128:H133)</f>
        <v>0.153055825</v>
      </c>
      <c r="AJ7" s="139">
        <f>AVERAGE(H224:H229)</f>
        <v>0.08662921167</v>
      </c>
      <c r="AK7" s="139">
        <f>AVERAGE(H320:H325)</f>
        <v>0.1899807717</v>
      </c>
      <c r="AL7" s="140">
        <f>AVERAGE(H416:H421)</f>
        <v>0.2480421433</v>
      </c>
      <c r="AN7" s="32" t="s">
        <v>243</v>
      </c>
      <c r="AO7" s="138">
        <f>AVERAGE(I32:I37)</f>
        <v>5.100731077</v>
      </c>
      <c r="AP7" s="139">
        <f>AVERAGE(I128:I133)</f>
        <v>5.148995617</v>
      </c>
      <c r="AQ7" s="139">
        <f>AVERAGE(I224:I229)</f>
        <v>3.089382808</v>
      </c>
      <c r="AR7" s="139">
        <f>AVERAGE(I320:I325)</f>
        <v>6.270386605</v>
      </c>
      <c r="AS7" s="140">
        <f>AVERAGE(I416:I421)</f>
        <v>8.679198523</v>
      </c>
      <c r="AU7" s="32" t="s">
        <v>243</v>
      </c>
      <c r="AV7" s="138">
        <f>AVERAGE(J32:J37)</f>
        <v>61.04388245</v>
      </c>
      <c r="AW7" s="139">
        <f>AVERAGE(J128:J133)</f>
        <v>60.05938873</v>
      </c>
      <c r="AX7" s="139">
        <f>AVERAGE(J224:J229)</f>
        <v>71.31805919</v>
      </c>
      <c r="AY7" s="139">
        <f>AVERAGE(J320:J325)</f>
        <v>68.40377924</v>
      </c>
      <c r="AZ7" s="140">
        <f>AVERAGE(J416:J421)</f>
        <v>55.66893319</v>
      </c>
      <c r="BB7" s="32" t="s">
        <v>243</v>
      </c>
      <c r="BC7" s="138">
        <f>AVERAGE(K32:K37)</f>
        <v>-0.2483333333</v>
      </c>
      <c r="BD7" s="139">
        <f>AVERAGE(K128:K133)</f>
        <v>-0.5066666667</v>
      </c>
      <c r="BE7" s="139">
        <f>AVERAGE(K224:K229)</f>
        <v>-0.5055</v>
      </c>
      <c r="BF7" s="139">
        <f>AVERAGE(K320:K325)</f>
        <v>-0.16125</v>
      </c>
      <c r="BG7" s="140">
        <f>AVERAGE(K416:K421)</f>
        <v>-0.3606666667</v>
      </c>
      <c r="BI7" s="32" t="s">
        <v>243</v>
      </c>
      <c r="BJ7" s="138">
        <f>AVERAGE(L32:L37)</f>
        <v>-0.703</v>
      </c>
      <c r="BK7" s="139">
        <f>AVERAGE(L128:L133)</f>
        <v>-1.102666667</v>
      </c>
      <c r="BL7" s="139">
        <f>AVERAGE(L224:L229)</f>
        <v>-1.390333333</v>
      </c>
      <c r="BM7" s="139">
        <f>AVERAGE(L320:L325)</f>
        <v>-0.6373333333</v>
      </c>
      <c r="BN7" s="140">
        <f>AVERAGE(L416:L421)</f>
        <v>-0.7226666667</v>
      </c>
      <c r="BP7" s="32" t="s">
        <v>243</v>
      </c>
      <c r="BQ7" s="138">
        <f>AVERAGE(M32:M37)</f>
        <v>0.4106666667</v>
      </c>
      <c r="BR7" s="139">
        <f>AVERAGE(M128:M133)</f>
        <v>0.604</v>
      </c>
      <c r="BS7" s="139">
        <f>AVERAGE(M224:M229)</f>
        <v>0.8848333333</v>
      </c>
      <c r="BT7" s="139">
        <f>AVERAGE(M320:M325)</f>
        <v>0.467</v>
      </c>
      <c r="BU7" s="139">
        <f>AVERAGE(M416:M421)</f>
        <v>0.362</v>
      </c>
      <c r="BW7" s="32" t="s">
        <v>243</v>
      </c>
      <c r="BX7" s="138">
        <f>AVERAGE(N32:N37)</f>
        <v>44.96666667</v>
      </c>
      <c r="BY7" s="139">
        <f>AVERAGE(N128:N133)</f>
        <v>44.91666667</v>
      </c>
      <c r="BZ7" s="139">
        <f>AVERAGE(N224:N229)</f>
        <v>45.33333333</v>
      </c>
      <c r="CA7" s="139">
        <f>AVERAGE(N320:N325)</f>
        <v>40.68333333</v>
      </c>
      <c r="CB7" s="140">
        <f>AVERAGE(N416:N421)</f>
        <v>39.3</v>
      </c>
      <c r="CD7" s="32" t="s">
        <v>243</v>
      </c>
      <c r="CE7" s="138">
        <f>AVERAGE(O32:O37)</f>
        <v>11.56118167</v>
      </c>
      <c r="CF7" s="139">
        <f>AVERAGE(O128:O133)</f>
        <v>9.452704927</v>
      </c>
      <c r="CG7" s="139">
        <f>AVERAGE(O224:O229)</f>
        <v>3.51045836</v>
      </c>
      <c r="CH7" s="139">
        <f>AVERAGE(O320:O325)</f>
        <v>13.22518718</v>
      </c>
      <c r="CI7" s="140">
        <f>AVERAGE(O416:O421)</f>
        <v>26.10135165</v>
      </c>
      <c r="CK7" s="32" t="s">
        <v>243</v>
      </c>
      <c r="CL7" s="138">
        <f>AVERAGE(P32:P37)</f>
        <v>7.547097137</v>
      </c>
      <c r="CM7" s="139">
        <f>AVERAGE(P128:P133)</f>
        <v>9.382019889</v>
      </c>
      <c r="CN7" s="139">
        <f>AVERAGE(P224:P229)</f>
        <v>3.683799809</v>
      </c>
      <c r="CO7" s="139">
        <f>AVERAGE(P320:P325)</f>
        <v>13.83363093</v>
      </c>
      <c r="CP7" s="139">
        <f>AVERAGE(P416:P421)</f>
        <v>28.9850594</v>
      </c>
      <c r="CR7" s="32" t="s">
        <v>243</v>
      </c>
      <c r="CS7" s="138">
        <f>AVERAGE(Q32:Q37)</f>
        <v>1</v>
      </c>
      <c r="CT7" s="139">
        <f>AVERAGE(Q128:Q133)</f>
        <v>0.8095238095</v>
      </c>
      <c r="CU7" s="139">
        <f>AVERAGE(Q224:Q229)</f>
        <v>0.04761904762</v>
      </c>
      <c r="CV7" s="139">
        <f>AVERAGE(Q320:Q325)</f>
        <v>0.4333333333</v>
      </c>
      <c r="CW7" s="140">
        <f>AVERAGE(Q416:Q421)</f>
        <v>0.4333333333</v>
      </c>
      <c r="CY7" s="32" t="s">
        <v>243</v>
      </c>
      <c r="CZ7" s="138">
        <f>AVERAGE(R32:R37)</f>
        <v>0.655223475</v>
      </c>
      <c r="DA7" s="139">
        <f>AVERAGE(R128:R133)</f>
        <v>1.020589725</v>
      </c>
      <c r="DB7" s="139">
        <f>AVERAGE(R224:R229)</f>
        <v>1.04738325</v>
      </c>
      <c r="DC7" s="139">
        <f>AVERAGE(R320:R325)</f>
        <v>1.04738325</v>
      </c>
      <c r="DD7" s="139">
        <f>AVERAGE(R416:R421)</f>
        <v>1.1107134</v>
      </c>
      <c r="DF7" s="141" t="s">
        <v>243</v>
      </c>
      <c r="DG7" s="142">
        <f>AVERAGE(S32:S37)</f>
        <v>161.3272805</v>
      </c>
      <c r="DI7" s="141" t="s">
        <v>243</v>
      </c>
      <c r="DJ7" s="143">
        <f>AVERAGE(T32:T37)</f>
        <v>15.65</v>
      </c>
    </row>
    <row r="8" ht="14.25" customHeight="1">
      <c r="A8" s="134" t="s">
        <v>244</v>
      </c>
      <c r="B8" s="3" t="s">
        <v>239</v>
      </c>
      <c r="C8" s="3" t="s">
        <v>30</v>
      </c>
      <c r="D8" s="135" t="s">
        <v>240</v>
      </c>
      <c r="E8" s="8">
        <v>1.0</v>
      </c>
      <c r="F8" s="136" t="s">
        <v>232</v>
      </c>
      <c r="G8" s="137">
        <v>14.6583968</v>
      </c>
      <c r="H8" s="137">
        <v>0.29060719</v>
      </c>
      <c r="I8" s="137">
        <v>4.06381125</v>
      </c>
      <c r="J8" s="120">
        <f t="shared" si="1"/>
        <v>50.44058545</v>
      </c>
      <c r="K8" s="121">
        <v>-0.307</v>
      </c>
      <c r="L8" s="121">
        <v>-0.702</v>
      </c>
      <c r="M8" s="122">
        <v>0.395</v>
      </c>
      <c r="N8" s="120">
        <v>42.5</v>
      </c>
      <c r="O8" s="120">
        <v>10.288129746835443</v>
      </c>
      <c r="P8" s="123">
        <v>5.713581785374367</v>
      </c>
      <c r="Q8" s="120">
        <v>1.2857142857142858</v>
      </c>
      <c r="R8" s="120">
        <v>0.5553567</v>
      </c>
      <c r="S8" s="120">
        <v>122.61666666666667</v>
      </c>
      <c r="T8" s="124">
        <v>11.3</v>
      </c>
      <c r="Z8" s="32" t="s">
        <v>245</v>
      </c>
      <c r="AA8" s="120">
        <f>AVERAGE(G38:G43)</f>
        <v>15.76909707</v>
      </c>
      <c r="AB8" s="120">
        <f>AVERAGE(G134:G139)</f>
        <v>10.67370762</v>
      </c>
      <c r="AC8" s="120">
        <f>AVERAGE(G230:G235)</f>
        <v>4.452558033</v>
      </c>
      <c r="AD8" s="120">
        <f>AVERAGE(G326:G331)</f>
        <v>11.64481502</v>
      </c>
      <c r="AE8" s="124">
        <f>AVERAGE(G422:G427)</f>
        <v>16.54733923</v>
      </c>
      <c r="AG8" s="32" t="s">
        <v>245</v>
      </c>
      <c r="AH8" s="138">
        <f>AVERAGE(H38:H43)</f>
        <v>0.3648070767</v>
      </c>
      <c r="AI8" s="139">
        <f>AVERAGE(H134:H139)</f>
        <v>0.1845721033</v>
      </c>
      <c r="AJ8" s="139">
        <f>AVERAGE(H230:H235)</f>
        <v>0.06609931</v>
      </c>
      <c r="AK8" s="139">
        <f>AVERAGE(H326:H331)</f>
        <v>0.1866823867</v>
      </c>
      <c r="AL8" s="140">
        <f>AVERAGE(H422:H427)</f>
        <v>0.3081707</v>
      </c>
      <c r="AN8" s="32" t="s">
        <v>245</v>
      </c>
      <c r="AO8" s="138">
        <f>AVERAGE(I38:I43)</f>
        <v>7.349163722</v>
      </c>
      <c r="AP8" s="139">
        <f>AVERAGE(I134:I139)</f>
        <v>5.815173402</v>
      </c>
      <c r="AQ8" s="139">
        <f>AVERAGE(I230:I235)</f>
        <v>2.34165182</v>
      </c>
      <c r="AR8" s="139">
        <f>AVERAGE(I326:I331)</f>
        <v>5.854301768</v>
      </c>
      <c r="AS8" s="140">
        <f>AVERAGE(I422:I427)</f>
        <v>9.95575277</v>
      </c>
      <c r="AU8" s="32" t="s">
        <v>245</v>
      </c>
      <c r="AV8" s="138">
        <f>AVERAGE(J38:J43)</f>
        <v>43.4036494</v>
      </c>
      <c r="AW8" s="139">
        <f>AVERAGE(J134:J139)</f>
        <v>60.01034018</v>
      </c>
      <c r="AX8" s="139">
        <f>AVERAGE(J230:J235)</f>
        <v>66.51236282</v>
      </c>
      <c r="AY8" s="139">
        <f>AVERAGE(J326:J331)</f>
        <v>65.13741516</v>
      </c>
      <c r="AZ8" s="140">
        <f>AVERAGE(J422:J427)</f>
        <v>53.29596345</v>
      </c>
      <c r="BB8" s="32" t="s">
        <v>245</v>
      </c>
      <c r="BC8" s="138">
        <f>AVERAGE(K38:K43)</f>
        <v>-0.2393333333</v>
      </c>
      <c r="BD8" s="139">
        <f>AVERAGE(K134:K139)</f>
        <v>-0.377</v>
      </c>
      <c r="BE8" s="139">
        <f>AVERAGE(K230:K235)</f>
        <v>-0.5138333333</v>
      </c>
      <c r="BF8" s="139">
        <f>AVERAGE(K326:K331)</f>
        <v>-0.15675</v>
      </c>
      <c r="BG8" s="140">
        <f>AVERAGE(K422:K427)</f>
        <v>-0.3233333333</v>
      </c>
      <c r="BI8" s="32" t="s">
        <v>245</v>
      </c>
      <c r="BJ8" s="138">
        <f>AVERAGE(L38:L43)</f>
        <v>-0.6946666667</v>
      </c>
      <c r="BK8" s="139">
        <f>AVERAGE(L134:L139)</f>
        <v>-1.121833333</v>
      </c>
      <c r="BL8" s="139">
        <f>AVERAGE(L230:L235)</f>
        <v>-1.409166667</v>
      </c>
      <c r="BM8" s="139">
        <f>AVERAGE(L326:L331)</f>
        <v>-0.6603333333</v>
      </c>
      <c r="BN8" s="140">
        <f>AVERAGE(L422:L427)</f>
        <v>-0.7111666667</v>
      </c>
      <c r="BP8" s="32" t="s">
        <v>245</v>
      </c>
      <c r="BQ8" s="138">
        <f>AVERAGE(M38:M43)</f>
        <v>0.4</v>
      </c>
      <c r="BR8" s="139">
        <f>AVERAGE(M134:M139)</f>
        <v>0.7896666667</v>
      </c>
      <c r="BS8" s="139">
        <f>AVERAGE(M230:M235)</f>
        <v>0.8953333333</v>
      </c>
      <c r="BT8" s="139">
        <f>AVERAGE(M326:M331)</f>
        <v>0.49275</v>
      </c>
      <c r="BU8" s="139">
        <f>AVERAGE(M422:M427)</f>
        <v>0.3878333333</v>
      </c>
      <c r="BW8" s="32" t="s">
        <v>245</v>
      </c>
      <c r="BX8" s="138">
        <f>AVERAGE(N38:N43)</f>
        <v>36.16666667</v>
      </c>
      <c r="BY8" s="139">
        <f>AVERAGE(N134:N139)</f>
        <v>40.93333333</v>
      </c>
      <c r="BZ8" s="139">
        <f>AVERAGE(N230:N235)</f>
        <v>43.31666667</v>
      </c>
      <c r="CA8" s="139">
        <f>AVERAGE(N326:N331)</f>
        <v>45.5</v>
      </c>
      <c r="CB8" s="140">
        <f>AVERAGE(N422:N427)</f>
        <v>42.78333333</v>
      </c>
      <c r="CD8" s="32" t="s">
        <v>245</v>
      </c>
      <c r="CE8" s="138">
        <f>AVERAGE(O38:O43)</f>
        <v>16.33631897</v>
      </c>
      <c r="CF8" s="139">
        <f>AVERAGE(O134:O139)</f>
        <v>7.718178531</v>
      </c>
      <c r="CG8" s="139">
        <f>AVERAGE(O230:O235)</f>
        <v>2.639969734</v>
      </c>
      <c r="CH8" s="139">
        <f>AVERAGE(O326:O331)</f>
        <v>11.72256012</v>
      </c>
      <c r="CI8" s="140">
        <f>AVERAGE(O422:O427)</f>
        <v>30.58355654</v>
      </c>
      <c r="CK8" s="32" t="s">
        <v>245</v>
      </c>
      <c r="CL8" s="138">
        <f>AVERAGE(P38:P43)</f>
        <v>8.527733162</v>
      </c>
      <c r="CM8" s="139">
        <f>AVERAGE(P134:P139)</f>
        <v>8.209919149</v>
      </c>
      <c r="CN8" s="139">
        <f>AVERAGE(P230:P235)</f>
        <v>2.932418081</v>
      </c>
      <c r="CO8" s="139">
        <f>AVERAGE(P326:P331)</f>
        <v>12.89876123</v>
      </c>
      <c r="CP8" s="139">
        <f>AVERAGE(P422:P427)</f>
        <v>37.68720613</v>
      </c>
      <c r="CR8" s="32" t="s">
        <v>245</v>
      </c>
      <c r="CS8" s="138">
        <f>AVERAGE(Q38:Q43)</f>
        <v>1.214285714</v>
      </c>
      <c r="CT8" s="139">
        <f>AVERAGE(Q134:Q139)</f>
        <v>0.9285714286</v>
      </c>
      <c r="CU8" s="139">
        <f>AVERAGE(Q230:Q235)</f>
        <v>0</v>
      </c>
      <c r="CV8" s="139">
        <f>AVERAGE(Q326:Q331)</f>
        <v>0.6</v>
      </c>
      <c r="CW8" s="140">
        <f>AVERAGE(Q422:Q427)</f>
        <v>0.6</v>
      </c>
      <c r="CY8" s="32" t="s">
        <v>245</v>
      </c>
      <c r="CZ8" s="138">
        <f>AVERAGE(R38:R43)</f>
        <v>0.5137187</v>
      </c>
      <c r="DA8" s="139">
        <f>AVERAGE(R134:R139)</f>
        <v>1.0619979</v>
      </c>
      <c r="DB8" s="139">
        <f>AVERAGE(R230:R235)</f>
        <v>1.103406075</v>
      </c>
      <c r="DC8" s="139">
        <f>AVERAGE(R326:R331)</f>
        <v>1.103406075</v>
      </c>
      <c r="DD8" s="139">
        <f>AVERAGE(R422:R427)</f>
        <v>1.191093975</v>
      </c>
      <c r="DF8" s="141" t="s">
        <v>245</v>
      </c>
      <c r="DG8" s="142">
        <f>AVERAGE(S38:S43)</f>
        <v>182.0687303</v>
      </c>
      <c r="DI8" s="141" t="s">
        <v>245</v>
      </c>
      <c r="DJ8" s="143">
        <f>AVERAGE(T38:T43)</f>
        <v>16.91666667</v>
      </c>
    </row>
    <row r="9" ht="14.25" customHeight="1">
      <c r="A9" s="134" t="s">
        <v>244</v>
      </c>
      <c r="B9" s="3" t="s">
        <v>239</v>
      </c>
      <c r="C9" s="3" t="s">
        <v>30</v>
      </c>
      <c r="D9" s="135" t="s">
        <v>240</v>
      </c>
      <c r="E9" s="8">
        <v>2.0</v>
      </c>
      <c r="F9" s="136" t="s">
        <v>232</v>
      </c>
      <c r="G9" s="137">
        <v>15.9668213</v>
      </c>
      <c r="H9" s="137">
        <v>0.38940098</v>
      </c>
      <c r="I9" s="137">
        <v>5.71769313</v>
      </c>
      <c r="J9" s="120">
        <f t="shared" si="1"/>
        <v>41.00354678</v>
      </c>
      <c r="K9" s="121"/>
      <c r="L9" s="121">
        <v>-0.77</v>
      </c>
      <c r="M9" s="122"/>
      <c r="N9" s="120">
        <v>38.4</v>
      </c>
      <c r="O9" s="120">
        <v>12.705984733333333</v>
      </c>
      <c r="P9" s="123">
        <v>7.056353751754379</v>
      </c>
      <c r="Q9" s="120">
        <v>1.1428571428571428</v>
      </c>
      <c r="R9" s="120">
        <v>0.5553567</v>
      </c>
      <c r="S9" s="120">
        <v>119.0344827586207</v>
      </c>
      <c r="T9" s="124">
        <v>17.8</v>
      </c>
      <c r="Z9" s="32" t="s">
        <v>94</v>
      </c>
      <c r="AA9" s="120">
        <f>AVERAGE(G44:G49)</f>
        <v>14.21058753</v>
      </c>
      <c r="AB9" s="120">
        <f>AVERAGE(G140:G145)</f>
        <v>6.207475023</v>
      </c>
      <c r="AC9" s="120">
        <f>AVERAGE(G236:G241)</f>
        <v>5.239131227</v>
      </c>
      <c r="AD9" s="120">
        <f>AVERAGE(G332:G337)</f>
        <v>11.28651455</v>
      </c>
      <c r="AE9" s="124">
        <f>AVERAGE(G428:G433)</f>
        <v>15.06699553</v>
      </c>
      <c r="AG9" s="32" t="s">
        <v>94</v>
      </c>
      <c r="AH9" s="138">
        <f>AVERAGE(H44:H49)</f>
        <v>0.3085716617</v>
      </c>
      <c r="AI9" s="139">
        <f>AVERAGE(H140:H145)</f>
        <v>0.08760205</v>
      </c>
      <c r="AJ9" s="139">
        <f>AVERAGE(H236:H241)</f>
        <v>0.077618775</v>
      </c>
      <c r="AK9" s="139">
        <f>AVERAGE(H332:H337)</f>
        <v>0.1727500333</v>
      </c>
      <c r="AL9" s="140">
        <f>AVERAGE(H428:H433)</f>
        <v>0.24347105</v>
      </c>
      <c r="AN9" s="32" t="s">
        <v>94</v>
      </c>
      <c r="AO9" s="138">
        <f>AVERAGE(I44:I49)</f>
        <v>6.69430708</v>
      </c>
      <c r="AP9" s="139">
        <f>AVERAGE(I140:I145)</f>
        <v>3.522253635</v>
      </c>
      <c r="AQ9" s="139">
        <f>AVERAGE(I236:I241)</f>
        <v>2.8114412</v>
      </c>
      <c r="AR9" s="139">
        <f>AVERAGE(I332:I337)</f>
        <v>5.841786345</v>
      </c>
      <c r="AS9" s="140">
        <f>AVERAGE(I428:I433)</f>
        <v>8.695648785</v>
      </c>
      <c r="AU9" s="32" t="s">
        <v>94</v>
      </c>
      <c r="AV9" s="138">
        <f>AVERAGE(J44:J49)</f>
        <v>54.59254482</v>
      </c>
      <c r="AW9" s="139">
        <f>AVERAGE(J140:J145)</f>
        <v>72.1841171</v>
      </c>
      <c r="AX9" s="139">
        <f>AVERAGE(J236:J241)</f>
        <v>68.93078345</v>
      </c>
      <c r="AY9" s="139">
        <f>AVERAGE(J332:J337)</f>
        <v>67.39024121</v>
      </c>
      <c r="AZ9" s="140">
        <f>AVERAGE(J428:J433)</f>
        <v>62.42710754</v>
      </c>
      <c r="BB9" s="32" t="s">
        <v>94</v>
      </c>
      <c r="BC9" s="138">
        <f>AVERAGE(K44:K49)</f>
        <v>-0.265</v>
      </c>
      <c r="BD9" s="139">
        <f>AVERAGE(K140:K145)</f>
        <v>-0.3806666667</v>
      </c>
      <c r="BE9" s="139">
        <f>AVERAGE(K236:K241)</f>
        <v>-0.3636666667</v>
      </c>
      <c r="BF9" s="139">
        <f>AVERAGE(K332:K337)</f>
        <v>-0.12575</v>
      </c>
      <c r="BG9" s="140">
        <f>AVERAGE(K428:K433)</f>
        <v>-0.307</v>
      </c>
      <c r="BI9" s="32" t="s">
        <v>94</v>
      </c>
      <c r="BJ9" s="138">
        <f>AVERAGE(L44:L49)</f>
        <v>-0.6891666667</v>
      </c>
      <c r="BK9" s="139">
        <f>AVERAGE(L140:L145)</f>
        <v>-1.009333333</v>
      </c>
      <c r="BL9" s="139">
        <f>AVERAGE(L236:L241)</f>
        <v>-1.316</v>
      </c>
      <c r="BM9" s="139">
        <f>AVERAGE(L332:L337)</f>
        <v>-0.5691666667</v>
      </c>
      <c r="BN9" s="140">
        <f>AVERAGE(L428:L433)</f>
        <v>-0.6815</v>
      </c>
      <c r="BP9" s="32" t="s">
        <v>94</v>
      </c>
      <c r="BQ9" s="138">
        <f>AVERAGE(M44:M49)</f>
        <v>0.3666666667</v>
      </c>
      <c r="BR9" s="139">
        <f>AVERAGE(M140:M145)</f>
        <v>0.626</v>
      </c>
      <c r="BS9" s="139">
        <f>AVERAGE(M236:M241)</f>
        <v>0.9523333333</v>
      </c>
      <c r="BT9" s="139">
        <f>AVERAGE(M332:M337)</f>
        <v>0.463</v>
      </c>
      <c r="BU9" s="139">
        <f>AVERAGE(M428:M433)</f>
        <v>0.3745</v>
      </c>
      <c r="BW9" s="32" t="s">
        <v>94</v>
      </c>
      <c r="BX9" s="138">
        <f>AVERAGE(N44:N49)</f>
        <v>39.6</v>
      </c>
      <c r="BY9" s="139">
        <f>AVERAGE(N140:N145)</f>
        <v>38.5</v>
      </c>
      <c r="BZ9" s="139">
        <f>AVERAGE(N236:N241)</f>
        <v>40.03333333</v>
      </c>
      <c r="CA9" s="139">
        <f>AVERAGE(N332:N337)</f>
        <v>44.03333333</v>
      </c>
      <c r="CB9" s="140">
        <f>AVERAGE(N428:N433)</f>
        <v>40.18333333</v>
      </c>
      <c r="CD9" s="32" t="s">
        <v>94</v>
      </c>
      <c r="CE9" s="138">
        <f>AVERAGE(O44:O49)</f>
        <v>17.32199001</v>
      </c>
      <c r="CF9" s="139">
        <f>AVERAGE(O140:O145)</f>
        <v>5.638750641</v>
      </c>
      <c r="CG9" s="139">
        <f>AVERAGE(O236:O241)</f>
        <v>3.090218323</v>
      </c>
      <c r="CH9" s="139">
        <f>AVERAGE(O332:O337)</f>
        <v>13.24868766</v>
      </c>
      <c r="CI9" s="140">
        <f>AVERAGE(O428:O433)</f>
        <v>23.47315362</v>
      </c>
      <c r="CK9" s="32" t="s">
        <v>94</v>
      </c>
      <c r="CL9" s="138">
        <f>AVERAGE(P44:P49)</f>
        <v>8.749537237</v>
      </c>
      <c r="CM9" s="139">
        <f>AVERAGE(P140:P145)</f>
        <v>5.533715898</v>
      </c>
      <c r="CN9" s="139">
        <f>AVERAGE(P236:P241)</f>
        <v>3.217100864</v>
      </c>
      <c r="CO9" s="139">
        <f>AVERAGE(P332:P337)</f>
        <v>13.81473877</v>
      </c>
      <c r="CP9" s="139">
        <f>AVERAGE(P428:P433)</f>
        <v>26.12831262</v>
      </c>
      <c r="CR9" s="32" t="s">
        <v>94</v>
      </c>
      <c r="CS9" s="138">
        <f>AVERAGE(Q44:Q49)</f>
        <v>1.19047619</v>
      </c>
      <c r="CT9" s="139">
        <f>AVERAGE(Q140:Q145)</f>
        <v>0.7619047619</v>
      </c>
      <c r="CU9" s="139">
        <f>AVERAGE(Q236:Q241)</f>
        <v>0</v>
      </c>
      <c r="CV9" s="139">
        <f>AVERAGE(Q332:Q337)</f>
        <v>0.5333333333</v>
      </c>
      <c r="CW9" s="140">
        <f>AVERAGE(Q428:Q433)</f>
        <v>0.5333333333</v>
      </c>
      <c r="CY9" s="32" t="s">
        <v>94</v>
      </c>
      <c r="CZ9" s="138">
        <f>AVERAGE(R44:R49)</f>
        <v>0.5017144125</v>
      </c>
      <c r="DA9" s="139">
        <f>AVERAGE(R140:R145)</f>
        <v>0.991360425</v>
      </c>
      <c r="DB9" s="139">
        <f>AVERAGE(R236:R241)</f>
        <v>1.040075925</v>
      </c>
      <c r="DC9" s="139">
        <f>AVERAGE(R332:R337)</f>
        <v>1.040075925</v>
      </c>
      <c r="DD9" s="139">
        <f>AVERAGE(R428:R433)</f>
        <v>1.118020725</v>
      </c>
      <c r="DF9" s="141" t="s">
        <v>94</v>
      </c>
      <c r="DG9" s="142">
        <f>AVERAGE(S44:S49)</f>
        <v>217.7480785</v>
      </c>
      <c r="DI9" s="141" t="s">
        <v>94</v>
      </c>
      <c r="DJ9" s="143">
        <f>AVERAGE(T44:T49)</f>
        <v>20.01666667</v>
      </c>
    </row>
    <row r="10" ht="14.25" customHeight="1">
      <c r="A10" s="134" t="s">
        <v>244</v>
      </c>
      <c r="B10" s="3" t="s">
        <v>239</v>
      </c>
      <c r="C10" s="3" t="s">
        <v>30</v>
      </c>
      <c r="D10" s="135" t="s">
        <v>240</v>
      </c>
      <c r="E10" s="8">
        <v>3.0</v>
      </c>
      <c r="F10" s="136" t="s">
        <v>232</v>
      </c>
      <c r="G10" s="137">
        <v>18.2957699</v>
      </c>
      <c r="H10" s="137">
        <v>0.18243967</v>
      </c>
      <c r="I10" s="137">
        <v>5.08661469</v>
      </c>
      <c r="J10" s="120">
        <f t="shared" si="1"/>
        <v>100.2839454</v>
      </c>
      <c r="K10" s="121">
        <v>-0.32</v>
      </c>
      <c r="L10" s="121">
        <v>-0.87</v>
      </c>
      <c r="M10" s="122">
        <v>0.55</v>
      </c>
      <c r="N10" s="120">
        <v>42.9</v>
      </c>
      <c r="O10" s="120">
        <v>9.248390345454546</v>
      </c>
      <c r="P10" s="123">
        <v>5.811965482374484</v>
      </c>
      <c r="Q10" s="120">
        <v>1.1428571428571428</v>
      </c>
      <c r="R10" s="120">
        <v>0.6284299500000001</v>
      </c>
      <c r="S10" s="120">
        <v>154.44000000000003</v>
      </c>
      <c r="T10" s="124">
        <v>22.1</v>
      </c>
      <c r="Z10" s="32" t="s">
        <v>101</v>
      </c>
      <c r="AA10" s="120">
        <f>AVERAGE(G50:G55)</f>
        <v>14.49321832</v>
      </c>
      <c r="AB10" s="120">
        <f>AVERAGE(G146:G151)</f>
        <v>7.638815022</v>
      </c>
      <c r="AC10" s="120">
        <f>AVERAGE(G242:G247)</f>
        <v>4.270595535</v>
      </c>
      <c r="AD10" s="120">
        <f>AVERAGE(G338:G343)</f>
        <v>11.01372151</v>
      </c>
      <c r="AE10" s="124">
        <f>AVERAGE(G434:G439)</f>
        <v>14.22860478</v>
      </c>
      <c r="AG10" s="32" t="s">
        <v>101</v>
      </c>
      <c r="AH10" s="138">
        <f>AVERAGE(H50:H55)</f>
        <v>0.272480725</v>
      </c>
      <c r="AI10" s="139">
        <f>AVERAGE(H146:H151)</f>
        <v>0.1107194467</v>
      </c>
      <c r="AJ10" s="139">
        <f>AVERAGE(H242:H247)</f>
        <v>0.06715667667</v>
      </c>
      <c r="AK10" s="139">
        <f>AVERAGE(H338:H343)</f>
        <v>0.1836069617</v>
      </c>
      <c r="AL10" s="140">
        <f>AVERAGE(H434:H439)</f>
        <v>0.28516298</v>
      </c>
      <c r="AN10" s="32" t="s">
        <v>101</v>
      </c>
      <c r="AO10" s="138">
        <f>AVERAGE(I50:I55)</f>
        <v>6.16453815</v>
      </c>
      <c r="AP10" s="139">
        <f>AVERAGE(I146:I151)</f>
        <v>4.197424862</v>
      </c>
      <c r="AQ10" s="139">
        <f>AVERAGE(I242:I247)</f>
        <v>2.519361372</v>
      </c>
      <c r="AR10" s="139">
        <f>AVERAGE(I338:I343)</f>
        <v>6.167728032</v>
      </c>
      <c r="AS10" s="140">
        <f>AVERAGE(I434:I439)</f>
        <v>9.645482225</v>
      </c>
      <c r="AU10" s="32" t="s">
        <v>101</v>
      </c>
      <c r="AV10" s="138">
        <f>AVERAGE(J50:J55)</f>
        <v>53.76086054</v>
      </c>
      <c r="AW10" s="139">
        <f>AVERAGE(J146:J151)</f>
        <v>71.2762225</v>
      </c>
      <c r="AX10" s="139">
        <f>AVERAGE(J242:J247)</f>
        <v>68.73435277</v>
      </c>
      <c r="AY10" s="139">
        <f>AVERAGE(J338:J343)</f>
        <v>62.59131307</v>
      </c>
      <c r="AZ10" s="140">
        <f>AVERAGE(J434:J439)</f>
        <v>50.0264846</v>
      </c>
      <c r="BB10" s="32" t="s">
        <v>101</v>
      </c>
      <c r="BC10" s="138">
        <f>AVERAGE(K50:K55)</f>
        <v>-0.295</v>
      </c>
      <c r="BD10" s="139">
        <f>AVERAGE(K146:K151)</f>
        <v>-0.4193333333</v>
      </c>
      <c r="BE10" s="139">
        <f>AVERAGE(K242:K247)</f>
        <v>-0.474</v>
      </c>
      <c r="BF10" s="139">
        <f>AVERAGE(K338:K343)</f>
        <v>-0.1655</v>
      </c>
      <c r="BG10" s="140">
        <f>AVERAGE(K434:K439)</f>
        <v>-0.2971666667</v>
      </c>
      <c r="BI10" s="32" t="s">
        <v>101</v>
      </c>
      <c r="BJ10" s="138">
        <f>AVERAGE(L50:L55)</f>
        <v>-0.7001666667</v>
      </c>
      <c r="BK10" s="139">
        <f>AVERAGE(L146:L151)</f>
        <v>-1.239</v>
      </c>
      <c r="BL10" s="139">
        <f>AVERAGE(L242:L247)</f>
        <v>-1.444666667</v>
      </c>
      <c r="BM10" s="139">
        <f>AVERAGE(L338:L343)</f>
        <v>-0.6738333333</v>
      </c>
      <c r="BN10" s="140">
        <f>AVERAGE(L434:L439)</f>
        <v>-0.6518333333</v>
      </c>
      <c r="BP10" s="32" t="s">
        <v>101</v>
      </c>
      <c r="BQ10" s="138">
        <f>AVERAGE(M50:M55)</f>
        <v>0.3176666667</v>
      </c>
      <c r="BR10" s="139">
        <f>AVERAGE(M146:M151)</f>
        <v>0.6836666667</v>
      </c>
      <c r="BS10" s="139">
        <f>AVERAGE(M242:M247)</f>
        <v>0.9706666667</v>
      </c>
      <c r="BT10" s="139">
        <f>AVERAGE(M338:M343)</f>
        <v>0.51325</v>
      </c>
      <c r="BU10" s="139">
        <f>AVERAGE(M434:M439)</f>
        <v>0.3546666667</v>
      </c>
      <c r="BW10" s="32" t="s">
        <v>101</v>
      </c>
      <c r="BX10" s="138">
        <f>AVERAGE(N50:N55)</f>
        <v>40.41666667</v>
      </c>
      <c r="BY10" s="139">
        <f>AVERAGE(N146:N151)</f>
        <v>41.23333333</v>
      </c>
      <c r="BZ10" s="139">
        <f>AVERAGE(N242:N247)</f>
        <v>41.15</v>
      </c>
      <c r="CA10" s="139">
        <f>AVERAGE(N338:N343)</f>
        <v>43.28333333</v>
      </c>
      <c r="CB10" s="140">
        <f>AVERAGE(N434:N439)</f>
        <v>40.53333333</v>
      </c>
      <c r="CD10" s="32" t="s">
        <v>101</v>
      </c>
      <c r="CE10" s="138">
        <f>AVERAGE(O50:O55)</f>
        <v>16.3543056</v>
      </c>
      <c r="CF10" s="139">
        <f>AVERAGE(O146:O151)</f>
        <v>6.1581607</v>
      </c>
      <c r="CG10" s="139">
        <f>AVERAGE(O242:O247)</f>
        <v>2.578219016</v>
      </c>
      <c r="CH10" s="139">
        <f>AVERAGE(O338:O343)</f>
        <v>12.11154827</v>
      </c>
      <c r="CI10" s="140">
        <f>AVERAGE(O434:O439)</f>
        <v>29.2615689</v>
      </c>
      <c r="CK10" s="32" t="s">
        <v>101</v>
      </c>
      <c r="CL10" s="138">
        <f>AVERAGE(P50:P55)</f>
        <v>10.74785592</v>
      </c>
      <c r="CM10" s="139">
        <f>AVERAGE(P146:P151)</f>
        <v>5.74393346</v>
      </c>
      <c r="CN10" s="139">
        <f>AVERAGE(P242:P247)</f>
        <v>2.504305554</v>
      </c>
      <c r="CO10" s="139">
        <f>AVERAGE(P338:P343)</f>
        <v>12.09473564</v>
      </c>
      <c r="CP10" s="139">
        <f>AVERAGE(P434:P439)</f>
        <v>32.16902125</v>
      </c>
      <c r="CR10" s="32" t="s">
        <v>101</v>
      </c>
      <c r="CS10" s="138">
        <f>AVERAGE(Q50:Q55)</f>
        <v>1.023809524</v>
      </c>
      <c r="CT10" s="139">
        <f>AVERAGE(Q146:Q151)</f>
        <v>1</v>
      </c>
      <c r="CU10" s="139">
        <f>AVERAGE(Q242:Q247)</f>
        <v>0</v>
      </c>
      <c r="CV10" s="139">
        <f>AVERAGE(Q338:Q343)</f>
        <v>0.6</v>
      </c>
      <c r="CW10" s="140">
        <f>AVERAGE(Q434:Q439)</f>
        <v>0.6</v>
      </c>
      <c r="CY10" s="32" t="s">
        <v>101</v>
      </c>
      <c r="CZ10" s="138">
        <f>AVERAGE(R50:R55)</f>
        <v>0.6430446</v>
      </c>
      <c r="DA10" s="139">
        <f>AVERAGE(R146:R151)</f>
        <v>0.97918155</v>
      </c>
      <c r="DB10" s="139">
        <f>AVERAGE(R242:R247)</f>
        <v>1.005975075</v>
      </c>
      <c r="DC10" s="139">
        <f>AVERAGE(R338:R343)</f>
        <v>1.005975075</v>
      </c>
      <c r="DD10" s="139">
        <f>AVERAGE(R434:R439)</f>
        <v>1.093662975</v>
      </c>
      <c r="DF10" s="141" t="s">
        <v>101</v>
      </c>
      <c r="DG10" s="142">
        <f>AVERAGE(S50:S55)</f>
        <v>135.9180454</v>
      </c>
      <c r="DI10" s="141" t="s">
        <v>101</v>
      </c>
      <c r="DJ10" s="143">
        <f>AVERAGE(T50:T55)</f>
        <v>28.65</v>
      </c>
    </row>
    <row r="11" ht="14.25" customHeight="1">
      <c r="A11" s="134" t="s">
        <v>244</v>
      </c>
      <c r="B11" s="3" t="s">
        <v>239</v>
      </c>
      <c r="C11" s="3" t="s">
        <v>30</v>
      </c>
      <c r="D11" s="135" t="s">
        <v>240</v>
      </c>
      <c r="E11" s="8">
        <v>4.0</v>
      </c>
      <c r="F11" s="136" t="s">
        <v>232</v>
      </c>
      <c r="G11" s="137">
        <v>12.1165926</v>
      </c>
      <c r="H11" s="137">
        <v>0.22813307</v>
      </c>
      <c r="I11" s="137">
        <v>5.60569543</v>
      </c>
      <c r="J11" s="120">
        <f t="shared" si="1"/>
        <v>53.11195172</v>
      </c>
      <c r="K11" s="121"/>
      <c r="L11" s="121">
        <v>-0.86</v>
      </c>
      <c r="M11" s="122"/>
      <c r="N11" s="120">
        <v>44.2</v>
      </c>
      <c r="O11" s="120">
        <v>10.380917462962962</v>
      </c>
      <c r="P11" s="123">
        <v>6.068539016003668</v>
      </c>
      <c r="Q11" s="120">
        <v>0.42857142857142855</v>
      </c>
      <c r="R11" s="120">
        <v>0.5845860000000002</v>
      </c>
      <c r="S11" s="120">
        <v>153.49245283018865</v>
      </c>
      <c r="T11" s="124">
        <v>29.7</v>
      </c>
      <c r="Z11" s="32" t="s">
        <v>246</v>
      </c>
      <c r="AA11" s="120">
        <f>AVERAGE(G56:G61)</f>
        <v>13.79189622</v>
      </c>
      <c r="AB11" s="120">
        <f>AVERAGE(G152:G157)</f>
        <v>6.153720952</v>
      </c>
      <c r="AC11" s="120">
        <f>AVERAGE(G248:G253)</f>
        <v>3.886979922</v>
      </c>
      <c r="AD11" s="120">
        <f>AVERAGE(G344:G349)</f>
        <v>11.78843357</v>
      </c>
      <c r="AE11" s="124">
        <f>AVERAGE(G440:G445)</f>
        <v>16.04903122</v>
      </c>
      <c r="AG11" s="32" t="s">
        <v>246</v>
      </c>
      <c r="AH11" s="138">
        <f>AVERAGE(H56:H61)</f>
        <v>0.3878108683</v>
      </c>
      <c r="AI11" s="139">
        <f>AVERAGE(H152:H157)</f>
        <v>0.081750805</v>
      </c>
      <c r="AJ11" s="139">
        <f>AVERAGE(H248:H253)</f>
        <v>0.06314102833</v>
      </c>
      <c r="AK11" s="139">
        <f>AVERAGE(H344:H349)</f>
        <v>0.1985965983</v>
      </c>
      <c r="AL11" s="140">
        <f>AVERAGE(H440:H445)</f>
        <v>0.2889197867</v>
      </c>
      <c r="AN11" s="32" t="s">
        <v>246</v>
      </c>
      <c r="AO11" s="138">
        <f>AVERAGE(I56:I61)</f>
        <v>7.332410658</v>
      </c>
      <c r="AP11" s="139">
        <f>AVERAGE(I152:I157)</f>
        <v>3.373397475</v>
      </c>
      <c r="AQ11" s="139">
        <f>AVERAGE(I248:I253)</f>
        <v>2.370936512</v>
      </c>
      <c r="AR11" s="139">
        <f>AVERAGE(I344:I349)</f>
        <v>6.429289628</v>
      </c>
      <c r="AS11" s="140">
        <f>AVERAGE(I440:I445)</f>
        <v>9.83049529</v>
      </c>
      <c r="AU11" s="32" t="s">
        <v>246</v>
      </c>
      <c r="AV11" s="138">
        <f>AVERAGE(J56:J61)</f>
        <v>37.56797346</v>
      </c>
      <c r="AW11" s="139">
        <f>AVERAGE(J152:J157)</f>
        <v>74.49104227</v>
      </c>
      <c r="AX11" s="139">
        <f>AVERAGE(J248:J253)</f>
        <v>64.41020443</v>
      </c>
      <c r="AY11" s="139">
        <f>AVERAGE(J344:J349)</f>
        <v>61.03508793</v>
      </c>
      <c r="AZ11" s="140">
        <f>AVERAGE(J440:J445)</f>
        <v>56.13292215</v>
      </c>
      <c r="BB11" s="32" t="s">
        <v>246</v>
      </c>
      <c r="BC11" s="138">
        <f>AVERAGE(K56:K61)</f>
        <v>-0.237</v>
      </c>
      <c r="BD11" s="139">
        <f>AVERAGE(K152:K157)</f>
        <v>-0.3673333333</v>
      </c>
      <c r="BE11" s="139">
        <f>AVERAGE(K248:K253)</f>
        <v>-0.4091666667</v>
      </c>
      <c r="BF11" s="139">
        <f>AVERAGE(K344:K349)</f>
        <v>-0.1345</v>
      </c>
      <c r="BG11" s="140">
        <f>AVERAGE(K440:K445)</f>
        <v>-0.2475</v>
      </c>
      <c r="BI11" s="32" t="s">
        <v>246</v>
      </c>
      <c r="BJ11" s="138">
        <f>AVERAGE(L56:L61)</f>
        <v>-0.7111666667</v>
      </c>
      <c r="BK11" s="139">
        <f>AVERAGE(L152:L157)</f>
        <v>-1.064166667</v>
      </c>
      <c r="BL11" s="139">
        <f>AVERAGE(L248:L253)</f>
        <v>-1.380333333</v>
      </c>
      <c r="BM11" s="139">
        <f>AVERAGE(L344:L349)</f>
        <v>-0.608</v>
      </c>
      <c r="BN11" s="140">
        <f>AVERAGE(L440:L445)</f>
        <v>-0.6606666667</v>
      </c>
      <c r="BP11" s="32" t="s">
        <v>246</v>
      </c>
      <c r="BQ11" s="138">
        <f>AVERAGE(M56:M61)</f>
        <v>0.4096666667</v>
      </c>
      <c r="BR11" s="139">
        <f>AVERAGE(M152:M157)</f>
        <v>0.7526666667</v>
      </c>
      <c r="BS11" s="139">
        <f>AVERAGE(M248:M253)</f>
        <v>0.9711666667</v>
      </c>
      <c r="BT11" s="139">
        <f>AVERAGE(M344:M349)</f>
        <v>0.47175</v>
      </c>
      <c r="BU11" s="139">
        <f>AVERAGE(M440:M445)</f>
        <v>0.4131666667</v>
      </c>
      <c r="BW11" s="32" t="s">
        <v>246</v>
      </c>
      <c r="BX11" s="138">
        <f>AVERAGE(N56:N61)</f>
        <v>36.25</v>
      </c>
      <c r="BY11" s="139">
        <f>AVERAGE(N152:N157)</f>
        <v>43.38333333</v>
      </c>
      <c r="BZ11" s="139">
        <f>AVERAGE(N248:N253)</f>
        <v>47.56666667</v>
      </c>
      <c r="CA11" s="139">
        <f>AVERAGE(N344:N349)</f>
        <v>41.21666667</v>
      </c>
      <c r="CB11" s="140">
        <f>AVERAGE(N440:N445)</f>
        <v>35.83333333</v>
      </c>
      <c r="CD11" s="32" t="s">
        <v>246</v>
      </c>
      <c r="CE11" s="138">
        <f>AVERAGE(O56:O61)</f>
        <v>16.9413692</v>
      </c>
      <c r="CF11" s="139">
        <f>AVERAGE(O152:O157)</f>
        <v>4.914032066</v>
      </c>
      <c r="CG11" s="139">
        <f>AVERAGE(O248:O253)</f>
        <v>2.450278003</v>
      </c>
      <c r="CH11" s="139">
        <f>AVERAGE(O344:O349)</f>
        <v>14.15117489</v>
      </c>
      <c r="CI11" s="140">
        <f>AVERAGE(O440:O445)</f>
        <v>24.89338359</v>
      </c>
      <c r="CK11" s="32" t="s">
        <v>246</v>
      </c>
      <c r="CL11" s="138">
        <f>AVERAGE(P56:P61)</f>
        <v>7.940850863</v>
      </c>
      <c r="CM11" s="139">
        <f>AVERAGE(P152:P157)</f>
        <v>4.909126635</v>
      </c>
      <c r="CN11" s="139">
        <f>AVERAGE(P248:P253)</f>
        <v>2.672759119</v>
      </c>
      <c r="CO11" s="139">
        <f>AVERAGE(P344:P349)</f>
        <v>14.87762694</v>
      </c>
      <c r="CP11" s="139">
        <f>AVERAGE(P440:P445)</f>
        <v>28.91261435</v>
      </c>
      <c r="CR11" s="32" t="s">
        <v>246</v>
      </c>
      <c r="CS11" s="138">
        <f>AVERAGE(Q56:Q61)</f>
        <v>1.19047619</v>
      </c>
      <c r="CT11" s="139">
        <f>AVERAGE(Q152:Q157)</f>
        <v>0.9047619048</v>
      </c>
      <c r="CU11" s="139">
        <f>AVERAGE(Q248:Q253)</f>
        <v>0</v>
      </c>
      <c r="CV11" s="139">
        <f>AVERAGE(Q344:Q349)</f>
        <v>0.65</v>
      </c>
      <c r="CW11" s="140">
        <f>AVERAGE(Q440:Q445)</f>
        <v>0.65</v>
      </c>
      <c r="CY11" s="32" t="s">
        <v>246</v>
      </c>
      <c r="CZ11" s="138">
        <f>AVERAGE(R56:R61)</f>
        <v>0.4825842333</v>
      </c>
      <c r="DA11" s="139">
        <f>AVERAGE(R152:R157)</f>
        <v>1.0132824</v>
      </c>
      <c r="DB11" s="139">
        <f>AVERAGE(R248:R253)</f>
        <v>1.07661255</v>
      </c>
      <c r="DC11" s="139">
        <f>AVERAGE(R344:R349)</f>
        <v>1.07661255</v>
      </c>
      <c r="DD11" s="139">
        <f>AVERAGE(R440:R445)</f>
        <v>1.171607775</v>
      </c>
      <c r="DF11" s="141" t="s">
        <v>246</v>
      </c>
      <c r="DG11" s="142">
        <f>AVERAGE(S56:S61)</f>
        <v>191.6516342</v>
      </c>
      <c r="DI11" s="141" t="s">
        <v>246</v>
      </c>
      <c r="DJ11" s="143">
        <f>AVERAGE(T56:T61)</f>
        <v>20.9</v>
      </c>
    </row>
    <row r="12" ht="14.25" customHeight="1">
      <c r="A12" s="134" t="s">
        <v>244</v>
      </c>
      <c r="B12" s="3" t="s">
        <v>239</v>
      </c>
      <c r="C12" s="3" t="s">
        <v>30</v>
      </c>
      <c r="D12" s="135" t="s">
        <v>240</v>
      </c>
      <c r="E12" s="8">
        <v>5.0</v>
      </c>
      <c r="F12" s="136" t="s">
        <v>232</v>
      </c>
      <c r="G12" s="137">
        <v>9.8156713</v>
      </c>
      <c r="H12" s="137">
        <v>0.1474799</v>
      </c>
      <c r="I12" s="137">
        <v>3.25326783</v>
      </c>
      <c r="J12" s="120">
        <f t="shared" si="1"/>
        <v>66.55599373</v>
      </c>
      <c r="K12" s="121">
        <v>-0.34</v>
      </c>
      <c r="L12" s="121">
        <v>-0.89</v>
      </c>
      <c r="M12" s="122">
        <v>0.55</v>
      </c>
      <c r="N12" s="120">
        <v>40.2</v>
      </c>
      <c r="O12" s="120">
        <v>5.915032418181817</v>
      </c>
      <c r="P12" s="123">
        <v>3.9765219123975224</v>
      </c>
      <c r="Q12" s="120">
        <v>1.0</v>
      </c>
      <c r="R12" s="120">
        <v>0.6722739000000001</v>
      </c>
      <c r="S12" s="120">
        <v>174.0865671641791</v>
      </c>
      <c r="T12" s="124">
        <v>7.1</v>
      </c>
      <c r="Z12" s="32" t="s">
        <v>247</v>
      </c>
      <c r="AA12" s="120">
        <f>AVERAGE(G62:G67)</f>
        <v>13.48911211</v>
      </c>
      <c r="AB12" s="120">
        <f>AVERAGE(G158:G163)</f>
        <v>9.083351692</v>
      </c>
      <c r="AC12" s="120">
        <f>AVERAGE(G254:G259)</f>
        <v>5.325098657</v>
      </c>
      <c r="AD12" s="120">
        <f>AVERAGE(G350:G355)</f>
        <v>11.76242337</v>
      </c>
      <c r="AE12" s="124">
        <f>AVERAGE(G446:G451)</f>
        <v>13.56153873</v>
      </c>
      <c r="AG12" s="32" t="s">
        <v>247</v>
      </c>
      <c r="AH12" s="138">
        <f>AVERAGE(H62:H67)</f>
        <v>0.3102613333</v>
      </c>
      <c r="AI12" s="139">
        <f>AVERAGE(H158:H163)</f>
        <v>0.1452192167</v>
      </c>
      <c r="AJ12" s="139">
        <f>AVERAGE(H254:H259)</f>
        <v>0.08229495167</v>
      </c>
      <c r="AK12" s="139">
        <f>AVERAGE(H350:H355)</f>
        <v>0.175817365</v>
      </c>
      <c r="AL12" s="140">
        <f>AVERAGE(H446:H451)</f>
        <v>0.27341508</v>
      </c>
      <c r="AN12" s="32" t="s">
        <v>247</v>
      </c>
      <c r="AO12" s="138">
        <f>AVERAGE(I62:I67)</f>
        <v>6.464375605</v>
      </c>
      <c r="AP12" s="139">
        <f>AVERAGE(I158:I163)</f>
        <v>5.146853457</v>
      </c>
      <c r="AQ12" s="139">
        <f>AVERAGE(I254:I259)</f>
        <v>3.11947615</v>
      </c>
      <c r="AR12" s="139">
        <f>AVERAGE(I350:I355)</f>
        <v>5.951763027</v>
      </c>
      <c r="AS12" s="140">
        <f>AVERAGE(I446:I451)</f>
        <v>9.42430166</v>
      </c>
      <c r="AU12" s="32" t="s">
        <v>247</v>
      </c>
      <c r="AV12" s="138">
        <f>AVERAGE(J62:J67)</f>
        <v>47.28020815</v>
      </c>
      <c r="AW12" s="139">
        <f>AVERAGE(J158:J163)</f>
        <v>66.42751609</v>
      </c>
      <c r="AX12" s="139">
        <f>AVERAGE(J254:J259)</f>
        <v>59.64915633</v>
      </c>
      <c r="AY12" s="139">
        <f>AVERAGE(J350:J355)</f>
        <v>67.87134971</v>
      </c>
      <c r="AZ12" s="140">
        <f>AVERAGE(J446:J451)</f>
        <v>50.31270615</v>
      </c>
      <c r="BB12" s="32" t="s">
        <v>247</v>
      </c>
      <c r="BC12" s="138">
        <f>AVERAGE(K62:K67)</f>
        <v>-0.263</v>
      </c>
      <c r="BD12" s="139">
        <f>AVERAGE(K158:K163)</f>
        <v>-0.3783333333</v>
      </c>
      <c r="BE12" s="139">
        <f>AVERAGE(K254:K259)</f>
        <v>-0.5251666667</v>
      </c>
      <c r="BF12" s="139">
        <f>AVERAGE(K350:K355)</f>
        <v>-0.143</v>
      </c>
      <c r="BG12" s="140">
        <f>AVERAGE(K446:K451)</f>
        <v>-0.351</v>
      </c>
      <c r="BI12" s="32" t="s">
        <v>247</v>
      </c>
      <c r="BJ12" s="138">
        <f>AVERAGE(L62:L67)</f>
        <v>-0.6166666667</v>
      </c>
      <c r="BK12" s="139">
        <f>AVERAGE(L158:L163)</f>
        <v>-1.1545</v>
      </c>
      <c r="BL12" s="139">
        <f>AVERAGE(L254:L259)</f>
        <v>-1.490666667</v>
      </c>
      <c r="BM12" s="139">
        <f>AVERAGE(L350:L355)</f>
        <v>-0.6226666667</v>
      </c>
      <c r="BN12" s="140">
        <f>AVERAGE(L446:L451)</f>
        <v>-0.6955</v>
      </c>
      <c r="BP12" s="32" t="s">
        <v>247</v>
      </c>
      <c r="BQ12" s="138">
        <f>AVERAGE(M62:M67)</f>
        <v>0.2843333333</v>
      </c>
      <c r="BR12" s="139">
        <f>AVERAGE(M158:M163)</f>
        <v>0.8106666667</v>
      </c>
      <c r="BS12" s="139">
        <f>AVERAGE(M254:M259)</f>
        <v>0.9655</v>
      </c>
      <c r="BT12" s="139">
        <f>AVERAGE(M350:M355)</f>
        <v>0.4635</v>
      </c>
      <c r="BU12" s="139">
        <f>AVERAGE(M446:M451)</f>
        <v>0.3445</v>
      </c>
      <c r="BW12" s="32" t="s">
        <v>247</v>
      </c>
      <c r="BX12" s="138">
        <f>AVERAGE(N62:N67)</f>
        <v>42.28333333</v>
      </c>
      <c r="BY12" s="139">
        <f>AVERAGE(N158:N163)</f>
        <v>40.01666667</v>
      </c>
      <c r="BZ12" s="139">
        <f>AVERAGE(N254:N259)</f>
        <v>39.43333333</v>
      </c>
      <c r="CA12" s="139">
        <f>AVERAGE(N350:N355)</f>
        <v>37.1</v>
      </c>
      <c r="CB12" s="140">
        <f>AVERAGE(N446:N451)</f>
        <v>41</v>
      </c>
      <c r="CD12" s="32" t="s">
        <v>247</v>
      </c>
      <c r="CE12" s="138">
        <f>AVERAGE(O62:O67)</f>
        <v>19.31047435</v>
      </c>
      <c r="CF12" s="139">
        <f>AVERAGE(O158:O163)</f>
        <v>6.65700631</v>
      </c>
      <c r="CG12" s="139">
        <f>AVERAGE(O254:O259)</f>
        <v>3.325636452</v>
      </c>
      <c r="CH12" s="139">
        <f>AVERAGE(O350:O355)</f>
        <v>12.61726007</v>
      </c>
      <c r="CI12" s="140">
        <f>AVERAGE(O446:O451)</f>
        <v>29.51345631</v>
      </c>
      <c r="CK12" s="32" t="s">
        <v>247</v>
      </c>
      <c r="CL12" s="138">
        <f>AVERAGE(P62:P67)</f>
        <v>11.08597974</v>
      </c>
      <c r="CM12" s="139">
        <f>AVERAGE(P158:P163)</f>
        <v>6.189134686</v>
      </c>
      <c r="CN12" s="139">
        <f>AVERAGE(P254:P259)</f>
        <v>3.404782675</v>
      </c>
      <c r="CO12" s="139">
        <f>AVERAGE(P350:P355)</f>
        <v>12.39654381</v>
      </c>
      <c r="CP12" s="139">
        <f>AVERAGE(P446:P451)</f>
        <v>32.87090136</v>
      </c>
      <c r="CR12" s="32" t="s">
        <v>247</v>
      </c>
      <c r="CS12" s="138">
        <f>AVERAGE(Q62:Q67)</f>
        <v>1.071428571</v>
      </c>
      <c r="CT12" s="139">
        <f>AVERAGE(Q158:Q163)</f>
        <v>0.7142857143</v>
      </c>
      <c r="CU12" s="139">
        <f>AVERAGE(Q254:Q259)</f>
        <v>0.02380952381</v>
      </c>
      <c r="CV12" s="139">
        <f>AVERAGE(Q350:Q355)</f>
        <v>0.6833333333</v>
      </c>
      <c r="CW12" s="140">
        <f>AVERAGE(Q446:Q451)</f>
        <v>0.6833333333</v>
      </c>
      <c r="CY12" s="32" t="s">
        <v>247</v>
      </c>
      <c r="CZ12" s="138">
        <f>AVERAGE(R62:R67)</f>
        <v>0.573008</v>
      </c>
      <c r="DA12" s="139">
        <f>AVERAGE(R158:R163)</f>
        <v>0.94020915</v>
      </c>
      <c r="DB12" s="139">
        <f>AVERAGE(R254:R259)</f>
        <v>0.9937962</v>
      </c>
      <c r="DC12" s="139">
        <f>AVERAGE(R350:R355)</f>
        <v>0.9937962</v>
      </c>
      <c r="DD12" s="139">
        <f>AVERAGE(R446:R451)</f>
        <v>1.103406075</v>
      </c>
      <c r="DF12" s="141" t="s">
        <v>247</v>
      </c>
      <c r="DG12" s="142">
        <f>AVERAGE(S62:S67)</f>
        <v>124.4031184</v>
      </c>
      <c r="DI12" s="141" t="s">
        <v>247</v>
      </c>
      <c r="DJ12" s="143">
        <f>AVERAGE(T62:T67)</f>
        <v>16.45</v>
      </c>
    </row>
    <row r="13" ht="14.25" customHeight="1">
      <c r="A13" s="134" t="s">
        <v>244</v>
      </c>
      <c r="B13" s="3" t="s">
        <v>239</v>
      </c>
      <c r="C13" s="3" t="s">
        <v>30</v>
      </c>
      <c r="D13" s="135" t="s">
        <v>240</v>
      </c>
      <c r="E13" s="8">
        <v>6.0</v>
      </c>
      <c r="F13" s="136" t="s">
        <v>232</v>
      </c>
      <c r="G13" s="137">
        <v>15.8609668</v>
      </c>
      <c r="H13" s="137">
        <v>0.40540302</v>
      </c>
      <c r="I13" s="137">
        <v>8.76973698</v>
      </c>
      <c r="J13" s="120">
        <f t="shared" si="1"/>
        <v>39.12394831</v>
      </c>
      <c r="K13" s="121"/>
      <c r="L13" s="121">
        <v>-0.698</v>
      </c>
      <c r="M13" s="122"/>
      <c r="N13" s="120">
        <v>43.5</v>
      </c>
      <c r="O13" s="120">
        <v>23.20036238095238</v>
      </c>
      <c r="P13" s="123">
        <v>14.918867747114577</v>
      </c>
      <c r="Q13" s="120">
        <v>1.1428571428571428</v>
      </c>
      <c r="R13" s="120">
        <v>0.6430446000000002</v>
      </c>
      <c r="S13" s="120">
        <v>218.1214285714286</v>
      </c>
      <c r="T13" s="124">
        <v>18.2</v>
      </c>
      <c r="Z13" s="32" t="s">
        <v>248</v>
      </c>
      <c r="AA13" s="120">
        <f>AVERAGE(G68:G73)</f>
        <v>12.36158063</v>
      </c>
      <c r="AB13" s="120">
        <f>AVERAGE(G164:G169)</f>
        <v>7.402965108</v>
      </c>
      <c r="AC13" s="120">
        <f>AVERAGE(G260:G265)</f>
        <v>4.959942495</v>
      </c>
      <c r="AD13" s="120">
        <f>AVERAGE(G356:G361)</f>
        <v>11.32120934</v>
      </c>
      <c r="AE13" s="124">
        <f>AVERAGE(G452:G457)</f>
        <v>12.92369308</v>
      </c>
      <c r="AG13" s="32" t="s">
        <v>248</v>
      </c>
      <c r="AH13" s="138">
        <f>AVERAGE(H68:H73)</f>
        <v>0.3692152767</v>
      </c>
      <c r="AI13" s="139">
        <f>AVERAGE(H164:H169)</f>
        <v>0.1351267267</v>
      </c>
      <c r="AJ13" s="139">
        <f>AVERAGE(H260:H265)</f>
        <v>0.08031181333</v>
      </c>
      <c r="AK13" s="139">
        <f>AVERAGE(H356:H361)</f>
        <v>0.16318399</v>
      </c>
      <c r="AL13" s="140">
        <f>AVERAGE(H452:H457)</f>
        <v>0.233768795</v>
      </c>
      <c r="AN13" s="32" t="s">
        <v>248</v>
      </c>
      <c r="AO13" s="138">
        <f>AVERAGE(I68:I73)</f>
        <v>6.969739807</v>
      </c>
      <c r="AP13" s="139">
        <f>AVERAGE(I164:I169)</f>
        <v>4.810090492</v>
      </c>
      <c r="AQ13" s="139">
        <f>AVERAGE(I260:I265)</f>
        <v>3.120527667</v>
      </c>
      <c r="AR13" s="139">
        <f>AVERAGE(I356:I361)</f>
        <v>5.694750342</v>
      </c>
      <c r="AS13" s="140">
        <f>AVERAGE(I452:I457)</f>
        <v>8.372269808</v>
      </c>
      <c r="AU13" s="32" t="s">
        <v>248</v>
      </c>
      <c r="AV13" s="138">
        <f>AVERAGE(J68:J73)</f>
        <v>38.63732631</v>
      </c>
      <c r="AW13" s="139">
        <f>AVERAGE(J164:J169)</f>
        <v>62.74919384</v>
      </c>
      <c r="AX13" s="139">
        <f>AVERAGE(J260:J265)</f>
        <v>59.9077069</v>
      </c>
      <c r="AY13" s="139">
        <f>AVERAGE(J356:J361)</f>
        <v>71.06658493</v>
      </c>
      <c r="AZ13" s="140">
        <f>AVERAGE(J452:J457)</f>
        <v>59.76857844</v>
      </c>
      <c r="BB13" s="32" t="s">
        <v>248</v>
      </c>
      <c r="BC13" s="138">
        <f>AVERAGE(K68:K73)</f>
        <v>-0.239</v>
      </c>
      <c r="BD13" s="139">
        <f>AVERAGE(K164:K169)</f>
        <v>-0.4666666667</v>
      </c>
      <c r="BE13" s="139">
        <f>AVERAGE(K260:K265)</f>
        <v>-0.3891666667</v>
      </c>
      <c r="BF13" s="139">
        <f>AVERAGE(K356:K361)</f>
        <v>-0.1635</v>
      </c>
      <c r="BG13" s="140">
        <f>AVERAGE(K452:K457)</f>
        <v>-0.2988333333</v>
      </c>
      <c r="BI13" s="32" t="s">
        <v>248</v>
      </c>
      <c r="BJ13" s="138">
        <f>AVERAGE(L68:L73)</f>
        <v>-0.6483333333</v>
      </c>
      <c r="BK13" s="139">
        <f>AVERAGE(L164:L169)</f>
        <v>-1.074</v>
      </c>
      <c r="BL13" s="139">
        <f>AVERAGE(L260:L265)</f>
        <v>-1.359666667</v>
      </c>
      <c r="BM13" s="139">
        <f>AVERAGE(L356:L361)</f>
        <v>-0.6811666667</v>
      </c>
      <c r="BN13" s="140">
        <f>AVERAGE(L452:L457)</f>
        <v>-0.7091666667</v>
      </c>
      <c r="BP13" s="32" t="s">
        <v>248</v>
      </c>
      <c r="BQ13" s="138">
        <f>AVERAGE(M68:M73)</f>
        <v>0.3093333333</v>
      </c>
      <c r="BR13" s="139">
        <f>AVERAGE(M164:M169)</f>
        <v>0.638</v>
      </c>
      <c r="BS13" s="139">
        <f>AVERAGE(M260:M265)</f>
        <v>0.9705</v>
      </c>
      <c r="BT13" s="139">
        <f>AVERAGE(M356:M361)</f>
        <v>0.51875</v>
      </c>
      <c r="BU13" s="139">
        <f>AVERAGE(M452:M457)</f>
        <v>0.4103333333</v>
      </c>
      <c r="BW13" s="32" t="s">
        <v>248</v>
      </c>
      <c r="BX13" s="138">
        <f>AVERAGE(N68:N73)</f>
        <v>33.78333333</v>
      </c>
      <c r="BY13" s="139">
        <f>AVERAGE(N164:N169)</f>
        <v>36.58333333</v>
      </c>
      <c r="BZ13" s="139">
        <f>AVERAGE(N260:N265)</f>
        <v>38.03333333</v>
      </c>
      <c r="CA13" s="139">
        <f>AVERAGE(N356:N361)</f>
        <v>36.41666667</v>
      </c>
      <c r="CB13" s="140">
        <f>AVERAGE(N452:N457)</f>
        <v>33</v>
      </c>
      <c r="CD13" s="32" t="s">
        <v>248</v>
      </c>
      <c r="CE13" s="138">
        <f>AVERAGE(O68:O73)</f>
        <v>19.0622411</v>
      </c>
      <c r="CF13" s="139">
        <f>AVERAGE(O164:O169)</f>
        <v>7.967679605</v>
      </c>
      <c r="CG13" s="139">
        <f>AVERAGE(O260:O265)</f>
        <v>3.321243032</v>
      </c>
      <c r="CH13" s="139">
        <f>AVERAGE(O356:O361)</f>
        <v>11.6808344</v>
      </c>
      <c r="CI13" s="140">
        <f>AVERAGE(O452:O457)</f>
        <v>20.36751089</v>
      </c>
      <c r="CK13" s="32" t="s">
        <v>248</v>
      </c>
      <c r="CL13" s="138">
        <f>AVERAGE(P68:P73)</f>
        <v>9.131142204</v>
      </c>
      <c r="CM13" s="139">
        <f>AVERAGE(P164:P169)</f>
        <v>7.964549685</v>
      </c>
      <c r="CN13" s="139">
        <f>AVERAGE(P260:P265)</f>
        <v>3.345667362</v>
      </c>
      <c r="CO13" s="139">
        <f>AVERAGE(P356:P361)</f>
        <v>12.47331761</v>
      </c>
      <c r="CP13" s="139">
        <f>AVERAGE(P452:P457)</f>
        <v>22.45262166</v>
      </c>
      <c r="CR13" s="32" t="s">
        <v>248</v>
      </c>
      <c r="CS13" s="138">
        <f>AVERAGE(Q68:Q73)</f>
        <v>1.095238095</v>
      </c>
      <c r="CT13" s="139">
        <f>AVERAGE(Q164:Q169)</f>
        <v>0.9523809524</v>
      </c>
      <c r="CU13" s="139">
        <f>AVERAGE(Q260:Q265)</f>
        <v>0.07142857143</v>
      </c>
      <c r="CV13" s="139">
        <f>AVERAGE(Q356:Q361)</f>
        <v>0.4166666667</v>
      </c>
      <c r="CW13" s="140">
        <f>AVERAGE(Q452:Q457)</f>
        <v>0.4166666667</v>
      </c>
      <c r="CY13" s="32" t="s">
        <v>248</v>
      </c>
      <c r="CZ13" s="138">
        <f>AVERAGE(R68:R73)</f>
        <v>0.4599048781</v>
      </c>
      <c r="DA13" s="139">
        <f>AVERAGE(R164:R169)</f>
        <v>0.996231975</v>
      </c>
      <c r="DB13" s="139">
        <f>AVERAGE(R260:R265)</f>
        <v>1.03764015</v>
      </c>
      <c r="DC13" s="139">
        <f>AVERAGE(R356:R361)</f>
        <v>1.03764015</v>
      </c>
      <c r="DD13" s="139">
        <f>AVERAGE(R452:R457)</f>
        <v>1.071741</v>
      </c>
      <c r="DF13" s="141" t="s">
        <v>248</v>
      </c>
      <c r="DG13" s="142">
        <f>AVERAGE(S68:S73)</f>
        <v>132.3742194</v>
      </c>
      <c r="DI13" s="141" t="s">
        <v>248</v>
      </c>
      <c r="DJ13" s="143">
        <f>AVERAGE(T68:T73)</f>
        <v>14.3</v>
      </c>
    </row>
    <row r="14" ht="14.25" customHeight="1">
      <c r="A14" s="134" t="s">
        <v>249</v>
      </c>
      <c r="B14" s="3" t="s">
        <v>250</v>
      </c>
      <c r="C14" s="3" t="s">
        <v>42</v>
      </c>
      <c r="D14" s="3" t="s">
        <v>251</v>
      </c>
      <c r="E14" s="8">
        <v>1.0</v>
      </c>
      <c r="F14" s="136" t="s">
        <v>232</v>
      </c>
      <c r="G14" s="137">
        <v>20.1966515</v>
      </c>
      <c r="H14" s="137">
        <v>0.58449653</v>
      </c>
      <c r="I14" s="137">
        <v>5.63718984</v>
      </c>
      <c r="J14" s="120">
        <f t="shared" si="1"/>
        <v>34.55392883</v>
      </c>
      <c r="K14" s="121">
        <v>-0.21</v>
      </c>
      <c r="L14" s="121">
        <v>-0.64</v>
      </c>
      <c r="M14" s="122">
        <v>0.43</v>
      </c>
      <c r="N14" s="120">
        <v>37.6</v>
      </c>
      <c r="O14" s="120">
        <v>13.109743813953486</v>
      </c>
      <c r="P14" s="123">
        <v>6.420743905746917</v>
      </c>
      <c r="Q14" s="120">
        <v>1.2857142857142858</v>
      </c>
      <c r="R14" s="120">
        <v>0.48976883125000015</v>
      </c>
      <c r="S14" s="120">
        <v>198.96969696969697</v>
      </c>
      <c r="T14" s="124">
        <v>37.9</v>
      </c>
      <c r="Z14" s="32" t="s">
        <v>252</v>
      </c>
      <c r="AA14" s="120">
        <f>AVERAGE(G74:G79)</f>
        <v>14.67356833</v>
      </c>
      <c r="AB14" s="120">
        <f>AVERAGE(G170:G175)</f>
        <v>8.460708848</v>
      </c>
      <c r="AC14" s="120">
        <f>AVERAGE(G266:G271)</f>
        <v>4.751908972</v>
      </c>
      <c r="AD14" s="120">
        <f>AVERAGE(G362:G367)</f>
        <v>11.90782238</v>
      </c>
      <c r="AE14" s="124">
        <f>AVERAGE(G458:G463)</f>
        <v>13.24286468</v>
      </c>
      <c r="AG14" s="32" t="s">
        <v>252</v>
      </c>
      <c r="AH14" s="138">
        <f>AVERAGE(H74:H79)</f>
        <v>0.3467341217</v>
      </c>
      <c r="AI14" s="139">
        <f>AVERAGE(H170:H175)</f>
        <v>0.141356935</v>
      </c>
      <c r="AJ14" s="139">
        <f>AVERAGE(H266:H271)</f>
        <v>0.07016475833</v>
      </c>
      <c r="AK14" s="139">
        <f>AVERAGE(H362:H367)</f>
        <v>0.200786735</v>
      </c>
      <c r="AL14" s="140">
        <f>AVERAGE(H458:H463)</f>
        <v>0.2759281117</v>
      </c>
      <c r="AN14" s="32" t="s">
        <v>252</v>
      </c>
      <c r="AO14" s="138">
        <f>AVERAGE(I74:I79)</f>
        <v>6.957379997</v>
      </c>
      <c r="AP14" s="139">
        <f>AVERAGE(I170:I175)</f>
        <v>5.438580023</v>
      </c>
      <c r="AQ14" s="139">
        <f>AVERAGE(I266:I271)</f>
        <v>2.765223057</v>
      </c>
      <c r="AR14" s="139">
        <f>AVERAGE(I362:I367)</f>
        <v>6.728061568</v>
      </c>
      <c r="AS14" s="140">
        <f>AVERAGE(I458:I463)</f>
        <v>9.117828693</v>
      </c>
      <c r="AU14" s="32" t="s">
        <v>252</v>
      </c>
      <c r="AV14" s="138">
        <f>AVERAGE(J74:J79)</f>
        <v>42.98515815</v>
      </c>
      <c r="AW14" s="139">
        <f>AVERAGE(J170:J175)</f>
        <v>61.19643351</v>
      </c>
      <c r="AX14" s="139">
        <f>AVERAGE(J266:J271)</f>
        <v>66.35927605</v>
      </c>
      <c r="AY14" s="139">
        <f>AVERAGE(J362:J367)</f>
        <v>60.01799951</v>
      </c>
      <c r="AZ14" s="140">
        <f>AVERAGE(J458:J463)</f>
        <v>49.16515553</v>
      </c>
      <c r="BB14" s="32" t="s">
        <v>252</v>
      </c>
      <c r="BC14" s="138">
        <f>AVERAGE(K74:K79)</f>
        <v>-0.296</v>
      </c>
      <c r="BD14" s="139">
        <f>AVERAGE(K170:K175)</f>
        <v>-0.4683333333</v>
      </c>
      <c r="BE14" s="139">
        <f>AVERAGE(K266:K271)</f>
        <v>-0.6285</v>
      </c>
      <c r="BF14" s="139">
        <f>AVERAGE(K362:K367)</f>
        <v>-0.203</v>
      </c>
      <c r="BG14" s="140">
        <f>AVERAGE(K458:K463)</f>
        <v>-0.355</v>
      </c>
      <c r="BI14" s="32" t="s">
        <v>252</v>
      </c>
      <c r="BJ14" s="138">
        <f>AVERAGE(L74:L79)</f>
        <v>-0.7051666667</v>
      </c>
      <c r="BK14" s="139">
        <f>AVERAGE(L170:L175)</f>
        <v>-1.104166667</v>
      </c>
      <c r="BL14" s="139">
        <f>AVERAGE(L266:L271)</f>
        <v>-1.461166667</v>
      </c>
      <c r="BM14" s="139">
        <f>AVERAGE(L362:L367)</f>
        <v>-0.7631666667</v>
      </c>
      <c r="BN14" s="140">
        <f>AVERAGE(L458:L463)</f>
        <v>-0.797</v>
      </c>
      <c r="BP14" s="32" t="s">
        <v>252</v>
      </c>
      <c r="BQ14" s="138">
        <f>AVERAGE(M74:M79)</f>
        <v>0.3536666667</v>
      </c>
      <c r="BR14" s="139">
        <f>AVERAGE(M170:M175)</f>
        <v>0.662</v>
      </c>
      <c r="BS14" s="139">
        <f>AVERAGE(M266:M271)</f>
        <v>0.8326666667</v>
      </c>
      <c r="BT14" s="139">
        <f>AVERAGE(M362:M367)</f>
        <v>0.55425</v>
      </c>
      <c r="BU14" s="139">
        <f>AVERAGE(M458:M463)</f>
        <v>0.442</v>
      </c>
      <c r="BW14" s="32" t="s">
        <v>252</v>
      </c>
      <c r="BX14" s="138">
        <f>AVERAGE(N74:N79)</f>
        <v>43.53333333</v>
      </c>
      <c r="BY14" s="139">
        <f>AVERAGE(N170:N175)</f>
        <v>38.13333333</v>
      </c>
      <c r="BZ14" s="139">
        <f>AVERAGE(N266:N271)</f>
        <v>40.13333333</v>
      </c>
      <c r="CA14" s="139">
        <f>AVERAGE(N362:N367)</f>
        <v>46.36666667</v>
      </c>
      <c r="CB14" s="140">
        <f>AVERAGE(N458:N463)</f>
        <v>44.91666667</v>
      </c>
      <c r="CD14" s="32" t="s">
        <v>252</v>
      </c>
      <c r="CE14" s="138">
        <f>AVERAGE(O74:O79)</f>
        <v>18.36610236</v>
      </c>
      <c r="CF14" s="139">
        <f>AVERAGE(O170:O175)</f>
        <v>8.621572265</v>
      </c>
      <c r="CG14" s="139">
        <f>AVERAGE(O266:O271)</f>
        <v>3.304081888</v>
      </c>
      <c r="CH14" s="139">
        <f>AVERAGE(O362:O367)</f>
        <v>13.38068637</v>
      </c>
      <c r="CI14" s="140">
        <f>AVERAGE(O458:O463)</f>
        <v>21.27801517</v>
      </c>
      <c r="CK14" s="32" t="s">
        <v>252</v>
      </c>
      <c r="CL14" s="138">
        <f>AVERAGE(P74:P79)</f>
        <v>10.45339151</v>
      </c>
      <c r="CM14" s="139">
        <f>AVERAGE(P170:P175)</f>
        <v>8.408367043</v>
      </c>
      <c r="CN14" s="139">
        <f>AVERAGE(P266:P271)</f>
        <v>3.306294685</v>
      </c>
      <c r="CO14" s="139">
        <f>AVERAGE(P362:P367)</f>
        <v>13.11769908</v>
      </c>
      <c r="CP14" s="139">
        <f>AVERAGE(P458:P463)</f>
        <v>22.59004717</v>
      </c>
      <c r="CR14" s="32" t="s">
        <v>252</v>
      </c>
      <c r="CS14" s="138">
        <f>AVERAGE(Q74:Q79)</f>
        <v>1.142857143</v>
      </c>
      <c r="CT14" s="139">
        <f>AVERAGE(Q170:Q175)</f>
        <v>0.8333333333</v>
      </c>
      <c r="CU14" s="139">
        <f>AVERAGE(Q266:Q271)</f>
        <v>0.07142857143</v>
      </c>
      <c r="CV14" s="139">
        <f>AVERAGE(Q362:Q367)</f>
        <v>0.6333333333</v>
      </c>
      <c r="CW14" s="140">
        <f>AVERAGE(Q458:Q463)</f>
        <v>0.6333333333</v>
      </c>
      <c r="CY14" s="32" t="s">
        <v>252</v>
      </c>
      <c r="CZ14" s="138">
        <f>AVERAGE(R74:R79)</f>
        <v>0.5706204667</v>
      </c>
      <c r="DA14" s="139">
        <f>AVERAGE(R170:R175)</f>
        <v>0.962131125</v>
      </c>
      <c r="DB14" s="139">
        <f>AVERAGE(R266:R271)</f>
        <v>1.001103525</v>
      </c>
      <c r="DC14" s="139">
        <f>AVERAGE(R362:R367)</f>
        <v>1.001103525</v>
      </c>
      <c r="DD14" s="139">
        <f>AVERAGE(R458:R463)</f>
        <v>1.0912272</v>
      </c>
      <c r="DF14" s="141" t="s">
        <v>252</v>
      </c>
      <c r="DG14" s="142">
        <f>AVERAGE(S74:S79)</f>
        <v>120.6104621</v>
      </c>
      <c r="DI14" s="141" t="s">
        <v>252</v>
      </c>
      <c r="DJ14" s="143">
        <f>AVERAGE(T74:T79)</f>
        <v>16.01666667</v>
      </c>
    </row>
    <row r="15" ht="14.25" customHeight="1">
      <c r="A15" s="134" t="s">
        <v>249</v>
      </c>
      <c r="B15" s="3" t="s">
        <v>250</v>
      </c>
      <c r="C15" s="3" t="s">
        <v>42</v>
      </c>
      <c r="D15" s="3" t="s">
        <v>251</v>
      </c>
      <c r="E15" s="8">
        <v>2.0</v>
      </c>
      <c r="F15" s="136" t="s">
        <v>232</v>
      </c>
      <c r="G15" s="137">
        <v>14.6826354</v>
      </c>
      <c r="H15" s="137">
        <v>0.3597277</v>
      </c>
      <c r="I15" s="137">
        <v>5.52749232</v>
      </c>
      <c r="J15" s="120">
        <f t="shared" si="1"/>
        <v>40.81597108</v>
      </c>
      <c r="K15" s="121"/>
      <c r="L15" s="121">
        <v>-0.76</v>
      </c>
      <c r="M15" s="122"/>
      <c r="N15" s="120">
        <v>34.9</v>
      </c>
      <c r="O15" s="120">
        <v>9.69735494736842</v>
      </c>
      <c r="P15" s="123">
        <v>4.51778111592128</v>
      </c>
      <c r="Q15" s="120">
        <v>1.4285714285714286</v>
      </c>
      <c r="R15" s="120">
        <v>0.4658776687500001</v>
      </c>
      <c r="S15" s="120">
        <v>109.38571428571429</v>
      </c>
      <c r="T15" s="124">
        <v>24.9</v>
      </c>
      <c r="Z15" s="32" t="s">
        <v>253</v>
      </c>
      <c r="AA15" s="120">
        <f>AVERAGE(G80:G85)</f>
        <v>13.77109865</v>
      </c>
      <c r="AB15" s="120">
        <f>AVERAGE(G176:G181)</f>
        <v>7.154679855</v>
      </c>
      <c r="AC15" s="120">
        <f>AVERAGE(G272:G277)</f>
        <v>4.58986952</v>
      </c>
      <c r="AD15" s="120">
        <f>AVERAGE(G368:G373)</f>
        <v>12.26775932</v>
      </c>
      <c r="AE15" s="124">
        <f>AVERAGE(G464:G469)</f>
        <v>16.45451835</v>
      </c>
      <c r="AG15" s="32" t="s">
        <v>253</v>
      </c>
      <c r="AH15" s="138">
        <f>AVERAGE(H80:H85)</f>
        <v>0.3725793983</v>
      </c>
      <c r="AI15" s="139">
        <f>AVERAGE(H176:H181)</f>
        <v>0.116584795</v>
      </c>
      <c r="AJ15" s="139">
        <f>AVERAGE(H272:H277)</f>
        <v>0.05801748167</v>
      </c>
      <c r="AK15" s="139">
        <f>AVERAGE(H368:H373)</f>
        <v>0.2014763533</v>
      </c>
      <c r="AL15" s="140">
        <f>AVERAGE(H464:H469)</f>
        <v>0.32204091</v>
      </c>
      <c r="AN15" s="32" t="s">
        <v>253</v>
      </c>
      <c r="AO15" s="138">
        <f>AVERAGE(I80:I85)</f>
        <v>7.16962246</v>
      </c>
      <c r="AP15" s="139">
        <f>AVERAGE(I176:I181)</f>
        <v>4.591114977</v>
      </c>
      <c r="AQ15" s="139">
        <f>AVERAGE(I272:I277)</f>
        <v>2.269833672</v>
      </c>
      <c r="AR15" s="139">
        <f>AVERAGE(I368:I373)</f>
        <v>6.424897225</v>
      </c>
      <c r="AS15" s="140">
        <f>AVERAGE(I464:I469)</f>
        <v>10.35498694</v>
      </c>
      <c r="AU15" s="32" t="s">
        <v>253</v>
      </c>
      <c r="AV15" s="138">
        <f>AVERAGE(J80:J85)</f>
        <v>38.51696632</v>
      </c>
      <c r="AW15" s="139">
        <f>AVERAGE(J176:J181)</f>
        <v>64.35034343</v>
      </c>
      <c r="AX15" s="139">
        <f>AVERAGE(J272:J277)</f>
        <v>81.26768543</v>
      </c>
      <c r="AY15" s="139">
        <f>AVERAGE(J368:J373)</f>
        <v>62.36473825</v>
      </c>
      <c r="AZ15" s="140">
        <f>AVERAGE(J464:J469)</f>
        <v>51.31836448</v>
      </c>
      <c r="BB15" s="32" t="s">
        <v>253</v>
      </c>
      <c r="BC15" s="138">
        <f>AVERAGE(K80:K85)</f>
        <v>-0.1976666667</v>
      </c>
      <c r="BD15" s="139">
        <f>AVERAGE(K176:K181)</f>
        <v>-0.4416666667</v>
      </c>
      <c r="BE15" s="139">
        <f>AVERAGE(K272:K277)</f>
        <v>-0.542</v>
      </c>
      <c r="BF15" s="139">
        <f>AVERAGE(K368:K373)</f>
        <v>-0.171</v>
      </c>
      <c r="BG15" s="140">
        <f>AVERAGE(K464:K469)</f>
        <v>-0.3118333333</v>
      </c>
      <c r="BI15" s="32" t="s">
        <v>253</v>
      </c>
      <c r="BJ15" s="138">
        <f>AVERAGE(L80:L85)</f>
        <v>-0.6913333333</v>
      </c>
      <c r="BK15" s="139">
        <f>AVERAGE(L176:L181)</f>
        <v>-1.088166667</v>
      </c>
      <c r="BL15" s="139">
        <f>AVERAGE(L272:L277)</f>
        <v>-1.321866667</v>
      </c>
      <c r="BM15" s="139">
        <f>AVERAGE(L368:L373)</f>
        <v>-0.6213333333</v>
      </c>
      <c r="BN15" s="140">
        <f>AVERAGE(L464:L469)</f>
        <v>-0.774</v>
      </c>
      <c r="BP15" s="32" t="s">
        <v>253</v>
      </c>
      <c r="BQ15" s="138">
        <f>AVERAGE(M80:M85)</f>
        <v>0.4043333333</v>
      </c>
      <c r="BR15" s="139">
        <f>AVERAGE(M176:M181)</f>
        <v>0.6473333333</v>
      </c>
      <c r="BS15" s="139">
        <f>AVERAGE(M272:M277)</f>
        <v>0.7798666667</v>
      </c>
      <c r="BT15" s="139">
        <f>AVERAGE(M368:M373)</f>
        <v>0.4795</v>
      </c>
      <c r="BU15" s="139">
        <f>AVERAGE(M464:M469)</f>
        <v>0.4621666667</v>
      </c>
      <c r="BW15" s="32" t="s">
        <v>253</v>
      </c>
      <c r="BX15" s="138">
        <f>AVERAGE(N80:N85)</f>
        <v>36.51666667</v>
      </c>
      <c r="BY15" s="139">
        <f>AVERAGE(N176:N181)</f>
        <v>39.3</v>
      </c>
      <c r="BZ15" s="139">
        <f>AVERAGE(N272:N277)</f>
        <v>47.71666667</v>
      </c>
      <c r="CA15" s="139">
        <f>AVERAGE(N368:N373)</f>
        <v>36.71666667</v>
      </c>
      <c r="CB15" s="140">
        <f>AVERAGE(N464:N469)</f>
        <v>36.3</v>
      </c>
      <c r="CD15" s="32" t="s">
        <v>253</v>
      </c>
      <c r="CE15" s="138">
        <f>AVERAGE(O80:O85)</f>
        <v>14.93365621</v>
      </c>
      <c r="CF15" s="139">
        <f>AVERAGE(O176:O181)</f>
        <v>7.180122105</v>
      </c>
      <c r="CG15" s="139">
        <f>AVERAGE(O272:O277)</f>
        <v>3.421721348</v>
      </c>
      <c r="CH15" s="139">
        <f>AVERAGE(O368:O373)</f>
        <v>14.26770468</v>
      </c>
      <c r="CI15" s="140">
        <f>AVERAGE(O464:O469)</f>
        <v>23.02159694</v>
      </c>
      <c r="CK15" s="32" t="s">
        <v>253</v>
      </c>
      <c r="CL15" s="138">
        <f>AVERAGE(P80:P85)</f>
        <v>7.051620294</v>
      </c>
      <c r="CM15" s="139">
        <f>AVERAGE(P176:P181)</f>
        <v>6.868406682</v>
      </c>
      <c r="CN15" s="139">
        <f>AVERAGE(P272:P277)</f>
        <v>3.211770782</v>
      </c>
      <c r="CO15" s="139">
        <f>AVERAGE(P368:P373)</f>
        <v>14.07312197</v>
      </c>
      <c r="CP15" s="139">
        <f>AVERAGE(P464:P469)</f>
        <v>25.09721163</v>
      </c>
      <c r="CR15" s="32" t="s">
        <v>253</v>
      </c>
      <c r="CS15" s="138">
        <f>AVERAGE(Q80:Q85)</f>
        <v>1.166666667</v>
      </c>
      <c r="CT15" s="139">
        <f>AVERAGE(Q176:Q181)</f>
        <v>0.7857142857</v>
      </c>
      <c r="CU15" s="139">
        <f>AVERAGE(Q272:Q277)</f>
        <v>0</v>
      </c>
      <c r="CV15" s="139">
        <f>AVERAGE(Q368:Q373)</f>
        <v>0.6333333333</v>
      </c>
      <c r="CW15" s="140">
        <f>AVERAGE(Q464:Q469)</f>
        <v>0.6333333333</v>
      </c>
      <c r="CY15" s="32" t="s">
        <v>253</v>
      </c>
      <c r="CZ15" s="138">
        <f>AVERAGE(R80:R85)</f>
        <v>0.4728547125</v>
      </c>
      <c r="DA15" s="139">
        <f>AVERAGE(R176:R181)</f>
        <v>0.9548238</v>
      </c>
      <c r="DB15" s="139">
        <f>AVERAGE(R272:R277)</f>
        <v>0.986488875</v>
      </c>
      <c r="DC15" s="139">
        <f>AVERAGE(R368:R373)</f>
        <v>0.986488875</v>
      </c>
      <c r="DD15" s="139">
        <f>AVERAGE(R464:R469)</f>
        <v>1.083919875</v>
      </c>
      <c r="DF15" s="141" t="s">
        <v>253</v>
      </c>
      <c r="DG15" s="142">
        <f>AVERAGE(S80:S85)</f>
        <v>163.2826445</v>
      </c>
      <c r="DI15" s="141" t="s">
        <v>253</v>
      </c>
      <c r="DJ15" s="143">
        <f>AVERAGE(T80:T85)</f>
        <v>28.05</v>
      </c>
    </row>
    <row r="16" ht="14.25" customHeight="1">
      <c r="A16" s="134" t="s">
        <v>249</v>
      </c>
      <c r="B16" s="3" t="s">
        <v>250</v>
      </c>
      <c r="C16" s="3" t="s">
        <v>42</v>
      </c>
      <c r="D16" s="3" t="s">
        <v>251</v>
      </c>
      <c r="E16" s="8">
        <v>3.0</v>
      </c>
      <c r="F16" s="136" t="s">
        <v>232</v>
      </c>
      <c r="G16" s="137">
        <v>18.5404211</v>
      </c>
      <c r="H16" s="137">
        <v>0.39998414</v>
      </c>
      <c r="I16" s="137">
        <v>8.49007544</v>
      </c>
      <c r="J16" s="120">
        <f t="shared" si="1"/>
        <v>46.35289064</v>
      </c>
      <c r="K16" s="121">
        <v>-0.192</v>
      </c>
      <c r="L16" s="121">
        <v>-0.58</v>
      </c>
      <c r="M16" s="122">
        <v>0.388</v>
      </c>
      <c r="N16" s="120">
        <v>33.7</v>
      </c>
      <c r="O16" s="120">
        <v>21.881637731958765</v>
      </c>
      <c r="P16" s="123">
        <v>10.978333019227525</v>
      </c>
      <c r="Q16" s="120">
        <v>1.2857142857142858</v>
      </c>
      <c r="R16" s="120">
        <v>0.5017144125</v>
      </c>
      <c r="S16" s="120">
        <v>187.38392857142856</v>
      </c>
      <c r="T16" s="124">
        <v>23.1</v>
      </c>
      <c r="Z16" s="32" t="s">
        <v>254</v>
      </c>
      <c r="AA16" s="120">
        <f>AVERAGE(G86:G91)</f>
        <v>16.43841682</v>
      </c>
      <c r="AB16" s="120">
        <f>AVERAGE(G182:G187)</f>
        <v>9.081446923</v>
      </c>
      <c r="AC16" s="120">
        <f>AVERAGE(G278:G283)</f>
        <v>3.780787873</v>
      </c>
      <c r="AD16" s="120">
        <f>AVERAGE(G374:G379)</f>
        <v>13.22684902</v>
      </c>
      <c r="AE16" s="124">
        <f>AVERAGE(G470:G475)</f>
        <v>17.54741458</v>
      </c>
      <c r="AG16" s="32" t="s">
        <v>254</v>
      </c>
      <c r="AH16" s="138">
        <f>AVERAGE(H86:H91)</f>
        <v>0.4104615317</v>
      </c>
      <c r="AI16" s="139">
        <f>AVERAGE(H182:H187)</f>
        <v>0.1646718233</v>
      </c>
      <c r="AJ16" s="139">
        <f>AVERAGE(H278:H283)</f>
        <v>0.06165863</v>
      </c>
      <c r="AK16" s="139">
        <f>AVERAGE(H374:H379)</f>
        <v>0.229625965</v>
      </c>
      <c r="AL16" s="140">
        <f>AVERAGE(H470:H475)</f>
        <v>0.356781475</v>
      </c>
      <c r="AN16" s="32" t="s">
        <v>254</v>
      </c>
      <c r="AO16" s="138">
        <f>AVERAGE(I86:I91)</f>
        <v>7.170763715</v>
      </c>
      <c r="AP16" s="139">
        <f>AVERAGE(I182:I187)</f>
        <v>5.588357967</v>
      </c>
      <c r="AQ16" s="139">
        <f>AVERAGE(I278:I283)</f>
        <v>2.361250175</v>
      </c>
      <c r="AR16" s="139">
        <f>AVERAGE(I374:I379)</f>
        <v>7.091093843</v>
      </c>
      <c r="AS16" s="140">
        <f>AVERAGE(I470:I475)</f>
        <v>11.17826096</v>
      </c>
      <c r="AU16" s="32" t="s">
        <v>254</v>
      </c>
      <c r="AV16" s="138">
        <f>AVERAGE(J86:J91)</f>
        <v>42.48462911</v>
      </c>
      <c r="AW16" s="139">
        <f>AVERAGE(J182:J187)</f>
        <v>60.20093311</v>
      </c>
      <c r="AX16" s="139">
        <f>AVERAGE(J278:J283)</f>
        <v>61.36495678</v>
      </c>
      <c r="AY16" s="139">
        <f>AVERAGE(J374:J379)</f>
        <v>58.75241208</v>
      </c>
      <c r="AZ16" s="140">
        <f>AVERAGE(J470:J475)</f>
        <v>49.487127</v>
      </c>
      <c r="BB16" s="32" t="s">
        <v>254</v>
      </c>
      <c r="BC16" s="138">
        <f>AVERAGE(K86:K91)</f>
        <v>-0.2786666667</v>
      </c>
      <c r="BD16" s="139">
        <f>AVERAGE(K182:K187)</f>
        <v>-0.4333333333</v>
      </c>
      <c r="BE16" s="139">
        <f>AVERAGE(K278:K283)</f>
        <v>-0.5288333333</v>
      </c>
      <c r="BF16" s="139">
        <f>AVERAGE(K374:K379)</f>
        <v>-0.171</v>
      </c>
      <c r="BG16" s="140">
        <f>AVERAGE(K470:K475)</f>
        <v>-0.3105</v>
      </c>
      <c r="BI16" s="32" t="s">
        <v>254</v>
      </c>
      <c r="BJ16" s="138">
        <f>AVERAGE(L86:L91)</f>
        <v>-0.7453333333</v>
      </c>
      <c r="BK16" s="139">
        <f>AVERAGE(L182:L187)</f>
        <v>-1.114666667</v>
      </c>
      <c r="BL16" s="139">
        <f>AVERAGE(L278:L283)</f>
        <v>-1.469666667</v>
      </c>
      <c r="BM16" s="139">
        <f>AVERAGE(L374:L379)</f>
        <v>-0.6565</v>
      </c>
      <c r="BN16" s="140">
        <f>AVERAGE(L470:L475)</f>
        <v>-0.6821666667</v>
      </c>
      <c r="BP16" s="32" t="s">
        <v>254</v>
      </c>
      <c r="BQ16" s="138">
        <f>AVERAGE(M86:M91)</f>
        <v>0.4163333333</v>
      </c>
      <c r="BR16" s="139">
        <f>AVERAGE(M182:M187)</f>
        <v>0.6903333333</v>
      </c>
      <c r="BS16" s="139">
        <f>AVERAGE(M278:M283)</f>
        <v>0.9408333333</v>
      </c>
      <c r="BT16" s="139">
        <f>AVERAGE(M374:M379)</f>
        <v>0.50725</v>
      </c>
      <c r="BU16" s="139">
        <f>AVERAGE(M470:M475)</f>
        <v>0.3716666667</v>
      </c>
      <c r="BW16" s="32" t="s">
        <v>254</v>
      </c>
      <c r="BX16" s="138">
        <f>AVERAGE(N86:N91)</f>
        <v>41.63333333</v>
      </c>
      <c r="BY16" s="139">
        <f>AVERAGE(N182:N187)</f>
        <v>39.16666667</v>
      </c>
      <c r="BZ16" s="139">
        <f>AVERAGE(N278:N283)</f>
        <v>38.36666667</v>
      </c>
      <c r="CA16" s="139">
        <f>AVERAGE(N374:N379)</f>
        <v>36.08333333</v>
      </c>
      <c r="CB16" s="140">
        <f>AVERAGE(N470:N475)</f>
        <v>33.66666667</v>
      </c>
      <c r="CD16" s="32" t="s">
        <v>254</v>
      </c>
      <c r="CE16" s="138">
        <f>AVERAGE(O86:O91)</f>
        <v>15.68700682</v>
      </c>
      <c r="CF16" s="139">
        <f>AVERAGE(O182:O187)</f>
        <v>8.369295964</v>
      </c>
      <c r="CG16" s="139">
        <f>AVERAGE(O278:O283)</f>
        <v>2.535119953</v>
      </c>
      <c r="CH16" s="139">
        <f>AVERAGE(O374:O379)</f>
        <v>14.58209922</v>
      </c>
      <c r="CI16" s="140">
        <f>AVERAGE(O470:O475)</f>
        <v>31.0362508</v>
      </c>
      <c r="CK16" s="32" t="s">
        <v>254</v>
      </c>
      <c r="CL16" s="138">
        <f>AVERAGE(P86:P91)</f>
        <v>9.454922403</v>
      </c>
      <c r="CM16" s="139">
        <f>AVERAGE(P182:P187)</f>
        <v>7.908888775</v>
      </c>
      <c r="CN16" s="139">
        <f>AVERAGE(P278:P283)</f>
        <v>2.501714187</v>
      </c>
      <c r="CO16" s="139">
        <f>AVERAGE(P374:P379)</f>
        <v>14.55759983</v>
      </c>
      <c r="CP16" s="139">
        <f>AVERAGE(P470:P475)</f>
        <v>33.42397796</v>
      </c>
      <c r="CR16" s="32" t="s">
        <v>254</v>
      </c>
      <c r="CS16" s="138">
        <f>AVERAGE(Q86:Q91)</f>
        <v>1.071428571</v>
      </c>
      <c r="CT16" s="139">
        <f>AVERAGE(Q182:Q187)</f>
        <v>0.8095238095</v>
      </c>
      <c r="CU16" s="139">
        <f>AVERAGE(Q278:Q283)</f>
        <v>0.02380952381</v>
      </c>
      <c r="CV16" s="139">
        <f>AVERAGE(Q374:Q379)</f>
        <v>0.6</v>
      </c>
      <c r="CW16" s="140">
        <f>AVERAGE(Q470:Q475)</f>
        <v>0.6</v>
      </c>
      <c r="CY16" s="32" t="s">
        <v>254</v>
      </c>
      <c r="CZ16" s="138">
        <f>AVERAGE(R86:R91)</f>
        <v>0.6040459333</v>
      </c>
      <c r="DA16" s="139">
        <f>AVERAGE(R182:R187)</f>
        <v>0.9548238</v>
      </c>
      <c r="DB16" s="139">
        <f>AVERAGE(R278:R283)</f>
        <v>0.98892465</v>
      </c>
      <c r="DC16" s="139">
        <f>AVERAGE(R374:R379)</f>
        <v>0.98892465</v>
      </c>
      <c r="DD16" s="139">
        <f>AVERAGE(R470:R475)</f>
        <v>1.07661255</v>
      </c>
      <c r="DF16" s="141" t="s">
        <v>254</v>
      </c>
      <c r="DG16" s="142">
        <f>AVERAGE(S86:S91)</f>
        <v>98.23143226</v>
      </c>
      <c r="DI16" s="141" t="s">
        <v>254</v>
      </c>
      <c r="DJ16" s="143">
        <f>AVERAGE(T86:T91)</f>
        <v>7.416666667</v>
      </c>
    </row>
    <row r="17" ht="14.25" customHeight="1">
      <c r="A17" s="134" t="s">
        <v>249</v>
      </c>
      <c r="B17" s="3" t="s">
        <v>250</v>
      </c>
      <c r="C17" s="3" t="s">
        <v>42</v>
      </c>
      <c r="D17" s="3" t="s">
        <v>251</v>
      </c>
      <c r="E17" s="8">
        <v>4.0</v>
      </c>
      <c r="F17" s="136" t="s">
        <v>232</v>
      </c>
      <c r="G17" s="137">
        <v>14.1710633</v>
      </c>
      <c r="H17" s="137">
        <v>0.39239797</v>
      </c>
      <c r="I17" s="137">
        <v>7.77030961</v>
      </c>
      <c r="J17" s="120">
        <f t="shared" si="1"/>
        <v>36.11400767</v>
      </c>
      <c r="K17" s="121"/>
      <c r="L17" s="121">
        <v>-0.752</v>
      </c>
      <c r="M17" s="122"/>
      <c r="N17" s="120">
        <v>38.0</v>
      </c>
      <c r="O17" s="120">
        <v>13.82617368327402</v>
      </c>
      <c r="P17" s="123">
        <v>6.771628925516627</v>
      </c>
      <c r="Q17" s="120">
        <v>1.0</v>
      </c>
      <c r="R17" s="120">
        <v>0.48976883125000015</v>
      </c>
      <c r="S17" s="120">
        <v>197.31063829787232</v>
      </c>
      <c r="T17" s="124">
        <v>25.3</v>
      </c>
      <c r="Z17" s="144" t="s">
        <v>255</v>
      </c>
      <c r="AA17" s="145">
        <f>AVERAGE(G92:G97)</f>
        <v>17.52110458</v>
      </c>
      <c r="AB17" s="145">
        <f>AVERAGE(G188:G193)</f>
        <v>8.106088205</v>
      </c>
      <c r="AC17" s="145">
        <f>AVERAGE(G284:G289)</f>
        <v>5.147956665</v>
      </c>
      <c r="AD17" s="145">
        <f>AVERAGE(G380:G385)</f>
        <v>12.87069035</v>
      </c>
      <c r="AE17" s="146">
        <f>AVERAGE(G476:G481)</f>
        <v>16.52917998</v>
      </c>
      <c r="AG17" s="144" t="s">
        <v>255</v>
      </c>
      <c r="AH17" s="147">
        <f>AVERAGE(H92:H97)</f>
        <v>0.4875288683</v>
      </c>
      <c r="AI17" s="148">
        <f>AVERAGE(H188:H193)</f>
        <v>0.1408557583</v>
      </c>
      <c r="AJ17" s="148">
        <f>AVERAGE(H284:H289)</f>
        <v>0.06640658167</v>
      </c>
      <c r="AK17" s="148">
        <f>AVERAGE(H380:H385)</f>
        <v>0.2202893417</v>
      </c>
      <c r="AL17" s="149">
        <f>AVERAGE(H476:H481)</f>
        <v>0.318037335</v>
      </c>
      <c r="AN17" s="144" t="s">
        <v>255</v>
      </c>
      <c r="AO17" s="147">
        <f>AVERAGE(I92:I97)</f>
        <v>8.468228343</v>
      </c>
      <c r="AP17" s="148">
        <f>AVERAGE(I188:I193)</f>
        <v>5.217044343</v>
      </c>
      <c r="AQ17" s="148">
        <f>AVERAGE(I284:I289)</f>
        <v>2.61808209</v>
      </c>
      <c r="AR17" s="148">
        <f>AVERAGE(I380:I385)</f>
        <v>6.816734035</v>
      </c>
      <c r="AS17" s="149">
        <f>AVERAGE(I476:I481)</f>
        <v>10.43422733</v>
      </c>
      <c r="AU17" s="144" t="s">
        <v>255</v>
      </c>
      <c r="AV17" s="147">
        <f>AVERAGE(J92:J97)</f>
        <v>37.78919764</v>
      </c>
      <c r="AW17" s="148">
        <f>AVERAGE(J188:J193)</f>
        <v>63.14541642</v>
      </c>
      <c r="AX17" s="148">
        <f>AVERAGE(J284:J289)</f>
        <v>75.33311355</v>
      </c>
      <c r="AY17" s="148">
        <f>AVERAGE(J380:J385)</f>
        <v>58.37411524</v>
      </c>
      <c r="AZ17" s="149">
        <f>AVERAGE(J476:J481)</f>
        <v>52.79425272</v>
      </c>
      <c r="BB17" s="144" t="s">
        <v>255</v>
      </c>
      <c r="BC17" s="147">
        <f>AVERAGE(K92:K97)</f>
        <v>-0.2656666667</v>
      </c>
      <c r="BD17" s="148">
        <f>AVERAGE(K188:K193)</f>
        <v>-0.3676666667</v>
      </c>
      <c r="BE17" s="148">
        <f>AVERAGE(K284:K289)</f>
        <v>-0.403</v>
      </c>
      <c r="BF17" s="148">
        <f>AVERAGE(K380:K385)</f>
        <v>-0.12325</v>
      </c>
      <c r="BG17" s="149">
        <f>AVERAGE(K476:K481)</f>
        <v>-0.3206666667</v>
      </c>
      <c r="BI17" s="144" t="s">
        <v>255</v>
      </c>
      <c r="BJ17" s="147">
        <f>AVERAGE(L92:L97)</f>
        <v>-0.7113333333</v>
      </c>
      <c r="BK17" s="148">
        <f>AVERAGE(L188:L193)</f>
        <v>-1.087666667</v>
      </c>
      <c r="BL17" s="148">
        <f>AVERAGE(L284:L289)</f>
        <v>-1.476333333</v>
      </c>
      <c r="BM17" s="148">
        <f>AVERAGE(L380:L385)</f>
        <v>-0.6448333333</v>
      </c>
      <c r="BN17" s="149">
        <f>AVERAGE(L476:L481)</f>
        <v>-0.7183333333</v>
      </c>
      <c r="BP17" s="144" t="s">
        <v>255</v>
      </c>
      <c r="BQ17" s="147">
        <f>AVERAGE(M92:M97)</f>
        <v>0.3633333333</v>
      </c>
      <c r="BR17" s="148">
        <f>AVERAGE(M188:M193)</f>
        <v>0.7146666667</v>
      </c>
      <c r="BS17" s="148">
        <f>AVERAGE(M284:M289)</f>
        <v>1.073333333</v>
      </c>
      <c r="BT17" s="148">
        <f>AVERAGE(M380:M385)</f>
        <v>0.502</v>
      </c>
      <c r="BU17" s="148">
        <f>AVERAGE(M476:M481)</f>
        <v>0.3976666667</v>
      </c>
      <c r="BW17" s="144" t="s">
        <v>255</v>
      </c>
      <c r="BX17" s="147">
        <f>AVERAGE(N92:N97)</f>
        <v>39.68333333</v>
      </c>
      <c r="BY17" s="148">
        <f>AVERAGE(N188:N193)</f>
        <v>38.11666667</v>
      </c>
      <c r="BZ17" s="148">
        <f>AVERAGE(N284:N289)</f>
        <v>40.23333333</v>
      </c>
      <c r="CA17" s="148">
        <f>AVERAGE(N380:N385)</f>
        <v>41.5</v>
      </c>
      <c r="CB17" s="149">
        <f>AVERAGE(N476:N481)</f>
        <v>39.85</v>
      </c>
      <c r="CD17" s="144" t="s">
        <v>255</v>
      </c>
      <c r="CE17" s="147">
        <f>AVERAGE(O92:O97)</f>
        <v>19.52253152</v>
      </c>
      <c r="CF17" s="148">
        <f>AVERAGE(O188:O193)</f>
        <v>7.246363955</v>
      </c>
      <c r="CG17" s="148">
        <f>AVERAGE(O284:O289)</f>
        <v>2.475876666</v>
      </c>
      <c r="CH17" s="148">
        <f>AVERAGE(O380:O385)</f>
        <v>15.1921876</v>
      </c>
      <c r="CI17" s="149">
        <f>AVERAGE(O476:O481)</f>
        <v>28.57406484</v>
      </c>
      <c r="CK17" s="144" t="s">
        <v>255</v>
      </c>
      <c r="CL17" s="147">
        <f>AVERAGE(P92:P97)</f>
        <v>9.272279761</v>
      </c>
      <c r="CM17" s="148">
        <f>AVERAGE(P188:P193)</f>
        <v>6.982446056</v>
      </c>
      <c r="CN17" s="148">
        <f>AVERAGE(P284:P289)</f>
        <v>2.534640014</v>
      </c>
      <c r="CO17" s="148">
        <f>AVERAGE(P380:P385)</f>
        <v>15.70924008</v>
      </c>
      <c r="CP17" s="148">
        <f>AVERAGE(P476:P481)</f>
        <v>32.46340321</v>
      </c>
      <c r="CR17" s="144" t="s">
        <v>255</v>
      </c>
      <c r="CS17" s="147">
        <f>AVERAGE(Q92:Q97)</f>
        <v>1.071428571</v>
      </c>
      <c r="CT17" s="148">
        <f>AVERAGE(Q188:Q193)</f>
        <v>0.9285714286</v>
      </c>
      <c r="CU17" s="148">
        <f>AVERAGE(Q284:Q289)</f>
        <v>0.04761904762</v>
      </c>
      <c r="CV17" s="148">
        <f>AVERAGE(Q380:Q385)</f>
        <v>0.8333333333</v>
      </c>
      <c r="CW17" s="149">
        <f>AVERAGE(Q476:Q481)</f>
        <v>0.8333333333</v>
      </c>
      <c r="CY17" s="144" t="s">
        <v>255</v>
      </c>
      <c r="CZ17" s="147">
        <f>AVERAGE(R92:R97)</f>
        <v>0.4758323198</v>
      </c>
      <c r="DA17" s="148">
        <f>AVERAGE(R188:R193)</f>
        <v>0.97918155</v>
      </c>
      <c r="DB17" s="148">
        <f>AVERAGE(R284:R289)</f>
        <v>1.030332825</v>
      </c>
      <c r="DC17" s="148">
        <f>AVERAGE(R380:R385)</f>
        <v>1.030332825</v>
      </c>
      <c r="DD17" s="148">
        <f>AVERAGE(R476:R481)</f>
        <v>1.152121575</v>
      </c>
      <c r="DF17" s="150" t="s">
        <v>255</v>
      </c>
      <c r="DG17" s="151">
        <f>AVERAGE(S92:S97)</f>
        <v>163.3411165</v>
      </c>
      <c r="DI17" s="150" t="s">
        <v>255</v>
      </c>
      <c r="DJ17" s="152">
        <f>AVERAGE(T92:T97)</f>
        <v>18.08333333</v>
      </c>
    </row>
    <row r="18" ht="14.25" customHeight="1">
      <c r="A18" s="134" t="s">
        <v>249</v>
      </c>
      <c r="B18" s="3" t="s">
        <v>250</v>
      </c>
      <c r="C18" s="3" t="s">
        <v>42</v>
      </c>
      <c r="D18" s="3" t="s">
        <v>251</v>
      </c>
      <c r="E18" s="8">
        <v>5.0</v>
      </c>
      <c r="F18" s="136" t="s">
        <v>232</v>
      </c>
      <c r="G18" s="137">
        <v>14.9808296</v>
      </c>
      <c r="H18" s="137">
        <v>0.35661942</v>
      </c>
      <c r="I18" s="137">
        <v>6.23483729</v>
      </c>
      <c r="J18" s="120">
        <f t="shared" si="1"/>
        <v>42.00789065</v>
      </c>
      <c r="K18" s="121">
        <v>-0.16</v>
      </c>
      <c r="L18" s="121">
        <v>-0.64</v>
      </c>
      <c r="M18" s="122">
        <v>0.48</v>
      </c>
      <c r="N18" s="120">
        <v>39.4</v>
      </c>
      <c r="O18" s="120">
        <v>12.989244354166667</v>
      </c>
      <c r="P18" s="123">
        <v>7.758203690440086</v>
      </c>
      <c r="Q18" s="120">
        <v>1.2857142857142858</v>
      </c>
      <c r="R18" s="120">
        <v>0.5972790625000002</v>
      </c>
      <c r="S18" s="120">
        <v>209.13777777777779</v>
      </c>
      <c r="T18" s="124">
        <v>42.3</v>
      </c>
      <c r="AA18" s="15"/>
      <c r="AB18" s="15"/>
      <c r="AC18" s="15"/>
      <c r="AD18" s="15"/>
      <c r="AE18" s="15"/>
    </row>
    <row r="19" ht="14.25" customHeight="1">
      <c r="A19" s="134" t="s">
        <v>249</v>
      </c>
      <c r="B19" s="3" t="s">
        <v>250</v>
      </c>
      <c r="C19" s="3" t="s">
        <v>42</v>
      </c>
      <c r="D19" s="3" t="s">
        <v>251</v>
      </c>
      <c r="E19" s="8">
        <v>6.0</v>
      </c>
      <c r="F19" s="136" t="s">
        <v>232</v>
      </c>
      <c r="G19" s="137">
        <v>15.8745206</v>
      </c>
      <c r="H19" s="137">
        <v>0.49800311</v>
      </c>
      <c r="I19" s="137">
        <v>10.2916835</v>
      </c>
      <c r="J19" s="120">
        <f t="shared" si="1"/>
        <v>31.87634832</v>
      </c>
      <c r="K19" s="121"/>
      <c r="L19" s="121">
        <v>-0.895</v>
      </c>
      <c r="M19" s="122"/>
      <c r="N19" s="120">
        <v>32.1</v>
      </c>
      <c r="O19" s="120">
        <v>14.598132624113473</v>
      </c>
      <c r="P19" s="123">
        <v>8.196009429902293</v>
      </c>
      <c r="Q19" s="120">
        <v>1.1428571428571428</v>
      </c>
      <c r="R19" s="120">
        <v>0.5614423187500002</v>
      </c>
      <c r="S19" s="120">
        <v>180.41052631578947</v>
      </c>
      <c r="T19" s="124">
        <v>42.6</v>
      </c>
      <c r="AA19" s="15"/>
      <c r="AB19" s="15"/>
      <c r="AC19" s="15"/>
      <c r="AD19" s="15"/>
      <c r="AE19" s="15"/>
      <c r="AO19" s="139"/>
    </row>
    <row r="20" ht="14.25" customHeight="1">
      <c r="A20" s="134" t="s">
        <v>256</v>
      </c>
      <c r="B20" s="3" t="s">
        <v>257</v>
      </c>
      <c r="C20" s="3" t="s">
        <v>54</v>
      </c>
      <c r="D20" s="135" t="s">
        <v>240</v>
      </c>
      <c r="E20" s="8">
        <v>1.0</v>
      </c>
      <c r="F20" s="136" t="s">
        <v>232</v>
      </c>
      <c r="G20" s="137">
        <v>15.7555532</v>
      </c>
      <c r="H20" s="137">
        <v>0.20042633</v>
      </c>
      <c r="I20" s="137">
        <v>3.34321008</v>
      </c>
      <c r="J20" s="120">
        <f t="shared" si="1"/>
        <v>78.61019657</v>
      </c>
      <c r="K20" s="121">
        <v>-0.32</v>
      </c>
      <c r="L20" s="121">
        <v>-0.816</v>
      </c>
      <c r="M20" s="122">
        <v>0.496</v>
      </c>
      <c r="N20" s="120">
        <v>44.7</v>
      </c>
      <c r="O20" s="120">
        <v>6.740342903225807</v>
      </c>
      <c r="P20" s="123">
        <v>4.0553839266061935</v>
      </c>
      <c r="Q20" s="120">
        <v>1.1428571428571428</v>
      </c>
      <c r="R20" s="120">
        <v>0.6016584</v>
      </c>
      <c r="S20" s="120">
        <v>196.4404761904762</v>
      </c>
      <c r="T20" s="124">
        <v>19.3</v>
      </c>
      <c r="AA20" s="15"/>
      <c r="AB20" s="15"/>
      <c r="AC20" s="15"/>
      <c r="AD20" s="15"/>
      <c r="AE20" s="15"/>
    </row>
    <row r="21" ht="14.25" customHeight="1">
      <c r="A21" s="134" t="s">
        <v>256</v>
      </c>
      <c r="B21" s="3" t="s">
        <v>257</v>
      </c>
      <c r="C21" s="3" t="s">
        <v>54</v>
      </c>
      <c r="D21" s="135" t="s">
        <v>240</v>
      </c>
      <c r="E21" s="8">
        <v>2.0</v>
      </c>
      <c r="F21" s="136" t="s">
        <v>232</v>
      </c>
      <c r="G21" s="137">
        <v>17.275853</v>
      </c>
      <c r="H21" s="137">
        <v>0.34559237</v>
      </c>
      <c r="I21" s="137">
        <v>5.4933009</v>
      </c>
      <c r="J21" s="120">
        <f t="shared" si="1"/>
        <v>49.98910422</v>
      </c>
      <c r="K21" s="121"/>
      <c r="L21" s="121">
        <v>-0.782</v>
      </c>
      <c r="M21" s="122"/>
      <c r="N21" s="120">
        <v>50.7</v>
      </c>
      <c r="O21" s="120">
        <v>12.153320575221239</v>
      </c>
      <c r="P21" s="123">
        <v>6.441653672453895</v>
      </c>
      <c r="Q21" s="120">
        <v>1.0</v>
      </c>
      <c r="R21" s="120">
        <v>0.5300324000000001</v>
      </c>
      <c r="S21" s="120">
        <v>140.91093750000002</v>
      </c>
      <c r="T21" s="124">
        <v>20.6</v>
      </c>
      <c r="AA21" s="15"/>
      <c r="AB21" s="15"/>
      <c r="AC21" s="15"/>
      <c r="AD21" s="15"/>
      <c r="AE21" s="15"/>
    </row>
    <row r="22" ht="14.25" customHeight="1">
      <c r="A22" s="134" t="s">
        <v>256</v>
      </c>
      <c r="B22" s="3" t="s">
        <v>257</v>
      </c>
      <c r="C22" s="3" t="s">
        <v>54</v>
      </c>
      <c r="D22" s="135" t="s">
        <v>240</v>
      </c>
      <c r="E22" s="8">
        <v>3.0</v>
      </c>
      <c r="F22" s="136" t="s">
        <v>232</v>
      </c>
      <c r="G22" s="137">
        <v>18.309206</v>
      </c>
      <c r="H22" s="137">
        <v>0.28971083</v>
      </c>
      <c r="I22" s="137">
        <v>6.96458498</v>
      </c>
      <c r="J22" s="120">
        <f t="shared" si="1"/>
        <v>63.19821044</v>
      </c>
      <c r="K22" s="121">
        <v>-0.34</v>
      </c>
      <c r="L22" s="121">
        <v>-0.75</v>
      </c>
      <c r="M22" s="122">
        <v>0.41</v>
      </c>
      <c r="N22" s="120">
        <v>50.9</v>
      </c>
      <c r="O22" s="120">
        <v>16.98679263414634</v>
      </c>
      <c r="P22" s="123">
        <v>10.950264082920294</v>
      </c>
      <c r="Q22" s="120">
        <v>1.1428571428571428</v>
      </c>
      <c r="R22" s="120">
        <v>0.644634</v>
      </c>
      <c r="S22" s="120">
        <v>151.02941176470586</v>
      </c>
      <c r="T22" s="124">
        <v>31.6</v>
      </c>
      <c r="AA22" s="15"/>
      <c r="AB22" s="15"/>
      <c r="AC22" s="15"/>
      <c r="AD22" s="15"/>
      <c r="AE22" s="15"/>
    </row>
    <row r="23" ht="14.25" customHeight="1">
      <c r="A23" s="134" t="s">
        <v>256</v>
      </c>
      <c r="B23" s="3" t="s">
        <v>257</v>
      </c>
      <c r="C23" s="3" t="s">
        <v>54</v>
      </c>
      <c r="D23" s="135" t="s">
        <v>240</v>
      </c>
      <c r="E23" s="8">
        <v>4.0</v>
      </c>
      <c r="F23" s="136" t="s">
        <v>232</v>
      </c>
      <c r="G23" s="137">
        <v>13.5749641</v>
      </c>
      <c r="H23" s="137">
        <v>0.18559198</v>
      </c>
      <c r="I23" s="137">
        <v>4.72114847</v>
      </c>
      <c r="J23" s="120">
        <f t="shared" si="1"/>
        <v>73.14413101</v>
      </c>
      <c r="K23" s="121"/>
      <c r="L23" s="121">
        <v>-0.82</v>
      </c>
      <c r="M23" s="122"/>
      <c r="N23" s="120">
        <v>46.2</v>
      </c>
      <c r="O23" s="120">
        <v>9.634996877551021</v>
      </c>
      <c r="P23" s="123">
        <v>6.487093091703813</v>
      </c>
      <c r="Q23" s="120">
        <v>1.2857142857142858</v>
      </c>
      <c r="R23" s="120">
        <v>0.6732844</v>
      </c>
      <c r="S23" s="120">
        <v>171.89090909090908</v>
      </c>
      <c r="T23" s="124">
        <v>45.5</v>
      </c>
      <c r="AA23" s="15"/>
      <c r="AB23" s="15"/>
      <c r="AC23" s="15"/>
      <c r="AD23" s="15"/>
      <c r="AE23" s="15"/>
    </row>
    <row r="24" ht="14.25" customHeight="1">
      <c r="A24" s="134" t="s">
        <v>256</v>
      </c>
      <c r="B24" s="3" t="s">
        <v>257</v>
      </c>
      <c r="C24" s="3" t="s">
        <v>54</v>
      </c>
      <c r="D24" s="135" t="s">
        <v>240</v>
      </c>
      <c r="E24" s="8">
        <v>5.0</v>
      </c>
      <c r="F24" s="136" t="s">
        <v>232</v>
      </c>
      <c r="G24" s="137">
        <v>18.1698227</v>
      </c>
      <c r="H24" s="137">
        <v>0.24343114</v>
      </c>
      <c r="I24" s="137">
        <v>4.71383888</v>
      </c>
      <c r="J24" s="120">
        <f t="shared" si="1"/>
        <v>74.64050285</v>
      </c>
      <c r="K24" s="121">
        <v>-0.33</v>
      </c>
      <c r="L24" s="121">
        <v>-0.818</v>
      </c>
      <c r="M24" s="122">
        <v>0.488</v>
      </c>
      <c r="N24" s="120">
        <v>44.7</v>
      </c>
      <c r="O24" s="120">
        <v>9.659505901639346</v>
      </c>
      <c r="P24" s="123">
        <v>6.088471573455214</v>
      </c>
      <c r="Q24" s="120">
        <v>1.2857142857142858</v>
      </c>
      <c r="R24" s="120">
        <v>0.6303088000000001</v>
      </c>
      <c r="S24" s="120">
        <v>166.53913043478263</v>
      </c>
      <c r="T24" s="124">
        <v>29.6</v>
      </c>
      <c r="AA24" s="15"/>
      <c r="AB24" s="15"/>
      <c r="AC24" s="15"/>
      <c r="AD24" s="15"/>
      <c r="AE24" s="15"/>
    </row>
    <row r="25" ht="14.25" customHeight="1">
      <c r="A25" s="134" t="s">
        <v>256</v>
      </c>
      <c r="B25" s="3" t="s">
        <v>257</v>
      </c>
      <c r="C25" s="3" t="s">
        <v>54</v>
      </c>
      <c r="D25" s="135" t="s">
        <v>240</v>
      </c>
      <c r="E25" s="8">
        <v>6.0</v>
      </c>
      <c r="F25" s="136" t="s">
        <v>232</v>
      </c>
      <c r="G25" s="137">
        <v>10.1582607</v>
      </c>
      <c r="H25" s="137">
        <v>0.22879652</v>
      </c>
      <c r="I25" s="137">
        <v>6.18713639</v>
      </c>
      <c r="J25" s="120">
        <f t="shared" si="1"/>
        <v>44.39866786</v>
      </c>
      <c r="K25" s="121"/>
      <c r="L25" s="121">
        <v>-0.645</v>
      </c>
      <c r="M25" s="122"/>
      <c r="N25" s="120">
        <v>39.8</v>
      </c>
      <c r="O25" s="120">
        <v>19.641702825396827</v>
      </c>
      <c r="P25" s="123">
        <v>13.505823423089982</v>
      </c>
      <c r="Q25" s="120">
        <v>1.1428571428571428</v>
      </c>
      <c r="R25" s="120">
        <v>0.6876096</v>
      </c>
      <c r="S25" s="120">
        <v>133.24615384615385</v>
      </c>
      <c r="T25" s="124">
        <v>21.6</v>
      </c>
      <c r="AA25" s="15"/>
      <c r="AB25" s="15"/>
      <c r="AC25" s="15"/>
      <c r="AD25" s="15"/>
      <c r="AE25" s="15"/>
    </row>
    <row r="26" ht="14.25" customHeight="1">
      <c r="A26" s="134" t="s">
        <v>249</v>
      </c>
      <c r="B26" s="3" t="s">
        <v>258</v>
      </c>
      <c r="C26" s="3" t="s">
        <v>65</v>
      </c>
      <c r="D26" s="3" t="s">
        <v>251</v>
      </c>
      <c r="E26" s="8">
        <v>1.0</v>
      </c>
      <c r="F26" s="136" t="s">
        <v>232</v>
      </c>
      <c r="G26" s="137">
        <v>18.7447471</v>
      </c>
      <c r="H26" s="137">
        <v>0.48509236</v>
      </c>
      <c r="I26" s="137">
        <v>5.70615139</v>
      </c>
      <c r="J26" s="120">
        <f t="shared" si="1"/>
        <v>38.64160446</v>
      </c>
      <c r="K26" s="121">
        <v>-0.227</v>
      </c>
      <c r="L26" s="121">
        <v>-0.769</v>
      </c>
      <c r="M26" s="122">
        <v>0.542</v>
      </c>
      <c r="N26" s="120">
        <v>33.4</v>
      </c>
      <c r="O26" s="120">
        <v>10.52795459409594</v>
      </c>
      <c r="P26" s="123">
        <v>5.408407147737992</v>
      </c>
      <c r="Q26" s="120">
        <v>1.1428571428571428</v>
      </c>
      <c r="R26" s="120">
        <v>0.5137186999999999</v>
      </c>
      <c r="S26" s="120">
        <v>173.45362318840577</v>
      </c>
      <c r="T26" s="124">
        <v>49.6</v>
      </c>
      <c r="AA26" s="15"/>
      <c r="AB26" s="15"/>
      <c r="AC26" s="15"/>
      <c r="AD26" s="15"/>
      <c r="AE26" s="15"/>
    </row>
    <row r="27" ht="14.25" customHeight="1">
      <c r="A27" s="134" t="s">
        <v>249</v>
      </c>
      <c r="B27" s="3" t="s">
        <v>258</v>
      </c>
      <c r="C27" s="3" t="s">
        <v>65</v>
      </c>
      <c r="D27" s="3" t="s">
        <v>251</v>
      </c>
      <c r="E27" s="8">
        <v>2.0</v>
      </c>
      <c r="F27" s="136" t="s">
        <v>232</v>
      </c>
      <c r="G27" s="137">
        <v>16.9528005</v>
      </c>
      <c r="H27" s="137">
        <v>0.49701899</v>
      </c>
      <c r="I27" s="137">
        <v>7.04817187</v>
      </c>
      <c r="J27" s="120">
        <f t="shared" si="1"/>
        <v>34.1089593</v>
      </c>
      <c r="K27" s="121"/>
      <c r="L27" s="121">
        <v>-0.815</v>
      </c>
      <c r="M27" s="122"/>
      <c r="N27" s="120">
        <v>38.9</v>
      </c>
      <c r="O27" s="120">
        <v>12.257690208695653</v>
      </c>
      <c r="P27" s="123">
        <v>5.581435965489557</v>
      </c>
      <c r="Q27" s="120">
        <v>1.2857142857142858</v>
      </c>
      <c r="R27" s="120">
        <v>0.45534157499999994</v>
      </c>
      <c r="S27" s="120">
        <v>135.07977528089887</v>
      </c>
      <c r="T27" s="124">
        <v>29.9</v>
      </c>
      <c r="AA27" s="15"/>
      <c r="AB27" s="15"/>
      <c r="AC27" s="15"/>
      <c r="AD27" s="15"/>
      <c r="AE27" s="15"/>
    </row>
    <row r="28" ht="14.25" customHeight="1">
      <c r="A28" s="134" t="s">
        <v>249</v>
      </c>
      <c r="B28" s="3" t="s">
        <v>258</v>
      </c>
      <c r="C28" s="3" t="s">
        <v>65</v>
      </c>
      <c r="D28" s="3" t="s">
        <v>251</v>
      </c>
      <c r="E28" s="8">
        <v>3.0</v>
      </c>
      <c r="F28" s="136" t="s">
        <v>232</v>
      </c>
      <c r="G28" s="137">
        <v>13.9388879</v>
      </c>
      <c r="H28" s="137">
        <v>0.26579555</v>
      </c>
      <c r="I28" s="137">
        <v>6.57176224</v>
      </c>
      <c r="J28" s="120">
        <f t="shared" si="1"/>
        <v>52.44214171</v>
      </c>
      <c r="K28" s="121">
        <v>-0.18</v>
      </c>
      <c r="L28" s="121">
        <v>-0.69</v>
      </c>
      <c r="M28" s="122">
        <v>0.51</v>
      </c>
      <c r="N28" s="120">
        <v>44.7</v>
      </c>
      <c r="O28" s="120">
        <v>12.885808313725489</v>
      </c>
      <c r="P28" s="123">
        <v>7.823259003626478</v>
      </c>
      <c r="Q28" s="120">
        <v>1.2857142857142858</v>
      </c>
      <c r="R28" s="120">
        <v>0.6071221</v>
      </c>
      <c r="S28" s="120">
        <v>223.5956989247312</v>
      </c>
      <c r="T28" s="124">
        <v>51.4</v>
      </c>
      <c r="AA28" s="15"/>
      <c r="AB28" s="15"/>
      <c r="AC28" s="15"/>
      <c r="AD28" s="15"/>
      <c r="AE28" s="15"/>
    </row>
    <row r="29" ht="14.25" customHeight="1">
      <c r="A29" s="134" t="s">
        <v>249</v>
      </c>
      <c r="B29" s="3" t="s">
        <v>258</v>
      </c>
      <c r="C29" s="3" t="s">
        <v>65</v>
      </c>
      <c r="D29" s="3" t="s">
        <v>251</v>
      </c>
      <c r="E29" s="8">
        <v>4.0</v>
      </c>
      <c r="F29" s="136" t="s">
        <v>232</v>
      </c>
      <c r="G29" s="137">
        <v>20.0759707</v>
      </c>
      <c r="H29" s="137">
        <v>0.4241963</v>
      </c>
      <c r="I29" s="137">
        <v>8.30329038</v>
      </c>
      <c r="J29" s="120">
        <f t="shared" si="1"/>
        <v>47.3270764</v>
      </c>
      <c r="K29" s="121"/>
      <c r="L29" s="121">
        <v>-0.651</v>
      </c>
      <c r="M29" s="122"/>
      <c r="N29" s="120">
        <v>39.6</v>
      </c>
      <c r="O29" s="120">
        <v>20.202652992700727</v>
      </c>
      <c r="P29" s="123">
        <v>10.61435519177863</v>
      </c>
      <c r="Q29" s="120">
        <v>1.0</v>
      </c>
      <c r="R29" s="120">
        <v>0.5253941249999999</v>
      </c>
      <c r="S29" s="120">
        <v>218.925</v>
      </c>
      <c r="T29" s="124">
        <v>30.9</v>
      </c>
      <c r="AA29" s="15"/>
      <c r="AB29" s="15"/>
      <c r="AC29" s="15"/>
      <c r="AD29" s="15"/>
      <c r="AE29" s="15"/>
    </row>
    <row r="30" ht="14.25" customHeight="1">
      <c r="A30" s="134" t="s">
        <v>249</v>
      </c>
      <c r="B30" s="3" t="s">
        <v>258</v>
      </c>
      <c r="C30" s="3" t="s">
        <v>65</v>
      </c>
      <c r="D30" s="3" t="s">
        <v>251</v>
      </c>
      <c r="E30" s="8">
        <v>5.0</v>
      </c>
      <c r="F30" s="136" t="s">
        <v>232</v>
      </c>
      <c r="G30" s="137">
        <v>17.3261376</v>
      </c>
      <c r="H30" s="137">
        <v>0.22457158</v>
      </c>
      <c r="I30" s="137">
        <v>4.35641608</v>
      </c>
      <c r="J30" s="120">
        <f t="shared" si="1"/>
        <v>77.15196019</v>
      </c>
      <c r="K30" s="121">
        <v>-0.309</v>
      </c>
      <c r="L30" s="121">
        <v>-0.85</v>
      </c>
      <c r="M30" s="122">
        <v>0.541</v>
      </c>
      <c r="N30" s="120">
        <v>41.8</v>
      </c>
      <c r="O30" s="120">
        <v>8.052525101663587</v>
      </c>
      <c r="P30" s="123">
        <v>4.5127993384843474</v>
      </c>
      <c r="Q30" s="120">
        <v>1.0</v>
      </c>
      <c r="R30" s="120">
        <v>0.5604203999999999</v>
      </c>
      <c r="S30" s="120">
        <v>157.40307692307692</v>
      </c>
      <c r="T30" s="124">
        <v>8.9</v>
      </c>
      <c r="AA30" s="15"/>
      <c r="AB30" s="15"/>
      <c r="AC30" s="15"/>
      <c r="AD30" s="15"/>
      <c r="AE30" s="15"/>
    </row>
    <row r="31" ht="14.25" customHeight="1">
      <c r="A31" s="134" t="s">
        <v>249</v>
      </c>
      <c r="B31" s="3" t="s">
        <v>258</v>
      </c>
      <c r="C31" s="3" t="s">
        <v>65</v>
      </c>
      <c r="D31" s="3" t="s">
        <v>251</v>
      </c>
      <c r="E31" s="8">
        <v>6.0</v>
      </c>
      <c r="F31" s="136" t="s">
        <v>232</v>
      </c>
      <c r="G31" s="137">
        <v>12.5825878</v>
      </c>
      <c r="H31" s="137">
        <v>0.5139801</v>
      </c>
      <c r="I31" s="137">
        <v>10.0061563</v>
      </c>
      <c r="J31" s="120">
        <f t="shared" si="1"/>
        <v>24.48069059</v>
      </c>
      <c r="K31" s="121"/>
      <c r="L31" s="121">
        <v>-0.833</v>
      </c>
      <c r="M31" s="122"/>
      <c r="N31" s="120">
        <v>38.8</v>
      </c>
      <c r="O31" s="120">
        <v>16.87378802698145</v>
      </c>
      <c r="P31" s="123">
        <v>9.062397742446315</v>
      </c>
      <c r="Q31" s="120">
        <v>1.1428571428571428</v>
      </c>
      <c r="R31" s="120">
        <v>0.5370695499999999</v>
      </c>
      <c r="S31" s="120">
        <v>187.20000000000002</v>
      </c>
      <c r="T31" s="124">
        <v>40.1</v>
      </c>
      <c r="AA31" s="15"/>
      <c r="AB31" s="15"/>
      <c r="AC31" s="15"/>
      <c r="AD31" s="15"/>
      <c r="AE31" s="15"/>
    </row>
    <row r="32" ht="14.25" customHeight="1">
      <c r="A32" s="134" t="s">
        <v>256</v>
      </c>
      <c r="B32" s="3" t="s">
        <v>239</v>
      </c>
      <c r="C32" s="3" t="s">
        <v>73</v>
      </c>
      <c r="D32" s="135" t="s">
        <v>240</v>
      </c>
      <c r="E32" s="8">
        <v>1.0</v>
      </c>
      <c r="F32" s="136" t="s">
        <v>232</v>
      </c>
      <c r="G32" s="137">
        <v>14.5305797</v>
      </c>
      <c r="H32" s="137">
        <v>0.22325678</v>
      </c>
      <c r="I32" s="137">
        <v>3.82578847</v>
      </c>
      <c r="J32" s="120">
        <f t="shared" si="1"/>
        <v>65.08460661</v>
      </c>
      <c r="K32" s="121">
        <v>-0.223</v>
      </c>
      <c r="L32" s="121">
        <v>-0.596</v>
      </c>
      <c r="M32" s="122">
        <v>0.373</v>
      </c>
      <c r="N32" s="120">
        <v>45.5</v>
      </c>
      <c r="O32" s="120">
        <v>10.256805549597855</v>
      </c>
      <c r="P32" s="123">
        <v>6.595583421918935</v>
      </c>
      <c r="Q32" s="120">
        <v>1.1428571428571428</v>
      </c>
      <c r="R32" s="120">
        <v>0.6430446000000002</v>
      </c>
      <c r="S32" s="120">
        <v>116.13333333333334</v>
      </c>
      <c r="T32" s="124">
        <v>9.9</v>
      </c>
      <c r="AA32" s="15"/>
      <c r="AB32" s="15"/>
      <c r="AC32" s="15"/>
      <c r="AD32" s="15"/>
      <c r="AE32" s="15"/>
    </row>
    <row r="33" ht="14.25" customHeight="1">
      <c r="A33" s="134" t="s">
        <v>256</v>
      </c>
      <c r="B33" s="3" t="s">
        <v>239</v>
      </c>
      <c r="C33" s="3" t="s">
        <v>73</v>
      </c>
      <c r="D33" s="135" t="s">
        <v>240</v>
      </c>
      <c r="E33" s="8">
        <v>2.0</v>
      </c>
      <c r="F33" s="136" t="s">
        <v>232</v>
      </c>
      <c r="G33" s="137">
        <v>14.6792687</v>
      </c>
      <c r="H33" s="137">
        <v>0.28213447</v>
      </c>
      <c r="I33" s="137">
        <v>5.04642954</v>
      </c>
      <c r="J33" s="120">
        <f t="shared" si="1"/>
        <v>52.02933445</v>
      </c>
      <c r="K33" s="121"/>
      <c r="L33" s="121">
        <v>-0.683</v>
      </c>
      <c r="M33" s="122"/>
      <c r="N33" s="120">
        <v>45.4</v>
      </c>
      <c r="O33" s="120">
        <v>11.65457168591224</v>
      </c>
      <c r="P33" s="123">
        <v>7.835064360117797</v>
      </c>
      <c r="Q33" s="120">
        <v>1.0</v>
      </c>
      <c r="R33" s="120">
        <v>0.6722739000000001</v>
      </c>
      <c r="S33" s="120">
        <v>154.77878787878788</v>
      </c>
      <c r="T33" s="124">
        <v>13.7</v>
      </c>
      <c r="AA33" s="15"/>
      <c r="AB33" s="15"/>
      <c r="AC33" s="15"/>
      <c r="AD33" s="15"/>
      <c r="AE33" s="15"/>
    </row>
    <row r="34" ht="14.25" customHeight="1">
      <c r="A34" s="134" t="s">
        <v>256</v>
      </c>
      <c r="B34" s="3" t="s">
        <v>239</v>
      </c>
      <c r="C34" s="3" t="s">
        <v>73</v>
      </c>
      <c r="D34" s="135" t="s">
        <v>240</v>
      </c>
      <c r="E34" s="8">
        <v>3.0</v>
      </c>
      <c r="F34" s="136" t="s">
        <v>232</v>
      </c>
      <c r="G34" s="137">
        <v>17.5696213</v>
      </c>
      <c r="H34" s="137">
        <v>0.23243984</v>
      </c>
      <c r="I34" s="137">
        <v>5.61121204</v>
      </c>
      <c r="J34" s="120">
        <f t="shared" si="1"/>
        <v>75.58782221</v>
      </c>
      <c r="K34" s="121">
        <v>-0.237</v>
      </c>
      <c r="L34" s="121">
        <v>-0.58</v>
      </c>
      <c r="M34" s="122">
        <v>0.343</v>
      </c>
      <c r="N34" s="120">
        <v>41.3</v>
      </c>
      <c r="O34" s="120">
        <v>16.359218775510204</v>
      </c>
      <c r="P34" s="123">
        <v>9.80245452377792</v>
      </c>
      <c r="Q34" s="120">
        <v>1.1428571428571428</v>
      </c>
      <c r="R34" s="120">
        <v>0.5992006500000001</v>
      </c>
      <c r="S34" s="120">
        <v>162.24590163934428</v>
      </c>
      <c r="T34" s="124">
        <v>28.2</v>
      </c>
      <c r="AA34" s="15"/>
      <c r="AB34" s="15"/>
      <c r="AC34" s="15"/>
      <c r="AD34" s="15"/>
      <c r="AE34" s="15"/>
    </row>
    <row r="35" ht="14.25" customHeight="1">
      <c r="A35" s="134" t="s">
        <v>256</v>
      </c>
      <c r="B35" s="3" t="s">
        <v>239</v>
      </c>
      <c r="C35" s="3" t="s">
        <v>73</v>
      </c>
      <c r="D35" s="135" t="s">
        <v>240</v>
      </c>
      <c r="E35" s="8">
        <v>4.0</v>
      </c>
      <c r="F35" s="136" t="s">
        <v>232</v>
      </c>
      <c r="G35" s="137">
        <v>13.4209625</v>
      </c>
      <c r="H35" s="137">
        <v>0.23167707</v>
      </c>
      <c r="I35" s="137">
        <v>6.08291624</v>
      </c>
      <c r="J35" s="120">
        <f t="shared" si="1"/>
        <v>57.92961082</v>
      </c>
      <c r="K35" s="121"/>
      <c r="L35" s="121">
        <v>-0.88</v>
      </c>
      <c r="M35" s="122"/>
      <c r="N35" s="120">
        <v>46.7</v>
      </c>
      <c r="O35" s="120">
        <v>9.655422603174603</v>
      </c>
      <c r="P35" s="123">
        <v>5.926646121794401</v>
      </c>
      <c r="Q35" s="120">
        <v>0.8571428571428571</v>
      </c>
      <c r="R35" s="120">
        <v>0.6138153000000001</v>
      </c>
      <c r="S35" s="120">
        <v>220.7327868852459</v>
      </c>
      <c r="T35" s="124">
        <v>16.9</v>
      </c>
      <c r="AA35" s="15"/>
      <c r="AB35" s="15"/>
      <c r="AC35" s="15"/>
      <c r="AD35" s="15"/>
      <c r="AE35" s="15"/>
    </row>
    <row r="36" ht="14.25" customHeight="1">
      <c r="A36" s="134" t="s">
        <v>256</v>
      </c>
      <c r="B36" s="3" t="s">
        <v>239</v>
      </c>
      <c r="C36" s="3" t="s">
        <v>73</v>
      </c>
      <c r="D36" s="135" t="s">
        <v>240</v>
      </c>
      <c r="E36" s="8">
        <v>5.0</v>
      </c>
      <c r="F36" s="136" t="s">
        <v>232</v>
      </c>
      <c r="G36" s="137">
        <v>15.5154325</v>
      </c>
      <c r="H36" s="137">
        <v>0.28226754</v>
      </c>
      <c r="I36" s="137">
        <v>5.0501249</v>
      </c>
      <c r="J36" s="120">
        <f t="shared" si="1"/>
        <v>54.9671156</v>
      </c>
      <c r="K36" s="121">
        <v>-0.285</v>
      </c>
      <c r="L36" s="121">
        <v>-0.801</v>
      </c>
      <c r="M36" s="122">
        <v>0.516</v>
      </c>
      <c r="N36" s="120">
        <v>42.4</v>
      </c>
      <c r="O36" s="120">
        <v>9.787063759689923</v>
      </c>
      <c r="P36" s="123">
        <v>6.436553011899856</v>
      </c>
      <c r="Q36" s="120">
        <v>0.5714285714285714</v>
      </c>
      <c r="R36" s="120">
        <v>0.6576592500000001</v>
      </c>
      <c r="S36" s="120">
        <v>159.1862068965517</v>
      </c>
      <c r="T36" s="124">
        <v>8.1</v>
      </c>
      <c r="AA36" s="15"/>
      <c r="AB36" s="15"/>
      <c r="AC36" s="15"/>
      <c r="AD36" s="15"/>
      <c r="AE36" s="15"/>
    </row>
    <row r="37" ht="14.25" customHeight="1">
      <c r="A37" s="134" t="s">
        <v>256</v>
      </c>
      <c r="B37" s="3" t="s">
        <v>239</v>
      </c>
      <c r="C37" s="3" t="s">
        <v>73</v>
      </c>
      <c r="D37" s="135" t="s">
        <v>240</v>
      </c>
      <c r="E37" s="8">
        <v>6.0</v>
      </c>
      <c r="F37" s="136" t="s">
        <v>232</v>
      </c>
      <c r="G37" s="137">
        <v>10.0488647</v>
      </c>
      <c r="H37" s="137">
        <v>0.16564571</v>
      </c>
      <c r="I37" s="137">
        <v>4.98791527</v>
      </c>
      <c r="J37" s="120">
        <f t="shared" si="1"/>
        <v>60.66480502</v>
      </c>
      <c r="K37" s="121"/>
      <c r="L37" s="121">
        <v>-0.678</v>
      </c>
      <c r="M37" s="122"/>
      <c r="N37" s="120">
        <v>48.5</v>
      </c>
      <c r="O37" s="120">
        <v>11.654007640186915</v>
      </c>
      <c r="P37" s="123">
        <v>8.686281380691545</v>
      </c>
      <c r="Q37" s="120">
        <v>1.2857142857142858</v>
      </c>
      <c r="R37" s="120">
        <v>0.7453471500000002</v>
      </c>
      <c r="S37" s="120">
        <v>154.88666666666666</v>
      </c>
      <c r="T37" s="124">
        <v>17.1</v>
      </c>
      <c r="AA37" s="15"/>
      <c r="AB37" s="15"/>
      <c r="AC37" s="15"/>
      <c r="AD37" s="15"/>
      <c r="AE37" s="15"/>
    </row>
    <row r="38" ht="14.25" customHeight="1">
      <c r="A38" s="134" t="s">
        <v>244</v>
      </c>
      <c r="B38" s="3" t="s">
        <v>258</v>
      </c>
      <c r="C38" s="3" t="s">
        <v>80</v>
      </c>
      <c r="D38" s="3" t="s">
        <v>251</v>
      </c>
      <c r="E38" s="8">
        <v>1.0</v>
      </c>
      <c r="F38" s="136" t="s">
        <v>232</v>
      </c>
      <c r="G38" s="137">
        <v>17.6000684</v>
      </c>
      <c r="H38" s="137">
        <v>0.33718944</v>
      </c>
      <c r="I38" s="137">
        <v>7.71678038</v>
      </c>
      <c r="J38" s="120">
        <f t="shared" si="1"/>
        <v>52.19638076</v>
      </c>
      <c r="K38" s="121">
        <v>-0.187</v>
      </c>
      <c r="L38" s="121">
        <v>-0.62</v>
      </c>
      <c r="M38" s="122">
        <v>0.433</v>
      </c>
      <c r="N38" s="120">
        <v>32.9</v>
      </c>
      <c r="O38" s="120">
        <v>17.821663695150118</v>
      </c>
      <c r="P38" s="123">
        <v>10.195699394549454</v>
      </c>
      <c r="Q38" s="120">
        <v>1.2857142857142858</v>
      </c>
      <c r="R38" s="120">
        <v>0.572095825</v>
      </c>
      <c r="S38" s="120">
        <v>148.22736842105263</v>
      </c>
      <c r="T38" s="124">
        <v>11.7</v>
      </c>
      <c r="AA38" s="15"/>
      <c r="AB38" s="15"/>
      <c r="AC38" s="15"/>
      <c r="AD38" s="15"/>
      <c r="AE38" s="15"/>
    </row>
    <row r="39" ht="14.25" customHeight="1">
      <c r="A39" s="134" t="s">
        <v>244</v>
      </c>
      <c r="B39" s="3" t="s">
        <v>258</v>
      </c>
      <c r="C39" s="3" t="s">
        <v>80</v>
      </c>
      <c r="D39" s="3" t="s">
        <v>251</v>
      </c>
      <c r="E39" s="8">
        <v>2.0</v>
      </c>
      <c r="F39" s="136" t="s">
        <v>232</v>
      </c>
      <c r="G39" s="137">
        <v>17.8536395</v>
      </c>
      <c r="H39" s="137">
        <v>0.39192177</v>
      </c>
      <c r="I39" s="137">
        <v>6.26048473</v>
      </c>
      <c r="J39" s="120">
        <f t="shared" si="1"/>
        <v>45.55408979</v>
      </c>
      <c r="K39" s="121"/>
      <c r="L39" s="121">
        <v>-0.75</v>
      </c>
      <c r="M39" s="122"/>
      <c r="N39" s="120">
        <v>41.6</v>
      </c>
      <c r="O39" s="120">
        <v>12.27546025490196</v>
      </c>
      <c r="P39" s="123">
        <v>5.302884975223781</v>
      </c>
      <c r="Q39" s="120">
        <v>0.8571428571428571</v>
      </c>
      <c r="R39" s="120">
        <v>0.4319907249999999</v>
      </c>
      <c r="S39" s="120">
        <v>175.93333333333337</v>
      </c>
      <c r="T39" s="124">
        <v>19.6</v>
      </c>
      <c r="AA39" s="15"/>
      <c r="AB39" s="15"/>
      <c r="AC39" s="15"/>
      <c r="AD39" s="15"/>
      <c r="AE39" s="15"/>
    </row>
    <row r="40" ht="14.25" customHeight="1">
      <c r="A40" s="134" t="s">
        <v>244</v>
      </c>
      <c r="B40" s="3" t="s">
        <v>258</v>
      </c>
      <c r="C40" s="3" t="s">
        <v>80</v>
      </c>
      <c r="D40" s="3" t="s">
        <v>251</v>
      </c>
      <c r="E40" s="8">
        <v>3.0</v>
      </c>
      <c r="F40" s="136" t="s">
        <v>232</v>
      </c>
      <c r="G40" s="137">
        <v>12.9116742</v>
      </c>
      <c r="H40" s="137">
        <v>0.33059404</v>
      </c>
      <c r="I40" s="137">
        <v>7.18677662</v>
      </c>
      <c r="J40" s="120">
        <f t="shared" si="1"/>
        <v>39.05597996</v>
      </c>
      <c r="K40" s="121">
        <v>-0.23</v>
      </c>
      <c r="L40" s="121">
        <v>-0.618</v>
      </c>
      <c r="M40" s="122">
        <v>0.388</v>
      </c>
      <c r="N40" s="120">
        <v>40.6</v>
      </c>
      <c r="O40" s="120">
        <v>18.522620154639174</v>
      </c>
      <c r="P40" s="123">
        <v>11.02923258336788</v>
      </c>
      <c r="Q40" s="120">
        <v>1.2857142857142858</v>
      </c>
      <c r="R40" s="120">
        <v>0.5954466749999999</v>
      </c>
      <c r="S40" s="120">
        <v>184.240625</v>
      </c>
      <c r="T40" s="124">
        <v>21.7</v>
      </c>
      <c r="AA40" s="15"/>
      <c r="AB40" s="15"/>
      <c r="AC40" s="15"/>
      <c r="AD40" s="15"/>
      <c r="AE40" s="15"/>
    </row>
    <row r="41" ht="14.25" customHeight="1">
      <c r="A41" s="134" t="s">
        <v>244</v>
      </c>
      <c r="B41" s="3" t="s">
        <v>258</v>
      </c>
      <c r="C41" s="3" t="s">
        <v>80</v>
      </c>
      <c r="D41" s="3" t="s">
        <v>251</v>
      </c>
      <c r="E41" s="8">
        <v>4.0</v>
      </c>
      <c r="F41" s="136" t="s">
        <v>232</v>
      </c>
      <c r="G41" s="137">
        <v>16.5406602</v>
      </c>
      <c r="H41" s="137">
        <v>0.41857814</v>
      </c>
      <c r="I41" s="137">
        <v>8.70184757</v>
      </c>
      <c r="J41" s="120">
        <f t="shared" si="1"/>
        <v>39.51630202</v>
      </c>
      <c r="K41" s="121"/>
      <c r="L41" s="121">
        <v>-0.68</v>
      </c>
      <c r="M41" s="122"/>
      <c r="N41" s="120">
        <v>38.6</v>
      </c>
      <c r="O41" s="120">
        <v>19.776926295454544</v>
      </c>
      <c r="P41" s="123">
        <v>10.621584905882935</v>
      </c>
      <c r="Q41" s="120">
        <v>1.2857142857142858</v>
      </c>
      <c r="R41" s="120">
        <v>0.5370695499999999</v>
      </c>
      <c r="S41" s="120">
        <v>193.60652173913041</v>
      </c>
      <c r="T41" s="124">
        <v>14.2</v>
      </c>
      <c r="AA41" s="15"/>
      <c r="AB41" s="15"/>
      <c r="AC41" s="15"/>
      <c r="AD41" s="15"/>
      <c r="AE41" s="15"/>
    </row>
    <row r="42" ht="14.25" customHeight="1">
      <c r="A42" s="134" t="s">
        <v>244</v>
      </c>
      <c r="B42" s="3" t="s">
        <v>258</v>
      </c>
      <c r="C42" s="3" t="s">
        <v>80</v>
      </c>
      <c r="D42" s="3" t="s">
        <v>251</v>
      </c>
      <c r="E42" s="8">
        <v>5.0</v>
      </c>
      <c r="F42" s="136" t="s">
        <v>232</v>
      </c>
      <c r="G42" s="137">
        <v>15.5249442</v>
      </c>
      <c r="H42" s="137">
        <v>0.33528179</v>
      </c>
      <c r="I42" s="137">
        <v>5.56475361</v>
      </c>
      <c r="J42" s="120">
        <f t="shared" si="1"/>
        <v>46.30416761</v>
      </c>
      <c r="K42" s="121">
        <v>-0.301</v>
      </c>
      <c r="L42" s="121">
        <v>-0.68</v>
      </c>
      <c r="M42" s="122">
        <v>0.379</v>
      </c>
      <c r="N42" s="120">
        <v>38.7</v>
      </c>
      <c r="O42" s="120">
        <v>14.682727203166225</v>
      </c>
      <c r="P42" s="123">
        <v>6.342801969472999</v>
      </c>
      <c r="Q42" s="120">
        <v>1.2857142857142858</v>
      </c>
      <c r="R42" s="120">
        <v>0.4319907249999999</v>
      </c>
      <c r="S42" s="120">
        <v>214.1642105263158</v>
      </c>
      <c r="T42" s="124">
        <v>19.2</v>
      </c>
      <c r="AA42" s="15"/>
      <c r="AB42" s="15"/>
      <c r="AC42" s="15"/>
      <c r="AD42" s="15"/>
      <c r="AE42" s="15"/>
    </row>
    <row r="43" ht="14.25" customHeight="1">
      <c r="A43" s="134" t="s">
        <v>244</v>
      </c>
      <c r="B43" s="3" t="s">
        <v>258</v>
      </c>
      <c r="C43" s="3" t="s">
        <v>80</v>
      </c>
      <c r="D43" s="3" t="s">
        <v>251</v>
      </c>
      <c r="E43" s="8">
        <v>6.0</v>
      </c>
      <c r="F43" s="136" t="s">
        <v>232</v>
      </c>
      <c r="G43" s="137">
        <v>14.1835959</v>
      </c>
      <c r="H43" s="137">
        <v>0.37527728</v>
      </c>
      <c r="I43" s="137">
        <v>8.66433942</v>
      </c>
      <c r="J43" s="120">
        <f t="shared" si="1"/>
        <v>37.79497629</v>
      </c>
      <c r="K43" s="121"/>
      <c r="L43" s="121">
        <v>-0.82</v>
      </c>
      <c r="M43" s="122"/>
      <c r="N43" s="120">
        <v>24.6</v>
      </c>
      <c r="O43" s="120">
        <v>14.93851624137931</v>
      </c>
      <c r="P43" s="123">
        <v>7.674195143450264</v>
      </c>
      <c r="Q43" s="120">
        <v>1.2857142857142858</v>
      </c>
      <c r="R43" s="120">
        <v>0.5137186999999999</v>
      </c>
      <c r="S43" s="120">
        <v>176.24032258064517</v>
      </c>
      <c r="T43" s="124">
        <v>15.1</v>
      </c>
      <c r="AA43" s="15"/>
      <c r="AB43" s="15"/>
      <c r="AC43" s="15"/>
      <c r="AD43" s="15"/>
      <c r="AE43" s="15"/>
    </row>
    <row r="44" ht="14.25" customHeight="1">
      <c r="A44" s="134" t="s">
        <v>256</v>
      </c>
      <c r="B44" s="3" t="s">
        <v>250</v>
      </c>
      <c r="C44" s="3" t="s">
        <v>94</v>
      </c>
      <c r="D44" s="3" t="s">
        <v>251</v>
      </c>
      <c r="E44" s="8">
        <v>1.0</v>
      </c>
      <c r="F44" s="136" t="s">
        <v>232</v>
      </c>
      <c r="G44" s="137">
        <v>19.2536725</v>
      </c>
      <c r="H44" s="137">
        <v>0.36084717</v>
      </c>
      <c r="I44" s="137">
        <v>8.55243651</v>
      </c>
      <c r="J44" s="120">
        <f t="shared" si="1"/>
        <v>53.35686158</v>
      </c>
      <c r="K44" s="121">
        <v>-0.26</v>
      </c>
      <c r="L44" s="121">
        <v>-0.518</v>
      </c>
      <c r="M44" s="122">
        <v>0.258</v>
      </c>
      <c r="N44" s="120">
        <v>39.4</v>
      </c>
      <c r="O44" s="120">
        <v>33.14897872093023</v>
      </c>
      <c r="P44" s="123">
        <v>15.839352746615727</v>
      </c>
      <c r="Q44" s="120">
        <v>1.2857142857142858</v>
      </c>
      <c r="R44" s="120">
        <v>0.4778232500000001</v>
      </c>
      <c r="S44" s="120">
        <v>250.68750000000003</v>
      </c>
      <c r="T44" s="124">
        <v>4.2</v>
      </c>
      <c r="AA44" s="15"/>
      <c r="AB44" s="15"/>
      <c r="AC44" s="15"/>
      <c r="AD44" s="15"/>
      <c r="AE44" s="15"/>
    </row>
    <row r="45" ht="14.25" customHeight="1">
      <c r="A45" s="134" t="s">
        <v>256</v>
      </c>
      <c r="B45" s="3" t="s">
        <v>250</v>
      </c>
      <c r="C45" s="3" t="s">
        <v>94</v>
      </c>
      <c r="D45" s="3" t="s">
        <v>251</v>
      </c>
      <c r="E45" s="8">
        <v>2.0</v>
      </c>
      <c r="F45" s="136" t="s">
        <v>232</v>
      </c>
      <c r="G45" s="137">
        <v>13.9516933</v>
      </c>
      <c r="H45" s="137">
        <v>0.42304318</v>
      </c>
      <c r="I45" s="137">
        <v>6.68107737</v>
      </c>
      <c r="J45" s="120">
        <f t="shared" si="1"/>
        <v>32.97935993</v>
      </c>
      <c r="K45" s="121"/>
      <c r="L45" s="121">
        <v>-0.81</v>
      </c>
      <c r="M45" s="122"/>
      <c r="N45" s="120">
        <v>32.5</v>
      </c>
      <c r="O45" s="120">
        <v>12.372365499999999</v>
      </c>
      <c r="P45" s="123">
        <v>4.581648017383354</v>
      </c>
      <c r="Q45" s="120">
        <v>1.1428571428571428</v>
      </c>
      <c r="R45" s="120">
        <v>0.37031301875000006</v>
      </c>
      <c r="S45" s="120">
        <v>177.4898305084746</v>
      </c>
      <c r="T45" s="124">
        <v>9.5</v>
      </c>
      <c r="AA45" s="15"/>
      <c r="AB45" s="15"/>
      <c r="AC45" s="15"/>
      <c r="AD45" s="15"/>
      <c r="AE45" s="15"/>
    </row>
    <row r="46" ht="14.25" customHeight="1">
      <c r="A46" s="134" t="s">
        <v>256</v>
      </c>
      <c r="B46" s="3" t="s">
        <v>250</v>
      </c>
      <c r="C46" s="3" t="s">
        <v>94</v>
      </c>
      <c r="D46" s="3" t="s">
        <v>251</v>
      </c>
      <c r="E46" s="8">
        <v>3.0</v>
      </c>
      <c r="F46" s="136" t="s">
        <v>232</v>
      </c>
      <c r="G46" s="137">
        <v>10.7218318</v>
      </c>
      <c r="H46" s="137">
        <v>0.1685224</v>
      </c>
      <c r="I46" s="137">
        <v>4.68410914</v>
      </c>
      <c r="J46" s="120">
        <f t="shared" si="1"/>
        <v>63.62259142</v>
      </c>
      <c r="K46" s="121">
        <v>-0.195</v>
      </c>
      <c r="L46" s="121">
        <v>-0.757</v>
      </c>
      <c r="M46" s="122">
        <v>0.562</v>
      </c>
      <c r="N46" s="120">
        <v>41.6</v>
      </c>
      <c r="O46" s="120">
        <v>8.334713772241992</v>
      </c>
      <c r="P46" s="123">
        <v>4.480335025281483</v>
      </c>
      <c r="Q46" s="120">
        <v>1.1428571428571428</v>
      </c>
      <c r="R46" s="120">
        <v>0.53755115625</v>
      </c>
      <c r="S46" s="120">
        <v>224.01904761904763</v>
      </c>
      <c r="T46" s="124">
        <v>10.9</v>
      </c>
      <c r="AA46" s="15"/>
      <c r="AB46" s="15"/>
      <c r="AC46" s="15"/>
      <c r="AD46" s="15"/>
      <c r="AE46" s="15"/>
    </row>
    <row r="47" ht="14.25" customHeight="1">
      <c r="A47" s="134" t="s">
        <v>256</v>
      </c>
      <c r="B47" s="3" t="s">
        <v>250</v>
      </c>
      <c r="C47" s="3" t="s">
        <v>94</v>
      </c>
      <c r="D47" s="3" t="s">
        <v>251</v>
      </c>
      <c r="E47" s="8">
        <v>4.0</v>
      </c>
      <c r="F47" s="136" t="s">
        <v>232</v>
      </c>
      <c r="G47" s="137">
        <v>16.0742927</v>
      </c>
      <c r="H47" s="137">
        <v>0.48364578</v>
      </c>
      <c r="I47" s="137">
        <v>9.29330958</v>
      </c>
      <c r="J47" s="120">
        <f t="shared" si="1"/>
        <v>33.2356724</v>
      </c>
      <c r="K47" s="121"/>
      <c r="L47" s="121">
        <v>-0.76</v>
      </c>
      <c r="M47" s="122"/>
      <c r="N47" s="120">
        <v>42.6</v>
      </c>
      <c r="O47" s="120">
        <v>18.96593791836735</v>
      </c>
      <c r="P47" s="123">
        <v>10.4217210097704</v>
      </c>
      <c r="Q47" s="120">
        <v>1.0</v>
      </c>
      <c r="R47" s="120">
        <v>0.5494967375</v>
      </c>
      <c r="S47" s="120">
        <v>200.28372093023256</v>
      </c>
      <c r="T47" s="124">
        <v>75.6</v>
      </c>
      <c r="AA47" s="15"/>
      <c r="AB47" s="15"/>
      <c r="AC47" s="15"/>
      <c r="AD47" s="15"/>
      <c r="AE47" s="15"/>
    </row>
    <row r="48" ht="14.25" customHeight="1">
      <c r="A48" s="134" t="s">
        <v>256</v>
      </c>
      <c r="B48" s="3" t="s">
        <v>250</v>
      </c>
      <c r="C48" s="3" t="s">
        <v>94</v>
      </c>
      <c r="D48" s="3" t="s">
        <v>251</v>
      </c>
      <c r="E48" s="8">
        <v>5.0</v>
      </c>
      <c r="F48" s="136" t="s">
        <v>232</v>
      </c>
      <c r="G48" s="137">
        <v>13.2629163</v>
      </c>
      <c r="H48" s="137">
        <v>0.12954565</v>
      </c>
      <c r="I48" s="137">
        <v>3.47449148</v>
      </c>
      <c r="J48" s="120">
        <f t="shared" si="1"/>
        <v>102.3802521</v>
      </c>
      <c r="K48" s="121">
        <v>-0.34</v>
      </c>
      <c r="L48" s="121">
        <v>-0.62</v>
      </c>
      <c r="M48" s="122">
        <v>0.28</v>
      </c>
      <c r="N48" s="120">
        <v>44.5</v>
      </c>
      <c r="O48" s="120">
        <v>12.408898142857145</v>
      </c>
      <c r="P48" s="123">
        <v>5.781028538550492</v>
      </c>
      <c r="Q48" s="120">
        <v>1.2857142857142858</v>
      </c>
      <c r="R48" s="120">
        <v>0.4658776687500001</v>
      </c>
      <c r="S48" s="120">
        <v>189.68837209302325</v>
      </c>
      <c r="T48" s="124">
        <v>16.1</v>
      </c>
      <c r="AA48" s="15"/>
      <c r="AB48" s="15"/>
      <c r="AC48" s="15"/>
      <c r="AD48" s="15"/>
      <c r="AE48" s="15"/>
    </row>
    <row r="49" ht="14.25" customHeight="1">
      <c r="A49" s="134" t="s">
        <v>256</v>
      </c>
      <c r="B49" s="3" t="s">
        <v>250</v>
      </c>
      <c r="C49" s="3" t="s">
        <v>94</v>
      </c>
      <c r="D49" s="3" t="s">
        <v>251</v>
      </c>
      <c r="E49" s="8">
        <v>6.0</v>
      </c>
      <c r="F49" s="136" t="s">
        <v>232</v>
      </c>
      <c r="G49" s="137">
        <v>11.9991186</v>
      </c>
      <c r="H49" s="137">
        <v>0.28582579</v>
      </c>
      <c r="I49" s="137">
        <v>7.4804184</v>
      </c>
      <c r="J49" s="120">
        <f t="shared" si="1"/>
        <v>41.98053157</v>
      </c>
      <c r="K49" s="121"/>
      <c r="L49" s="121">
        <v>-0.67</v>
      </c>
      <c r="M49" s="122"/>
      <c r="N49" s="120">
        <v>37.0</v>
      </c>
      <c r="O49" s="120">
        <v>18.701045999999998</v>
      </c>
      <c r="P49" s="123">
        <v>11.393138087102363</v>
      </c>
      <c r="Q49" s="120">
        <v>1.2857142857142858</v>
      </c>
      <c r="R49" s="120">
        <v>0.6092246437500001</v>
      </c>
      <c r="S49" s="120">
        <v>264.32000000000005</v>
      </c>
      <c r="T49" s="124">
        <v>3.8</v>
      </c>
      <c r="AA49" s="15"/>
      <c r="AB49" s="15"/>
      <c r="AC49" s="15"/>
      <c r="AD49" s="15"/>
      <c r="AE49" s="15"/>
    </row>
    <row r="50" ht="14.25" customHeight="1">
      <c r="A50" s="134" t="s">
        <v>249</v>
      </c>
      <c r="B50" s="3" t="s">
        <v>239</v>
      </c>
      <c r="C50" s="3" t="s">
        <v>101</v>
      </c>
      <c r="D50" s="135" t="s">
        <v>240</v>
      </c>
      <c r="E50" s="8">
        <v>1.0</v>
      </c>
      <c r="F50" s="136" t="s">
        <v>232</v>
      </c>
      <c r="G50" s="137">
        <v>13.2602629</v>
      </c>
      <c r="H50" s="137">
        <v>0.23212269</v>
      </c>
      <c r="I50" s="137">
        <v>6.44042319</v>
      </c>
      <c r="J50" s="120">
        <f t="shared" si="1"/>
        <v>57.12609526</v>
      </c>
      <c r="K50" s="121">
        <v>-0.195</v>
      </c>
      <c r="L50" s="121">
        <v>-0.62</v>
      </c>
      <c r="M50" s="122">
        <v>0.425</v>
      </c>
      <c r="N50" s="120">
        <v>42.2</v>
      </c>
      <c r="O50" s="120">
        <v>15.153936917647059</v>
      </c>
      <c r="P50" s="123">
        <v>9.523187819460096</v>
      </c>
      <c r="Q50" s="120">
        <v>0.5714285714285714</v>
      </c>
      <c r="R50" s="120">
        <v>0.6284299500000001</v>
      </c>
      <c r="S50" s="120">
        <v>84.61764705882352</v>
      </c>
      <c r="T50" s="124">
        <v>15.5</v>
      </c>
      <c r="AA50" s="15"/>
      <c r="AB50" s="15"/>
      <c r="AC50" s="15"/>
      <c r="AD50" s="15"/>
      <c r="AE50" s="15"/>
    </row>
    <row r="51" ht="14.25" customHeight="1">
      <c r="A51" s="134" t="s">
        <v>249</v>
      </c>
      <c r="B51" s="3" t="s">
        <v>239</v>
      </c>
      <c r="C51" s="3" t="s">
        <v>101</v>
      </c>
      <c r="D51" s="135" t="s">
        <v>240</v>
      </c>
      <c r="E51" s="8">
        <v>2.0</v>
      </c>
      <c r="F51" s="136" t="s">
        <v>232</v>
      </c>
      <c r="G51" s="137">
        <v>14.3290593</v>
      </c>
      <c r="H51" s="137">
        <v>0.29891624</v>
      </c>
      <c r="I51" s="137">
        <v>5.69488922</v>
      </c>
      <c r="J51" s="120">
        <f t="shared" si="1"/>
        <v>47.93670394</v>
      </c>
      <c r="K51" s="121"/>
      <c r="L51" s="121">
        <v>-0.77</v>
      </c>
      <c r="M51" s="122"/>
      <c r="N51" s="120">
        <v>39.4</v>
      </c>
      <c r="O51" s="120">
        <v>12.116785574468086</v>
      </c>
      <c r="P51" s="123">
        <v>6.552055470948301</v>
      </c>
      <c r="Q51" s="120">
        <v>1.0</v>
      </c>
      <c r="R51" s="120">
        <v>0.5407420500000001</v>
      </c>
      <c r="S51" s="120">
        <v>101.9025</v>
      </c>
      <c r="T51" s="124">
        <v>21.9</v>
      </c>
      <c r="AA51" s="15"/>
      <c r="AB51" s="15"/>
      <c r="AC51" s="15"/>
      <c r="AD51" s="15"/>
      <c r="AE51" s="15"/>
    </row>
    <row r="52" ht="14.25" customHeight="1">
      <c r="A52" s="134" t="s">
        <v>249</v>
      </c>
      <c r="B52" s="3" t="s">
        <v>239</v>
      </c>
      <c r="C52" s="3" t="s">
        <v>101</v>
      </c>
      <c r="D52" s="135" t="s">
        <v>240</v>
      </c>
      <c r="E52" s="8">
        <v>3.0</v>
      </c>
      <c r="F52" s="136" t="s">
        <v>232</v>
      </c>
      <c r="G52" s="137">
        <v>14.8178403</v>
      </c>
      <c r="H52" s="137">
        <v>0.2596326</v>
      </c>
      <c r="I52" s="137">
        <v>6.27703179</v>
      </c>
      <c r="J52" s="120">
        <f t="shared" si="1"/>
        <v>57.07234107</v>
      </c>
      <c r="K52" s="121">
        <v>-0.33</v>
      </c>
      <c r="L52" s="121">
        <v>-0.68</v>
      </c>
      <c r="M52" s="122">
        <v>0.35</v>
      </c>
      <c r="N52" s="120">
        <v>43.0</v>
      </c>
      <c r="O52" s="120">
        <v>17.93437654285714</v>
      </c>
      <c r="P52" s="123">
        <v>10.746290081824753</v>
      </c>
      <c r="Q52" s="120">
        <v>1.2857142857142858</v>
      </c>
      <c r="R52" s="120">
        <v>0.5992006500000001</v>
      </c>
      <c r="S52" s="120">
        <v>171.02162162162162</v>
      </c>
      <c r="T52" s="124">
        <v>38.5</v>
      </c>
      <c r="AA52" s="15"/>
      <c r="AB52" s="15"/>
      <c r="AC52" s="15"/>
      <c r="AD52" s="15"/>
      <c r="AE52" s="15"/>
    </row>
    <row r="53" ht="14.25" customHeight="1">
      <c r="A53" s="134" t="s">
        <v>249</v>
      </c>
      <c r="B53" s="3" t="s">
        <v>239</v>
      </c>
      <c r="C53" s="3" t="s">
        <v>101</v>
      </c>
      <c r="D53" s="135" t="s">
        <v>240</v>
      </c>
      <c r="E53" s="8">
        <v>4.0</v>
      </c>
      <c r="F53" s="136" t="s">
        <v>232</v>
      </c>
      <c r="G53" s="137">
        <v>15.2458999</v>
      </c>
      <c r="H53" s="137">
        <v>0.3315466</v>
      </c>
      <c r="I53" s="137">
        <v>7.35314894</v>
      </c>
      <c r="J53" s="120">
        <f t="shared" si="1"/>
        <v>45.98418412</v>
      </c>
      <c r="K53" s="121"/>
      <c r="L53" s="121">
        <v>-0.83</v>
      </c>
      <c r="M53" s="122"/>
      <c r="N53" s="120">
        <v>41.2</v>
      </c>
      <c r="O53" s="120">
        <v>13.873865924528301</v>
      </c>
      <c r="P53" s="123">
        <v>8.515991174624117</v>
      </c>
      <c r="Q53" s="120">
        <v>0.8571428571428571</v>
      </c>
      <c r="R53" s="120">
        <v>0.6138153000000001</v>
      </c>
      <c r="S53" s="120">
        <v>143.0950819672131</v>
      </c>
      <c r="T53" s="124">
        <v>53.7</v>
      </c>
      <c r="AA53" s="15"/>
      <c r="AB53" s="15"/>
      <c r="AC53" s="15"/>
      <c r="AD53" s="15"/>
      <c r="AE53" s="15"/>
    </row>
    <row r="54" ht="14.25" customHeight="1">
      <c r="A54" s="134" t="s">
        <v>249</v>
      </c>
      <c r="B54" s="3" t="s">
        <v>239</v>
      </c>
      <c r="C54" s="3" t="s">
        <v>101</v>
      </c>
      <c r="D54" s="135" t="s">
        <v>240</v>
      </c>
      <c r="E54" s="8">
        <v>5.0</v>
      </c>
      <c r="F54" s="136" t="s">
        <v>232</v>
      </c>
      <c r="G54" s="137">
        <v>14.8843182</v>
      </c>
      <c r="H54" s="137">
        <v>0.24990946</v>
      </c>
      <c r="I54" s="137">
        <v>4.28259533</v>
      </c>
      <c r="J54" s="120">
        <f t="shared" si="1"/>
        <v>59.55884263</v>
      </c>
      <c r="K54" s="121">
        <v>-0.36</v>
      </c>
      <c r="L54" s="121">
        <v>-0.538</v>
      </c>
      <c r="M54" s="122">
        <v>0.178</v>
      </c>
      <c r="N54" s="120">
        <v>36.0</v>
      </c>
      <c r="O54" s="120">
        <v>24.05952432584269</v>
      </c>
      <c r="P54" s="123">
        <v>18.63594094099988</v>
      </c>
      <c r="Q54" s="120">
        <v>1.1428571428571428</v>
      </c>
      <c r="R54" s="120">
        <v>0.7745764500000002</v>
      </c>
      <c r="S54" s="120">
        <v>117.72388059701494</v>
      </c>
      <c r="T54" s="124">
        <v>26.7</v>
      </c>
      <c r="AA54" s="15"/>
      <c r="AB54" s="15"/>
      <c r="AC54" s="15"/>
      <c r="AD54" s="15"/>
      <c r="AE54" s="15"/>
    </row>
    <row r="55" ht="14.25" customHeight="1">
      <c r="A55" s="134" t="s">
        <v>249</v>
      </c>
      <c r="B55" s="3" t="s">
        <v>239</v>
      </c>
      <c r="C55" s="3" t="s">
        <v>101</v>
      </c>
      <c r="D55" s="135" t="s">
        <v>240</v>
      </c>
      <c r="E55" s="8">
        <v>6.0</v>
      </c>
      <c r="F55" s="136" t="s">
        <v>232</v>
      </c>
      <c r="G55" s="137">
        <v>14.4219293</v>
      </c>
      <c r="H55" s="137">
        <v>0.26275676</v>
      </c>
      <c r="I55" s="137">
        <v>6.93914043</v>
      </c>
      <c r="J55" s="120">
        <f t="shared" si="1"/>
        <v>54.88699625</v>
      </c>
      <c r="K55" s="121"/>
      <c r="L55" s="121">
        <v>-0.763</v>
      </c>
      <c r="M55" s="122"/>
      <c r="N55" s="120">
        <v>40.7</v>
      </c>
      <c r="O55" s="120">
        <v>14.9873443412527</v>
      </c>
      <c r="P55" s="123">
        <v>10.513670014890662</v>
      </c>
      <c r="Q55" s="120">
        <v>1.2857142857142858</v>
      </c>
      <c r="R55" s="120">
        <v>0.7015032000000001</v>
      </c>
      <c r="S55" s="120">
        <v>197.14754098360658</v>
      </c>
      <c r="T55" s="124">
        <v>15.6</v>
      </c>
      <c r="AA55" s="15"/>
      <c r="AB55" s="15"/>
      <c r="AC55" s="15"/>
      <c r="AD55" s="15"/>
      <c r="AE55" s="15"/>
    </row>
    <row r="56" ht="14.25" customHeight="1">
      <c r="A56" s="134" t="s">
        <v>256</v>
      </c>
      <c r="B56" s="3" t="s">
        <v>258</v>
      </c>
      <c r="C56" s="3" t="s">
        <v>108</v>
      </c>
      <c r="D56" s="3" t="s">
        <v>251</v>
      </c>
      <c r="E56" s="8">
        <v>1.0</v>
      </c>
      <c r="F56" s="136" t="s">
        <v>232</v>
      </c>
      <c r="G56" s="137">
        <v>17.6120782</v>
      </c>
      <c r="H56" s="137">
        <v>0.40445458</v>
      </c>
      <c r="I56" s="137">
        <v>8.66564663</v>
      </c>
      <c r="J56" s="120">
        <f t="shared" si="1"/>
        <v>43.54525593</v>
      </c>
      <c r="K56" s="121">
        <v>-0.278</v>
      </c>
      <c r="L56" s="121">
        <v>-0.59</v>
      </c>
      <c r="M56" s="122">
        <v>0.312</v>
      </c>
      <c r="N56" s="120">
        <v>37.8</v>
      </c>
      <c r="O56" s="120">
        <v>27.774508429487184</v>
      </c>
      <c r="P56" s="123">
        <v>11.349771652812088</v>
      </c>
      <c r="Q56" s="120">
        <v>1.4285714285714286</v>
      </c>
      <c r="R56" s="120">
        <v>0.40863987499999993</v>
      </c>
      <c r="S56" s="120">
        <v>191.9230769230769</v>
      </c>
      <c r="T56" s="124">
        <v>7.5</v>
      </c>
      <c r="AA56" s="15"/>
      <c r="AB56" s="15"/>
      <c r="AC56" s="15"/>
      <c r="AD56" s="15"/>
      <c r="AE56" s="15"/>
    </row>
    <row r="57" ht="14.25" customHeight="1">
      <c r="A57" s="134" t="s">
        <v>256</v>
      </c>
      <c r="B57" s="3" t="s">
        <v>258</v>
      </c>
      <c r="C57" s="3" t="s">
        <v>108</v>
      </c>
      <c r="D57" s="3" t="s">
        <v>251</v>
      </c>
      <c r="E57" s="8">
        <v>2.0</v>
      </c>
      <c r="F57" s="136" t="s">
        <v>232</v>
      </c>
      <c r="G57" s="137">
        <v>12.5877994</v>
      </c>
      <c r="H57" s="137">
        <v>0.39752639</v>
      </c>
      <c r="I57" s="137">
        <v>6.90408697</v>
      </c>
      <c r="J57" s="120">
        <f t="shared" si="1"/>
        <v>31.66531762</v>
      </c>
      <c r="K57" s="121"/>
      <c r="L57" s="121">
        <v>-0.83</v>
      </c>
      <c r="M57" s="122"/>
      <c r="N57" s="120">
        <v>38.4</v>
      </c>
      <c r="O57" s="120">
        <v>11.7018423220339</v>
      </c>
      <c r="P57" s="123">
        <v>4.781839383745641</v>
      </c>
      <c r="Q57" s="120">
        <v>1.0</v>
      </c>
      <c r="R57" s="120">
        <v>0.40863987499999993</v>
      </c>
      <c r="S57" s="120">
        <v>179.0135593220339</v>
      </c>
      <c r="T57" s="124">
        <v>6.9</v>
      </c>
      <c r="AA57" s="15"/>
      <c r="AB57" s="15"/>
      <c r="AC57" s="15"/>
      <c r="AD57" s="15"/>
      <c r="AE57" s="15"/>
    </row>
    <row r="58" ht="14.25" customHeight="1">
      <c r="A58" s="134" t="s">
        <v>256</v>
      </c>
      <c r="B58" s="3" t="s">
        <v>258</v>
      </c>
      <c r="C58" s="3" t="s">
        <v>108</v>
      </c>
      <c r="D58" s="3" t="s">
        <v>251</v>
      </c>
      <c r="E58" s="8">
        <v>3.0</v>
      </c>
      <c r="F58" s="136" t="s">
        <v>232</v>
      </c>
      <c r="G58" s="137">
        <v>11.0142067</v>
      </c>
      <c r="H58" s="137">
        <v>0.18949748</v>
      </c>
      <c r="I58" s="137">
        <v>4.94884327</v>
      </c>
      <c r="J58" s="120">
        <f t="shared" si="1"/>
        <v>58.12323573</v>
      </c>
      <c r="K58" s="121">
        <v>-0.165</v>
      </c>
      <c r="L58" s="121">
        <v>-0.74</v>
      </c>
      <c r="M58" s="122">
        <v>0.575</v>
      </c>
      <c r="N58" s="120">
        <v>36.5</v>
      </c>
      <c r="O58" s="120">
        <v>8.606683947826088</v>
      </c>
      <c r="P58" s="123">
        <v>5.02433464657737</v>
      </c>
      <c r="Q58" s="120">
        <v>1.1428571428571428</v>
      </c>
      <c r="R58" s="120">
        <v>0.58377125</v>
      </c>
      <c r="S58" s="120">
        <v>187.97878787878787</v>
      </c>
      <c r="T58" s="124">
        <v>13.1</v>
      </c>
      <c r="AA58" s="15"/>
      <c r="AB58" s="15"/>
      <c r="AC58" s="15"/>
      <c r="AD58" s="15"/>
      <c r="AE58" s="15"/>
    </row>
    <row r="59" ht="14.25" customHeight="1">
      <c r="A59" s="134" t="s">
        <v>256</v>
      </c>
      <c r="B59" s="3" t="s">
        <v>258</v>
      </c>
      <c r="C59" s="3" t="s">
        <v>108</v>
      </c>
      <c r="D59" s="3" t="s">
        <v>251</v>
      </c>
      <c r="E59" s="8">
        <v>4.0</v>
      </c>
      <c r="F59" s="136" t="s">
        <v>232</v>
      </c>
      <c r="G59" s="137">
        <v>12.9592232</v>
      </c>
      <c r="H59" s="137">
        <v>0.41420144</v>
      </c>
      <c r="I59" s="137">
        <v>7.98398232</v>
      </c>
      <c r="J59" s="120">
        <f t="shared" si="1"/>
        <v>31.28724806</v>
      </c>
      <c r="K59" s="121"/>
      <c r="L59" s="121">
        <v>-0.65</v>
      </c>
      <c r="M59" s="122"/>
      <c r="N59" s="120">
        <v>40.5</v>
      </c>
      <c r="O59" s="120">
        <v>19.473127609756094</v>
      </c>
      <c r="P59" s="123">
        <v>8.866924596002326</v>
      </c>
      <c r="Q59" s="120">
        <v>1.0</v>
      </c>
      <c r="R59" s="120">
        <v>0.45534157499999994</v>
      </c>
      <c r="S59" s="120">
        <v>208.3728813559322</v>
      </c>
      <c r="T59" s="124">
        <v>40.4</v>
      </c>
      <c r="AA59" s="15"/>
      <c r="AB59" s="15"/>
      <c r="AC59" s="15"/>
      <c r="AD59" s="15"/>
      <c r="AE59" s="15"/>
    </row>
    <row r="60" ht="14.25" customHeight="1">
      <c r="A60" s="134" t="s">
        <v>256</v>
      </c>
      <c r="B60" s="3" t="s">
        <v>258</v>
      </c>
      <c r="C60" s="3" t="s">
        <v>108</v>
      </c>
      <c r="D60" s="3" t="s">
        <v>251</v>
      </c>
      <c r="E60" s="8">
        <v>5.0</v>
      </c>
      <c r="F60" s="136" t="s">
        <v>232</v>
      </c>
      <c r="G60" s="137">
        <v>18.3301896</v>
      </c>
      <c r="H60" s="137">
        <v>0.52217497</v>
      </c>
      <c r="I60" s="137">
        <v>6.71348754</v>
      </c>
      <c r="J60" s="120">
        <f t="shared" si="1"/>
        <v>35.10353934</v>
      </c>
      <c r="K60" s="121">
        <v>-0.268</v>
      </c>
      <c r="L60" s="121">
        <v>-0.61</v>
      </c>
      <c r="M60" s="122">
        <v>0.342</v>
      </c>
      <c r="N60" s="120">
        <v>42.3</v>
      </c>
      <c r="O60" s="120">
        <v>19.63008052631579</v>
      </c>
      <c r="P60" s="123">
        <v>9.8551499159453</v>
      </c>
      <c r="Q60" s="120">
        <v>1.2857142857142858</v>
      </c>
      <c r="R60" s="120">
        <v>0.5020432749999999</v>
      </c>
      <c r="S60" s="120">
        <v>188.4375</v>
      </c>
      <c r="T60" s="124">
        <v>6.8</v>
      </c>
      <c r="AA60" s="15"/>
      <c r="AB60" s="15"/>
      <c r="AC60" s="15"/>
      <c r="AD60" s="15"/>
      <c r="AE60" s="15"/>
    </row>
    <row r="61" ht="14.25" customHeight="1">
      <c r="A61" s="134" t="s">
        <v>256</v>
      </c>
      <c r="B61" s="3" t="s">
        <v>258</v>
      </c>
      <c r="C61" s="3" t="s">
        <v>108</v>
      </c>
      <c r="D61" s="3" t="s">
        <v>251</v>
      </c>
      <c r="E61" s="8">
        <v>6.0</v>
      </c>
      <c r="F61" s="136" t="s">
        <v>232</v>
      </c>
      <c r="G61" s="137">
        <v>10.2478802</v>
      </c>
      <c r="H61" s="137">
        <v>0.39901035</v>
      </c>
      <c r="I61" s="137">
        <v>8.77841722</v>
      </c>
      <c r="J61" s="120">
        <f t="shared" si="1"/>
        <v>25.68324406</v>
      </c>
      <c r="K61" s="121"/>
      <c r="L61" s="121">
        <v>-0.847</v>
      </c>
      <c r="M61" s="122"/>
      <c r="N61" s="120">
        <v>22.0</v>
      </c>
      <c r="O61" s="120">
        <v>14.461972355848435</v>
      </c>
      <c r="P61" s="123">
        <v>7.767084985267957</v>
      </c>
      <c r="Q61" s="120">
        <v>1.2857142857142858</v>
      </c>
      <c r="R61" s="120">
        <v>0.5370695499999999</v>
      </c>
      <c r="S61" s="120">
        <v>194.184</v>
      </c>
      <c r="T61" s="124">
        <v>50.7</v>
      </c>
      <c r="AA61" s="15"/>
      <c r="AB61" s="15"/>
      <c r="AC61" s="15"/>
      <c r="AD61" s="15"/>
      <c r="AE61" s="15"/>
    </row>
    <row r="62" ht="14.25" customHeight="1">
      <c r="A62" s="134" t="s">
        <v>244</v>
      </c>
      <c r="B62" s="3" t="s">
        <v>257</v>
      </c>
      <c r="C62" s="3" t="s">
        <v>115</v>
      </c>
      <c r="D62" s="135" t="s">
        <v>240</v>
      </c>
      <c r="E62" s="48">
        <v>1.0</v>
      </c>
      <c r="F62" s="136" t="s">
        <v>232</v>
      </c>
      <c r="G62" s="137">
        <v>15.0561534</v>
      </c>
      <c r="H62" s="137">
        <v>0.28585111</v>
      </c>
      <c r="I62" s="137">
        <v>7.19605849</v>
      </c>
      <c r="J62" s="120">
        <f t="shared" si="1"/>
        <v>52.6713134</v>
      </c>
      <c r="K62" s="121">
        <v>-0.199</v>
      </c>
      <c r="L62" s="121">
        <v>-0.61</v>
      </c>
      <c r="M62" s="122">
        <v>0.411</v>
      </c>
      <c r="N62" s="120">
        <v>40.0</v>
      </c>
      <c r="O62" s="120">
        <v>17.508658126520682</v>
      </c>
      <c r="P62" s="123">
        <v>10.785046263943466</v>
      </c>
      <c r="Q62" s="120">
        <v>1.0</v>
      </c>
      <c r="R62" s="120">
        <v>0.6159836000000001</v>
      </c>
      <c r="S62" s="120">
        <v>107.92000000000002</v>
      </c>
      <c r="T62" s="124">
        <v>16.2</v>
      </c>
      <c r="AA62" s="15"/>
      <c r="AB62" s="15"/>
      <c r="AC62" s="15"/>
      <c r="AD62" s="15"/>
      <c r="AE62" s="15"/>
    </row>
    <row r="63" ht="14.25" customHeight="1">
      <c r="A63" s="134" t="s">
        <v>244</v>
      </c>
      <c r="B63" s="3" t="s">
        <v>257</v>
      </c>
      <c r="C63" s="3" t="s">
        <v>115</v>
      </c>
      <c r="D63" s="135" t="s">
        <v>240</v>
      </c>
      <c r="E63" s="48">
        <v>2.0</v>
      </c>
      <c r="F63" s="136" t="s">
        <v>232</v>
      </c>
      <c r="G63" s="137">
        <v>13.9785663</v>
      </c>
      <c r="H63" s="137">
        <v>0.43831087</v>
      </c>
      <c r="I63" s="137">
        <v>7.05184812</v>
      </c>
      <c r="J63" s="120">
        <f t="shared" si="1"/>
        <v>31.89189969</v>
      </c>
      <c r="K63" s="121"/>
      <c r="L63" s="121">
        <v>-0.56</v>
      </c>
      <c r="M63" s="122"/>
      <c r="N63" s="120">
        <v>40.2</v>
      </c>
      <c r="O63" s="120">
        <v>23.506160399999995</v>
      </c>
      <c r="P63" s="123">
        <v>12.122296162634878</v>
      </c>
      <c r="Q63" s="120">
        <v>0.8571428571428571</v>
      </c>
      <c r="R63" s="120">
        <v>0.5157072</v>
      </c>
      <c r="S63" s="120">
        <v>105.5</v>
      </c>
      <c r="T63" s="124">
        <v>5.8</v>
      </c>
      <c r="AA63" s="15"/>
      <c r="AB63" s="15"/>
      <c r="AC63" s="15"/>
      <c r="AD63" s="15"/>
      <c r="AE63" s="15"/>
    </row>
    <row r="64" ht="14.25" customHeight="1">
      <c r="A64" s="134" t="s">
        <v>244</v>
      </c>
      <c r="B64" s="3" t="s">
        <v>257</v>
      </c>
      <c r="C64" s="3" t="s">
        <v>115</v>
      </c>
      <c r="D64" s="135" t="s">
        <v>240</v>
      </c>
      <c r="E64" s="48">
        <v>3.0</v>
      </c>
      <c r="F64" s="136" t="s">
        <v>232</v>
      </c>
      <c r="G64" s="137">
        <v>11.7311917</v>
      </c>
      <c r="H64" s="137">
        <v>0.15915421</v>
      </c>
      <c r="I64" s="137">
        <v>4.31292001</v>
      </c>
      <c r="J64" s="120">
        <f t="shared" si="1"/>
        <v>73.70959084</v>
      </c>
      <c r="K64" s="121">
        <v>-0.265</v>
      </c>
      <c r="L64" s="121">
        <v>-0.518</v>
      </c>
      <c r="M64" s="122">
        <v>0.253</v>
      </c>
      <c r="N64" s="120">
        <v>51.7</v>
      </c>
      <c r="O64" s="120">
        <v>17.04711466403162</v>
      </c>
      <c r="P64" s="123">
        <v>9.279726425437058</v>
      </c>
      <c r="Q64" s="120">
        <v>1.0</v>
      </c>
      <c r="R64" s="120">
        <v>0.5443576</v>
      </c>
      <c r="S64" s="120">
        <v>115.92794117647058</v>
      </c>
      <c r="T64" s="124">
        <v>11.2</v>
      </c>
      <c r="AA64" s="15"/>
      <c r="AB64" s="15"/>
      <c r="AC64" s="15"/>
      <c r="AD64" s="15"/>
      <c r="AE64" s="15"/>
    </row>
    <row r="65" ht="14.25" customHeight="1">
      <c r="A65" s="134" t="s">
        <v>244</v>
      </c>
      <c r="B65" s="3" t="s">
        <v>257</v>
      </c>
      <c r="C65" s="3" t="s">
        <v>115</v>
      </c>
      <c r="D65" s="135" t="s">
        <v>240</v>
      </c>
      <c r="E65" s="48">
        <v>4.0</v>
      </c>
      <c r="F65" s="136" t="s">
        <v>232</v>
      </c>
      <c r="G65" s="137">
        <v>13.6246872</v>
      </c>
      <c r="H65" s="137">
        <v>0.31078971</v>
      </c>
      <c r="I65" s="137">
        <v>7.08134591</v>
      </c>
      <c r="J65" s="120">
        <f t="shared" si="1"/>
        <v>43.83892633</v>
      </c>
      <c r="K65" s="121"/>
      <c r="L65" s="121">
        <v>-0.815</v>
      </c>
      <c r="M65" s="122"/>
      <c r="N65" s="120">
        <v>43.0</v>
      </c>
      <c r="O65" s="120">
        <v>12.75918181981982</v>
      </c>
      <c r="P65" s="123">
        <v>6.94555759340075</v>
      </c>
      <c r="Q65" s="120">
        <v>1.1428571428571428</v>
      </c>
      <c r="R65" s="120">
        <v>0.5443576</v>
      </c>
      <c r="S65" s="120">
        <v>144.32</v>
      </c>
      <c r="T65" s="124">
        <v>25.6</v>
      </c>
      <c r="AA65" s="15"/>
      <c r="AB65" s="15"/>
      <c r="AC65" s="15"/>
      <c r="AD65" s="15"/>
      <c r="AE65" s="15"/>
    </row>
    <row r="66" ht="14.25" customHeight="1">
      <c r="A66" s="134" t="s">
        <v>244</v>
      </c>
      <c r="B66" s="3" t="s">
        <v>257</v>
      </c>
      <c r="C66" s="3" t="s">
        <v>115</v>
      </c>
      <c r="D66" s="135" t="s">
        <v>240</v>
      </c>
      <c r="E66" s="48">
        <v>5.0</v>
      </c>
      <c r="F66" s="136" t="s">
        <v>232</v>
      </c>
      <c r="G66" s="137">
        <v>17.0312049</v>
      </c>
      <c r="H66" s="137">
        <v>0.30982604</v>
      </c>
      <c r="I66" s="137">
        <v>4.77230746</v>
      </c>
      <c r="J66" s="120">
        <f t="shared" si="1"/>
        <v>54.9702178</v>
      </c>
      <c r="K66" s="121">
        <v>-0.325</v>
      </c>
      <c r="L66" s="121">
        <v>-0.514</v>
      </c>
      <c r="M66" s="122">
        <v>0.189</v>
      </c>
      <c r="N66" s="120">
        <v>44.0</v>
      </c>
      <c r="O66" s="120">
        <v>25.250304021164023</v>
      </c>
      <c r="P66" s="123">
        <v>15.192057516887113</v>
      </c>
      <c r="Q66" s="120">
        <v>1.1428571428571428</v>
      </c>
      <c r="R66" s="120">
        <v>0.6016584</v>
      </c>
      <c r="S66" s="120">
        <v>117.2123076923077</v>
      </c>
      <c r="T66" s="124">
        <v>12.3</v>
      </c>
      <c r="AA66" s="15"/>
      <c r="AB66" s="15"/>
      <c r="AC66" s="15"/>
      <c r="AD66" s="15"/>
      <c r="AE66" s="15"/>
    </row>
    <row r="67" ht="14.25" customHeight="1">
      <c r="A67" s="134" t="s">
        <v>244</v>
      </c>
      <c r="B67" s="3" t="s">
        <v>257</v>
      </c>
      <c r="C67" s="3" t="s">
        <v>115</v>
      </c>
      <c r="D67" s="135" t="s">
        <v>240</v>
      </c>
      <c r="E67" s="48">
        <v>6.0</v>
      </c>
      <c r="F67" s="136" t="s">
        <v>232</v>
      </c>
      <c r="G67" s="137">
        <v>9.51286916</v>
      </c>
      <c r="H67" s="137">
        <v>0.35763606</v>
      </c>
      <c r="I67" s="137">
        <v>8.37177364</v>
      </c>
      <c r="J67" s="120">
        <f t="shared" si="1"/>
        <v>26.59930086</v>
      </c>
      <c r="K67" s="121"/>
      <c r="L67" s="121">
        <v>-0.683</v>
      </c>
      <c r="M67" s="122"/>
      <c r="N67" s="120">
        <v>34.8</v>
      </c>
      <c r="O67" s="120">
        <v>19.791427044917256</v>
      </c>
      <c r="P67" s="123">
        <v>12.191194480265494</v>
      </c>
      <c r="Q67" s="120">
        <v>1.2857142857142858</v>
      </c>
      <c r="R67" s="120">
        <v>0.6159836000000001</v>
      </c>
      <c r="S67" s="120">
        <v>155.53846153846155</v>
      </c>
      <c r="T67" s="124">
        <v>27.6</v>
      </c>
      <c r="AA67" s="15"/>
      <c r="AB67" s="15"/>
      <c r="AC67" s="15"/>
      <c r="AD67" s="15"/>
      <c r="AE67" s="15"/>
    </row>
    <row r="68" ht="14.25" customHeight="1">
      <c r="A68" s="134" t="s">
        <v>238</v>
      </c>
      <c r="B68" s="3" t="s">
        <v>250</v>
      </c>
      <c r="C68" s="3" t="s">
        <v>122</v>
      </c>
      <c r="D68" s="3" t="s">
        <v>251</v>
      </c>
      <c r="E68" s="48">
        <v>1.0</v>
      </c>
      <c r="F68" s="136" t="s">
        <v>232</v>
      </c>
      <c r="G68" s="137">
        <v>12.9464331</v>
      </c>
      <c r="H68" s="137">
        <v>0.38457806</v>
      </c>
      <c r="I68" s="137">
        <v>8.22258518</v>
      </c>
      <c r="J68" s="120">
        <f t="shared" si="1"/>
        <v>33.66399295</v>
      </c>
      <c r="K68" s="121">
        <v>-0.136</v>
      </c>
      <c r="L68" s="121">
        <v>-0.612</v>
      </c>
      <c r="M68" s="122">
        <v>0.476</v>
      </c>
      <c r="N68" s="120">
        <v>35.8</v>
      </c>
      <c r="O68" s="120">
        <v>17.274338613445376</v>
      </c>
      <c r="P68" s="123">
        <v>6.809616509748497</v>
      </c>
      <c r="Q68" s="120">
        <v>1.2857142857142858</v>
      </c>
      <c r="R68" s="120">
        <v>0.39420418125000006</v>
      </c>
      <c r="S68" s="120">
        <v>63.92307692307692</v>
      </c>
      <c r="T68" s="124">
        <v>16.4</v>
      </c>
      <c r="AA68" s="15"/>
      <c r="AB68" s="15"/>
      <c r="AC68" s="15"/>
      <c r="AD68" s="15"/>
      <c r="AE68" s="15"/>
    </row>
    <row r="69" ht="14.25" customHeight="1">
      <c r="A69" s="134" t="s">
        <v>238</v>
      </c>
      <c r="B69" s="3" t="s">
        <v>250</v>
      </c>
      <c r="C69" s="3" t="s">
        <v>122</v>
      </c>
      <c r="D69" s="3" t="s">
        <v>251</v>
      </c>
      <c r="E69" s="48">
        <v>2.0</v>
      </c>
      <c r="F69" s="136" t="s">
        <v>232</v>
      </c>
      <c r="G69" s="137">
        <v>8.99064246</v>
      </c>
      <c r="H69" s="137">
        <v>0.14263385</v>
      </c>
      <c r="I69" s="137">
        <v>3.49221607</v>
      </c>
      <c r="J69" s="120">
        <f t="shared" si="1"/>
        <v>63.03302098</v>
      </c>
      <c r="K69" s="121"/>
      <c r="L69" s="121">
        <v>-0.875</v>
      </c>
      <c r="M69" s="122"/>
      <c r="N69" s="120">
        <v>34.6</v>
      </c>
      <c r="O69" s="120">
        <v>5.499552866141732</v>
      </c>
      <c r="P69" s="123">
        <v>1.839469956832661</v>
      </c>
      <c r="Q69" s="120">
        <v>0.7142857142857143</v>
      </c>
      <c r="R69" s="120">
        <v>0.3344762750000001</v>
      </c>
      <c r="S69" s="120">
        <v>65.35555555555555</v>
      </c>
      <c r="T69" s="124">
        <v>6.9</v>
      </c>
      <c r="AA69" s="15"/>
      <c r="AB69" s="15"/>
      <c r="AC69" s="15"/>
      <c r="AD69" s="15"/>
      <c r="AE69" s="15"/>
    </row>
    <row r="70" ht="14.25" customHeight="1">
      <c r="A70" s="134" t="s">
        <v>238</v>
      </c>
      <c r="B70" s="3" t="s">
        <v>250</v>
      </c>
      <c r="C70" s="3" t="s">
        <v>122</v>
      </c>
      <c r="D70" s="3" t="s">
        <v>251</v>
      </c>
      <c r="E70" s="48">
        <v>3.0</v>
      </c>
      <c r="F70" s="136" t="s">
        <v>232</v>
      </c>
      <c r="G70" s="137">
        <v>12.4712322</v>
      </c>
      <c r="H70" s="137">
        <v>0.25404784</v>
      </c>
      <c r="I70" s="137">
        <v>5.13250041</v>
      </c>
      <c r="J70" s="120">
        <f t="shared" si="1"/>
        <v>49.09009342</v>
      </c>
      <c r="K70" s="121">
        <v>-0.326</v>
      </c>
      <c r="L70" s="121">
        <v>-0.518</v>
      </c>
      <c r="M70" s="122">
        <v>0.192</v>
      </c>
      <c r="N70" s="120">
        <v>31.3</v>
      </c>
      <c r="O70" s="120">
        <v>26.731772968749997</v>
      </c>
      <c r="P70" s="123">
        <v>12.453736072235518</v>
      </c>
      <c r="Q70" s="120">
        <v>1.0</v>
      </c>
      <c r="R70" s="120">
        <v>0.4658776687500001</v>
      </c>
      <c r="S70" s="120">
        <v>172.21971830985916</v>
      </c>
      <c r="T70" s="124">
        <v>11.9</v>
      </c>
      <c r="AA70" s="15"/>
      <c r="AB70" s="15"/>
      <c r="AC70" s="15"/>
      <c r="AD70" s="15"/>
      <c r="AE70" s="15"/>
    </row>
    <row r="71" ht="14.25" customHeight="1">
      <c r="A71" s="134" t="s">
        <v>238</v>
      </c>
      <c r="B71" s="3" t="s">
        <v>250</v>
      </c>
      <c r="C71" s="3" t="s">
        <v>122</v>
      </c>
      <c r="D71" s="3" t="s">
        <v>251</v>
      </c>
      <c r="E71" s="48">
        <v>4.0</v>
      </c>
      <c r="F71" s="136" t="s">
        <v>232</v>
      </c>
      <c r="G71" s="137">
        <v>12.7891608</v>
      </c>
      <c r="H71" s="137">
        <v>0.44819291</v>
      </c>
      <c r="I71" s="137">
        <v>8.7715707</v>
      </c>
      <c r="J71" s="120">
        <f t="shared" si="1"/>
        <v>28.5349467</v>
      </c>
      <c r="K71" s="121"/>
      <c r="L71" s="121">
        <v>-0.7</v>
      </c>
      <c r="M71" s="122"/>
      <c r="N71" s="120">
        <v>39.4</v>
      </c>
      <c r="O71" s="120">
        <v>19.06863195652174</v>
      </c>
      <c r="P71" s="123">
        <v>10.705936941059917</v>
      </c>
      <c r="Q71" s="120">
        <v>1.0</v>
      </c>
      <c r="R71" s="120">
        <v>0.5614423187500002</v>
      </c>
      <c r="S71" s="120">
        <v>145.85294117647055</v>
      </c>
      <c r="T71" s="124">
        <v>21.1</v>
      </c>
      <c r="AA71" s="15"/>
      <c r="AB71" s="15"/>
      <c r="AC71" s="15"/>
      <c r="AD71" s="15"/>
      <c r="AE71" s="15"/>
    </row>
    <row r="72" ht="14.25" customHeight="1">
      <c r="A72" s="134" t="s">
        <v>238</v>
      </c>
      <c r="B72" s="3" t="s">
        <v>250</v>
      </c>
      <c r="C72" s="3" t="s">
        <v>122</v>
      </c>
      <c r="D72" s="3" t="s">
        <v>251</v>
      </c>
      <c r="E72" s="48">
        <v>5.0</v>
      </c>
      <c r="F72" s="136" t="s">
        <v>232</v>
      </c>
      <c r="G72" s="137">
        <v>13.1234562</v>
      </c>
      <c r="H72" s="137">
        <v>0.37799085</v>
      </c>
      <c r="I72" s="137">
        <v>5.34386888</v>
      </c>
      <c r="J72" s="120">
        <f t="shared" si="1"/>
        <v>34.71897851</v>
      </c>
      <c r="K72" s="121">
        <v>-0.255</v>
      </c>
      <c r="L72" s="121">
        <v>-0.515</v>
      </c>
      <c r="M72" s="122">
        <v>0.26</v>
      </c>
      <c r="N72" s="120">
        <v>33.6</v>
      </c>
      <c r="O72" s="120">
        <v>20.553341846153845</v>
      </c>
      <c r="P72" s="123">
        <v>10.311907829254743</v>
      </c>
      <c r="Q72" s="120">
        <v>1.2857142857142858</v>
      </c>
      <c r="R72" s="120">
        <v>0.5017144125</v>
      </c>
      <c r="S72" s="120">
        <v>159.00266666666667</v>
      </c>
      <c r="T72" s="124">
        <v>7.9</v>
      </c>
      <c r="AA72" s="15"/>
      <c r="AB72" s="15"/>
      <c r="AC72" s="15"/>
      <c r="AD72" s="15"/>
      <c r="AE72" s="15"/>
    </row>
    <row r="73" ht="14.25" customHeight="1">
      <c r="A73" s="134" t="s">
        <v>238</v>
      </c>
      <c r="B73" s="3" t="s">
        <v>250</v>
      </c>
      <c r="C73" s="3" t="s">
        <v>122</v>
      </c>
      <c r="D73" s="3" t="s">
        <v>251</v>
      </c>
      <c r="E73" s="48">
        <v>6.0</v>
      </c>
      <c r="F73" s="136" t="s">
        <v>232</v>
      </c>
      <c r="G73" s="137">
        <v>13.848559</v>
      </c>
      <c r="H73" s="137">
        <v>0.60784815</v>
      </c>
      <c r="I73" s="137">
        <v>10.8556976</v>
      </c>
      <c r="J73" s="120">
        <f t="shared" si="1"/>
        <v>22.78292531</v>
      </c>
      <c r="K73" s="121"/>
      <c r="L73" s="121">
        <v>-0.67</v>
      </c>
      <c r="M73" s="122"/>
      <c r="N73" s="120">
        <v>28.0</v>
      </c>
      <c r="O73" s="120">
        <v>25.24580837209302</v>
      </c>
      <c r="P73" s="123">
        <v>12.66618591549223</v>
      </c>
      <c r="Q73" s="120">
        <v>1.2857142857142858</v>
      </c>
      <c r="R73" s="120">
        <v>0.5017144125</v>
      </c>
      <c r="S73" s="120">
        <v>187.89135802469136</v>
      </c>
      <c r="T73" s="124">
        <v>21.6</v>
      </c>
      <c r="AA73" s="15"/>
      <c r="AB73" s="15"/>
      <c r="AC73" s="15"/>
      <c r="AD73" s="15"/>
      <c r="AE73" s="15"/>
    </row>
    <row r="74" ht="14.25" customHeight="1">
      <c r="A74" s="134" t="s">
        <v>238</v>
      </c>
      <c r="B74" s="3" t="s">
        <v>257</v>
      </c>
      <c r="C74" s="3" t="s">
        <v>129</v>
      </c>
      <c r="D74" s="135" t="s">
        <v>240</v>
      </c>
      <c r="E74" s="48">
        <v>1.0</v>
      </c>
      <c r="F74" s="136" t="s">
        <v>232</v>
      </c>
      <c r="G74" s="137">
        <v>24.2325729</v>
      </c>
      <c r="H74" s="137">
        <v>0.48061323</v>
      </c>
      <c r="I74" s="137">
        <v>9.73431781</v>
      </c>
      <c r="J74" s="120">
        <f t="shared" si="1"/>
        <v>50.42011203</v>
      </c>
      <c r="K74" s="121">
        <v>-0.27</v>
      </c>
      <c r="L74" s="121">
        <v>-0.612</v>
      </c>
      <c r="M74" s="122">
        <v>0.342</v>
      </c>
      <c r="N74" s="120">
        <v>48.1</v>
      </c>
      <c r="O74" s="120">
        <v>28.462917573099418</v>
      </c>
      <c r="P74" s="123">
        <v>14.270794538635737</v>
      </c>
      <c r="Q74" s="120">
        <v>1.1428571428571428</v>
      </c>
      <c r="R74" s="120">
        <v>0.5013820000000001</v>
      </c>
      <c r="S74" s="120">
        <v>71.62264150943396</v>
      </c>
      <c r="T74" s="124">
        <v>26.6</v>
      </c>
      <c r="AA74" s="15"/>
      <c r="AB74" s="15"/>
      <c r="AC74" s="15"/>
      <c r="AD74" s="15"/>
      <c r="AE74" s="15"/>
    </row>
    <row r="75" ht="14.25" customHeight="1">
      <c r="A75" s="134" t="s">
        <v>238</v>
      </c>
      <c r="B75" s="3" t="s">
        <v>257</v>
      </c>
      <c r="C75" s="3" t="s">
        <v>129</v>
      </c>
      <c r="D75" s="135" t="s">
        <v>240</v>
      </c>
      <c r="E75" s="48">
        <v>2.0</v>
      </c>
      <c r="F75" s="136" t="s">
        <v>232</v>
      </c>
      <c r="G75" s="137">
        <v>19.0198873</v>
      </c>
      <c r="H75" s="137">
        <v>0.51438313</v>
      </c>
      <c r="I75" s="137">
        <v>8.14010756</v>
      </c>
      <c r="J75" s="120">
        <f t="shared" si="1"/>
        <v>36.9761102</v>
      </c>
      <c r="K75" s="121"/>
      <c r="L75" s="121">
        <v>-0.84</v>
      </c>
      <c r="M75" s="122"/>
      <c r="N75" s="120">
        <v>39.5</v>
      </c>
      <c r="O75" s="120">
        <v>15.07427325925926</v>
      </c>
      <c r="P75" s="123">
        <v>7.989853233861009</v>
      </c>
      <c r="Q75" s="120">
        <v>1.1428571428571428</v>
      </c>
      <c r="R75" s="120">
        <v>0.5300324000000001</v>
      </c>
      <c r="S75" s="120">
        <v>92.038</v>
      </c>
      <c r="T75" s="124">
        <v>12.3</v>
      </c>
      <c r="AA75" s="15"/>
      <c r="AB75" s="15"/>
      <c r="AC75" s="15"/>
      <c r="AD75" s="15"/>
      <c r="AE75" s="15"/>
    </row>
    <row r="76" ht="14.25" customHeight="1">
      <c r="A76" s="134" t="s">
        <v>238</v>
      </c>
      <c r="B76" s="3" t="s">
        <v>257</v>
      </c>
      <c r="C76" s="3" t="s">
        <v>129</v>
      </c>
      <c r="D76" s="135" t="s">
        <v>240</v>
      </c>
      <c r="E76" s="48">
        <v>3.0</v>
      </c>
      <c r="F76" s="136" t="s">
        <v>232</v>
      </c>
      <c r="G76" s="137">
        <v>10.1118585</v>
      </c>
      <c r="H76" s="137">
        <v>0.20981383</v>
      </c>
      <c r="I76" s="137">
        <v>5.56047751</v>
      </c>
      <c r="J76" s="120">
        <f t="shared" si="1"/>
        <v>48.19443265</v>
      </c>
      <c r="K76" s="121">
        <v>-0.34</v>
      </c>
      <c r="L76" s="121">
        <v>-0.568</v>
      </c>
      <c r="M76" s="122">
        <v>0.228</v>
      </c>
      <c r="N76" s="120">
        <v>43.9</v>
      </c>
      <c r="O76" s="120">
        <v>24.388059254385972</v>
      </c>
      <c r="P76" s="123">
        <v>14.673280710099059</v>
      </c>
      <c r="Q76" s="120">
        <v>1.1428571428571428</v>
      </c>
      <c r="R76" s="120">
        <v>0.6016584</v>
      </c>
      <c r="S76" s="120">
        <v>137.30232558139534</v>
      </c>
      <c r="T76" s="124">
        <v>8.3</v>
      </c>
      <c r="AA76" s="15"/>
      <c r="AB76" s="15"/>
      <c r="AC76" s="15"/>
      <c r="AD76" s="15"/>
      <c r="AE76" s="15"/>
    </row>
    <row r="77" ht="14.25" customHeight="1">
      <c r="A77" s="134" t="s">
        <v>238</v>
      </c>
      <c r="B77" s="3" t="s">
        <v>257</v>
      </c>
      <c r="C77" s="3" t="s">
        <v>129</v>
      </c>
      <c r="D77" s="135" t="s">
        <v>240</v>
      </c>
      <c r="E77" s="48">
        <v>4.0</v>
      </c>
      <c r="F77" s="136" t="s">
        <v>232</v>
      </c>
      <c r="G77" s="137">
        <v>10.7714662</v>
      </c>
      <c r="H77" s="137">
        <v>0.34798964</v>
      </c>
      <c r="I77" s="137">
        <v>7.43175808</v>
      </c>
      <c r="J77" s="120">
        <f t="shared" si="1"/>
        <v>30.95341057</v>
      </c>
      <c r="K77" s="121"/>
      <c r="L77" s="121">
        <v>-0.751</v>
      </c>
      <c r="M77" s="122"/>
      <c r="N77" s="120">
        <v>49.3</v>
      </c>
      <c r="O77" s="120">
        <v>16.47839929046563</v>
      </c>
      <c r="P77" s="123">
        <v>9.442254620631129</v>
      </c>
      <c r="Q77" s="120">
        <v>1.2857142857142858</v>
      </c>
      <c r="R77" s="120">
        <v>0.573008</v>
      </c>
      <c r="S77" s="120">
        <v>158.1985294117647</v>
      </c>
      <c r="T77" s="124">
        <v>34.8</v>
      </c>
      <c r="AA77" s="15"/>
      <c r="AB77" s="15"/>
      <c r="AC77" s="15"/>
      <c r="AD77" s="15"/>
      <c r="AE77" s="15"/>
    </row>
    <row r="78" ht="14.25" customHeight="1">
      <c r="A78" s="134" t="s">
        <v>238</v>
      </c>
      <c r="B78" s="3" t="s">
        <v>257</v>
      </c>
      <c r="C78" s="3" t="s">
        <v>129</v>
      </c>
      <c r="D78" s="135" t="s">
        <v>240</v>
      </c>
      <c r="E78" s="48">
        <v>5.0</v>
      </c>
      <c r="F78" s="136" t="s">
        <v>232</v>
      </c>
      <c r="G78" s="137">
        <v>12.3213856</v>
      </c>
      <c r="H78" s="137">
        <v>0.24363735</v>
      </c>
      <c r="I78" s="137">
        <v>3.89151767</v>
      </c>
      <c r="J78" s="120">
        <f t="shared" si="1"/>
        <v>50.5726466</v>
      </c>
      <c r="K78" s="121">
        <v>-0.278</v>
      </c>
      <c r="L78" s="121">
        <v>-0.769</v>
      </c>
      <c r="M78" s="122">
        <v>0.491</v>
      </c>
      <c r="N78" s="120">
        <v>37.3</v>
      </c>
      <c r="O78" s="120">
        <v>7.9256979022403256</v>
      </c>
      <c r="P78" s="123">
        <v>4.314413888388578</v>
      </c>
      <c r="Q78" s="120">
        <v>1.0</v>
      </c>
      <c r="R78" s="120">
        <v>0.5443576</v>
      </c>
      <c r="S78" s="120">
        <v>127.33636363636363</v>
      </c>
      <c r="T78" s="124">
        <v>4.7</v>
      </c>
      <c r="AA78" s="15"/>
      <c r="AB78" s="15"/>
      <c r="AC78" s="15"/>
      <c r="AD78" s="15"/>
      <c r="AE78" s="15"/>
    </row>
    <row r="79" ht="14.25" customHeight="1">
      <c r="A79" s="134" t="s">
        <v>238</v>
      </c>
      <c r="B79" s="3" t="s">
        <v>257</v>
      </c>
      <c r="C79" s="3" t="s">
        <v>129</v>
      </c>
      <c r="D79" s="135" t="s">
        <v>240</v>
      </c>
      <c r="E79" s="48">
        <v>6.0</v>
      </c>
      <c r="F79" s="136" t="s">
        <v>232</v>
      </c>
      <c r="G79" s="137">
        <v>11.5842395</v>
      </c>
      <c r="H79" s="137">
        <v>0.28396755</v>
      </c>
      <c r="I79" s="137">
        <v>6.98610135</v>
      </c>
      <c r="J79" s="120">
        <f t="shared" si="1"/>
        <v>40.79423688</v>
      </c>
      <c r="K79" s="121"/>
      <c r="L79" s="121">
        <v>-0.691</v>
      </c>
      <c r="M79" s="122"/>
      <c r="N79" s="120">
        <v>43.1</v>
      </c>
      <c r="O79" s="120">
        <v>17.867266879795398</v>
      </c>
      <c r="P79" s="123">
        <v>12.029752060802917</v>
      </c>
      <c r="Q79" s="120">
        <v>1.1428571428571428</v>
      </c>
      <c r="R79" s="120">
        <v>0.6732844</v>
      </c>
      <c r="S79" s="120">
        <v>137.16491228070174</v>
      </c>
      <c r="T79" s="124">
        <v>9.4</v>
      </c>
      <c r="AA79" s="15"/>
      <c r="AB79" s="15"/>
      <c r="AC79" s="15"/>
      <c r="AD79" s="15"/>
      <c r="AE79" s="15"/>
    </row>
    <row r="80" ht="14.25" customHeight="1">
      <c r="A80" s="134" t="s">
        <v>238</v>
      </c>
      <c r="B80" s="3" t="s">
        <v>258</v>
      </c>
      <c r="C80" s="3" t="s">
        <v>136</v>
      </c>
      <c r="D80" s="3" t="s">
        <v>251</v>
      </c>
      <c r="E80" s="48">
        <v>1.0</v>
      </c>
      <c r="F80" s="136" t="s">
        <v>232</v>
      </c>
      <c r="G80" s="137">
        <v>17.6475697</v>
      </c>
      <c r="H80" s="137">
        <v>0.29651127</v>
      </c>
      <c r="I80" s="137">
        <v>7.26186716</v>
      </c>
      <c r="J80" s="120">
        <f t="shared" si="1"/>
        <v>59.51736573</v>
      </c>
      <c r="K80" s="121">
        <v>-0.193</v>
      </c>
      <c r="L80" s="121">
        <v>-0.594</v>
      </c>
      <c r="M80" s="122">
        <v>0.401</v>
      </c>
      <c r="N80" s="120">
        <v>42.2</v>
      </c>
      <c r="O80" s="120">
        <v>18.10939441396509</v>
      </c>
      <c r="P80" s="123">
        <v>5.9201765357187135</v>
      </c>
      <c r="Q80" s="120">
        <v>1.0</v>
      </c>
      <c r="R80" s="120">
        <v>0.3269119</v>
      </c>
      <c r="S80" s="120">
        <v>176.68032786885246</v>
      </c>
      <c r="T80" s="124">
        <v>41.9</v>
      </c>
      <c r="AA80" s="15"/>
      <c r="AB80" s="15"/>
      <c r="AC80" s="15"/>
      <c r="AD80" s="15"/>
      <c r="AE80" s="15"/>
    </row>
    <row r="81" ht="14.25" customHeight="1">
      <c r="A81" s="134" t="s">
        <v>238</v>
      </c>
      <c r="B81" s="3" t="s">
        <v>258</v>
      </c>
      <c r="C81" s="3" t="s">
        <v>136</v>
      </c>
      <c r="D81" s="3" t="s">
        <v>251</v>
      </c>
      <c r="E81" s="48">
        <v>2.0</v>
      </c>
      <c r="F81" s="136" t="s">
        <v>232</v>
      </c>
      <c r="G81" s="137">
        <v>14.6605947</v>
      </c>
      <c r="H81" s="137">
        <v>0.44453656</v>
      </c>
      <c r="I81" s="137">
        <v>7.76360411</v>
      </c>
      <c r="J81" s="120">
        <f t="shared" si="1"/>
        <v>32.97950274</v>
      </c>
      <c r="K81" s="121"/>
      <c r="L81" s="121">
        <v>-0.9</v>
      </c>
      <c r="M81" s="122"/>
      <c r="N81" s="120">
        <v>35.2</v>
      </c>
      <c r="O81" s="120">
        <v>11.090863014285715</v>
      </c>
      <c r="P81" s="123">
        <v>4.5321688757998375</v>
      </c>
      <c r="Q81" s="120">
        <v>1.1428571428571428</v>
      </c>
      <c r="R81" s="120">
        <v>0.40863987499999993</v>
      </c>
      <c r="S81" s="120">
        <v>111.78</v>
      </c>
      <c r="T81" s="124">
        <v>27.8</v>
      </c>
      <c r="AA81" s="15"/>
      <c r="AB81" s="15"/>
      <c r="AC81" s="15"/>
      <c r="AD81" s="15"/>
      <c r="AE81" s="15"/>
    </row>
    <row r="82" ht="14.25" customHeight="1">
      <c r="A82" s="134" t="s">
        <v>238</v>
      </c>
      <c r="B82" s="3" t="s">
        <v>258</v>
      </c>
      <c r="C82" s="3" t="s">
        <v>136</v>
      </c>
      <c r="D82" s="3" t="s">
        <v>251</v>
      </c>
      <c r="E82" s="48">
        <v>3.0</v>
      </c>
      <c r="F82" s="136" t="s">
        <v>232</v>
      </c>
      <c r="G82" s="137">
        <v>12.2080304</v>
      </c>
      <c r="H82" s="137">
        <v>0.31629303</v>
      </c>
      <c r="I82" s="137">
        <v>6.68593119</v>
      </c>
      <c r="J82" s="120">
        <f t="shared" si="1"/>
        <v>38.59721601</v>
      </c>
      <c r="K82" s="121">
        <v>-0.196</v>
      </c>
      <c r="L82" s="121">
        <v>-0.587</v>
      </c>
      <c r="M82" s="122">
        <v>0.391</v>
      </c>
      <c r="N82" s="120">
        <v>34.9</v>
      </c>
      <c r="O82" s="120">
        <v>17.099568260869567</v>
      </c>
      <c r="P82" s="123">
        <v>9.582946884583825</v>
      </c>
      <c r="Q82" s="120">
        <v>1.2857142857142858</v>
      </c>
      <c r="R82" s="120">
        <v>0.5604203999999999</v>
      </c>
      <c r="S82" s="120">
        <v>163.93333333333334</v>
      </c>
      <c r="T82" s="124">
        <v>28.9</v>
      </c>
      <c r="AA82" s="15"/>
      <c r="AB82" s="15"/>
      <c r="AC82" s="15"/>
      <c r="AD82" s="15"/>
      <c r="AE82" s="15"/>
    </row>
    <row r="83" ht="14.25" customHeight="1">
      <c r="A83" s="134" t="s">
        <v>238</v>
      </c>
      <c r="B83" s="3" t="s">
        <v>258</v>
      </c>
      <c r="C83" s="3" t="s">
        <v>136</v>
      </c>
      <c r="D83" s="3" t="s">
        <v>251</v>
      </c>
      <c r="E83" s="48">
        <v>4.0</v>
      </c>
      <c r="F83" s="136" t="s">
        <v>232</v>
      </c>
      <c r="G83" s="137">
        <v>12.2960418</v>
      </c>
      <c r="H83" s="137">
        <v>0.34626629</v>
      </c>
      <c r="I83" s="137">
        <v>7.21174427</v>
      </c>
      <c r="J83" s="120">
        <f t="shared" si="1"/>
        <v>35.51036343</v>
      </c>
      <c r="K83" s="121"/>
      <c r="L83" s="121">
        <v>-0.65</v>
      </c>
      <c r="M83" s="122"/>
      <c r="N83" s="120">
        <v>36.9</v>
      </c>
      <c r="O83" s="120">
        <v>16.026098377777778</v>
      </c>
      <c r="P83" s="123">
        <v>8.045794915051742</v>
      </c>
      <c r="Q83" s="120">
        <v>1.1428571428571428</v>
      </c>
      <c r="R83" s="120">
        <v>0.5020432749999999</v>
      </c>
      <c r="S83" s="120">
        <v>105.80000000000001</v>
      </c>
      <c r="T83" s="124">
        <v>8.6</v>
      </c>
      <c r="AA83" s="15"/>
      <c r="AB83" s="15"/>
      <c r="AC83" s="15"/>
      <c r="AD83" s="15"/>
      <c r="AE83" s="15"/>
    </row>
    <row r="84" ht="14.25" customHeight="1">
      <c r="A84" s="134" t="s">
        <v>238</v>
      </c>
      <c r="B84" s="3" t="s">
        <v>258</v>
      </c>
      <c r="C84" s="3" t="s">
        <v>136</v>
      </c>
      <c r="D84" s="3" t="s">
        <v>251</v>
      </c>
      <c r="E84" s="48">
        <v>5.0</v>
      </c>
      <c r="F84" s="136" t="s">
        <v>232</v>
      </c>
      <c r="G84" s="137">
        <v>14.8689889</v>
      </c>
      <c r="H84" s="137">
        <v>0.36001767</v>
      </c>
      <c r="I84" s="137">
        <v>5.05399859</v>
      </c>
      <c r="J84" s="120">
        <f t="shared" si="1"/>
        <v>41.30071977</v>
      </c>
      <c r="K84" s="121">
        <v>-0.204</v>
      </c>
      <c r="L84" s="121">
        <v>-0.625</v>
      </c>
      <c r="M84" s="122">
        <v>0.421</v>
      </c>
      <c r="N84" s="120">
        <v>36.4</v>
      </c>
      <c r="O84" s="120">
        <v>12.004747244655581</v>
      </c>
      <c r="P84" s="123">
        <v>6.026902622254113</v>
      </c>
      <c r="Q84" s="120">
        <v>1.1428571428571428</v>
      </c>
      <c r="R84" s="120">
        <v>0.5020432749999999</v>
      </c>
      <c r="S84" s="120">
        <v>218.13970588235293</v>
      </c>
      <c r="T84" s="124">
        <v>19.8</v>
      </c>
      <c r="AA84" s="15"/>
      <c r="AB84" s="15"/>
      <c r="AC84" s="15"/>
      <c r="AD84" s="15"/>
      <c r="AE84" s="15"/>
    </row>
    <row r="85" ht="14.25" customHeight="1">
      <c r="A85" s="134" t="s">
        <v>238</v>
      </c>
      <c r="B85" s="3" t="s">
        <v>258</v>
      </c>
      <c r="C85" s="3" t="s">
        <v>136</v>
      </c>
      <c r="D85" s="3" t="s">
        <v>251</v>
      </c>
      <c r="E85" s="48">
        <v>6.0</v>
      </c>
      <c r="F85" s="136" t="s">
        <v>232</v>
      </c>
      <c r="G85" s="137">
        <v>10.9453664</v>
      </c>
      <c r="H85" s="137">
        <v>0.47185157</v>
      </c>
      <c r="I85" s="137">
        <v>9.04058944</v>
      </c>
      <c r="J85" s="120">
        <f t="shared" si="1"/>
        <v>23.19663025</v>
      </c>
      <c r="K85" s="121"/>
      <c r="L85" s="121">
        <v>-0.792</v>
      </c>
      <c r="M85" s="122"/>
      <c r="N85" s="120">
        <v>33.5</v>
      </c>
      <c r="O85" s="120">
        <v>15.271265945945943</v>
      </c>
      <c r="P85" s="123">
        <v>8.20173192951951</v>
      </c>
      <c r="Q85" s="120">
        <v>1.2857142857142858</v>
      </c>
      <c r="R85" s="120">
        <v>0.5370695499999999</v>
      </c>
      <c r="S85" s="120">
        <v>203.36249999999998</v>
      </c>
      <c r="T85" s="124">
        <v>41.3</v>
      </c>
      <c r="AA85" s="15"/>
      <c r="AB85" s="15"/>
      <c r="AC85" s="15"/>
      <c r="AD85" s="15"/>
      <c r="AE85" s="15"/>
    </row>
    <row r="86" ht="14.25" customHeight="1">
      <c r="A86" s="134" t="s">
        <v>249</v>
      </c>
      <c r="B86" s="3" t="s">
        <v>257</v>
      </c>
      <c r="C86" s="3" t="s">
        <v>143</v>
      </c>
      <c r="D86" s="135" t="s">
        <v>240</v>
      </c>
      <c r="E86" s="48">
        <v>1.0</v>
      </c>
      <c r="F86" s="136" t="s">
        <v>232</v>
      </c>
      <c r="G86" s="137">
        <v>18.4478849</v>
      </c>
      <c r="H86" s="137">
        <v>0.31890489</v>
      </c>
      <c r="I86" s="137">
        <v>7.53742028</v>
      </c>
      <c r="J86" s="120">
        <f t="shared" si="1"/>
        <v>57.84760748</v>
      </c>
      <c r="K86" s="121">
        <v>-0.24</v>
      </c>
      <c r="L86" s="121">
        <v>-0.716</v>
      </c>
      <c r="M86" s="122">
        <v>0.476</v>
      </c>
      <c r="N86" s="120">
        <v>41.7</v>
      </c>
      <c r="O86" s="120">
        <v>15.83491655462185</v>
      </c>
      <c r="P86" s="123">
        <v>9.073533865130756</v>
      </c>
      <c r="Q86" s="120">
        <v>0.8571428571428571</v>
      </c>
      <c r="R86" s="120">
        <v>0.573008</v>
      </c>
      <c r="S86" s="120">
        <v>56.08636363636364</v>
      </c>
      <c r="T86" s="124">
        <v>3.9</v>
      </c>
      <c r="AA86" s="15"/>
      <c r="AB86" s="15"/>
      <c r="AC86" s="15"/>
      <c r="AD86" s="15"/>
      <c r="AE86" s="15"/>
    </row>
    <row r="87" ht="14.25" customHeight="1">
      <c r="A87" s="134" t="s">
        <v>249</v>
      </c>
      <c r="B87" s="3" t="s">
        <v>257</v>
      </c>
      <c r="C87" s="3" t="s">
        <v>143</v>
      </c>
      <c r="D87" s="135" t="s">
        <v>240</v>
      </c>
      <c r="E87" s="48">
        <v>2.0</v>
      </c>
      <c r="F87" s="136" t="s">
        <v>232</v>
      </c>
      <c r="G87" s="137">
        <v>21.3703903</v>
      </c>
      <c r="H87" s="137">
        <v>0.65770845</v>
      </c>
      <c r="I87" s="137">
        <v>9.12990855</v>
      </c>
      <c r="J87" s="120">
        <f t="shared" si="1"/>
        <v>32.49219362</v>
      </c>
      <c r="K87" s="121"/>
      <c r="L87" s="121">
        <v>-0.88</v>
      </c>
      <c r="M87" s="122"/>
      <c r="N87" s="120">
        <v>49.5</v>
      </c>
      <c r="O87" s="120">
        <v>15.21651425</v>
      </c>
      <c r="P87" s="123">
        <v>8.5012047874299</v>
      </c>
      <c r="Q87" s="120">
        <v>0.8571428571428571</v>
      </c>
      <c r="R87" s="120">
        <v>0.5586828</v>
      </c>
      <c r="S87" s="120">
        <v>61.05576923076923</v>
      </c>
      <c r="T87" s="124">
        <v>6.4</v>
      </c>
      <c r="AA87" s="15"/>
      <c r="AB87" s="15"/>
      <c r="AC87" s="15"/>
      <c r="AD87" s="15"/>
      <c r="AE87" s="15"/>
    </row>
    <row r="88" ht="14.25" customHeight="1">
      <c r="A88" s="134" t="s">
        <v>249</v>
      </c>
      <c r="B88" s="3" t="s">
        <v>257</v>
      </c>
      <c r="C88" s="3" t="s">
        <v>143</v>
      </c>
      <c r="D88" s="135" t="s">
        <v>240</v>
      </c>
      <c r="E88" s="48">
        <v>3.0</v>
      </c>
      <c r="F88" s="136" t="s">
        <v>232</v>
      </c>
      <c r="G88" s="137">
        <v>12.0070379</v>
      </c>
      <c r="H88" s="137">
        <v>0.24248146</v>
      </c>
      <c r="I88" s="137">
        <v>4.79112582</v>
      </c>
      <c r="J88" s="120">
        <f t="shared" si="1"/>
        <v>49.51734413</v>
      </c>
      <c r="K88" s="121">
        <v>-0.275</v>
      </c>
      <c r="L88" s="121">
        <v>-0.614</v>
      </c>
      <c r="M88" s="122">
        <v>0.339</v>
      </c>
      <c r="N88" s="120">
        <v>44.9</v>
      </c>
      <c r="O88" s="120">
        <v>14.13311451327434</v>
      </c>
      <c r="P88" s="123">
        <v>8.908226449124534</v>
      </c>
      <c r="Q88" s="120">
        <v>1.1428571428571428</v>
      </c>
      <c r="R88" s="120">
        <v>0.6303088000000001</v>
      </c>
      <c r="S88" s="120">
        <v>99.32075471698111</v>
      </c>
      <c r="T88" s="124">
        <v>7.2</v>
      </c>
      <c r="AA88" s="15"/>
      <c r="AB88" s="15"/>
      <c r="AC88" s="15"/>
      <c r="AD88" s="15"/>
      <c r="AE88" s="15"/>
    </row>
    <row r="89" ht="14.25" customHeight="1">
      <c r="A89" s="134" t="s">
        <v>249</v>
      </c>
      <c r="B89" s="3" t="s">
        <v>257</v>
      </c>
      <c r="C89" s="3" t="s">
        <v>143</v>
      </c>
      <c r="D89" s="135" t="s">
        <v>240</v>
      </c>
      <c r="E89" s="48">
        <v>4.0</v>
      </c>
      <c r="F89" s="136" t="s">
        <v>232</v>
      </c>
      <c r="G89" s="137">
        <v>12.2690054</v>
      </c>
      <c r="H89" s="137">
        <v>0.29107796</v>
      </c>
      <c r="I89" s="137">
        <v>6.1905401</v>
      </c>
      <c r="J89" s="120">
        <f t="shared" si="1"/>
        <v>42.15023838</v>
      </c>
      <c r="K89" s="121"/>
      <c r="L89" s="121">
        <v>-0.835</v>
      </c>
      <c r="M89" s="122"/>
      <c r="N89" s="120">
        <v>41.7</v>
      </c>
      <c r="O89" s="120">
        <v>11.154126306306306</v>
      </c>
      <c r="P89" s="123">
        <v>6.551188696687063</v>
      </c>
      <c r="Q89" s="120">
        <v>1.1428571428571428</v>
      </c>
      <c r="R89" s="120">
        <v>0.5873332</v>
      </c>
      <c r="S89" s="120">
        <v>186.4627659574468</v>
      </c>
      <c r="T89" s="124">
        <v>10.6</v>
      </c>
      <c r="AA89" s="15"/>
      <c r="AB89" s="15"/>
      <c r="AC89" s="15"/>
      <c r="AD89" s="15"/>
      <c r="AE89" s="15"/>
    </row>
    <row r="90" ht="14.25" customHeight="1">
      <c r="A90" s="134" t="s">
        <v>249</v>
      </c>
      <c r="B90" s="3" t="s">
        <v>257</v>
      </c>
      <c r="C90" s="3" t="s">
        <v>143</v>
      </c>
      <c r="D90" s="135" t="s">
        <v>240</v>
      </c>
      <c r="E90" s="48">
        <v>5.0</v>
      </c>
      <c r="F90" s="136" t="s">
        <v>232</v>
      </c>
      <c r="G90" s="137">
        <v>18.9402145</v>
      </c>
      <c r="H90" s="137">
        <v>0.45749457</v>
      </c>
      <c r="I90" s="137">
        <v>5.8332366</v>
      </c>
      <c r="J90" s="120">
        <f t="shared" si="1"/>
        <v>41.39986733</v>
      </c>
      <c r="K90" s="121">
        <v>-0.321</v>
      </c>
      <c r="L90" s="121">
        <v>-0.755</v>
      </c>
      <c r="M90" s="122">
        <v>0.434</v>
      </c>
      <c r="N90" s="120">
        <v>31.2</v>
      </c>
      <c r="O90" s="120">
        <v>13.440637327188941</v>
      </c>
      <c r="P90" s="123">
        <v>9.04937143845401</v>
      </c>
      <c r="Q90" s="120">
        <v>1.2857142857142858</v>
      </c>
      <c r="R90" s="120">
        <v>0.6732844</v>
      </c>
      <c r="S90" s="120">
        <v>116.2019230769231</v>
      </c>
      <c r="T90" s="124">
        <v>8.1</v>
      </c>
      <c r="AA90" s="15"/>
      <c r="AB90" s="15"/>
      <c r="AC90" s="15"/>
      <c r="AD90" s="15"/>
      <c r="AE90" s="15"/>
    </row>
    <row r="91" ht="14.25" customHeight="1">
      <c r="A91" s="134" t="s">
        <v>249</v>
      </c>
      <c r="B91" s="3" t="s">
        <v>257</v>
      </c>
      <c r="C91" s="3" t="s">
        <v>143</v>
      </c>
      <c r="D91" s="135" t="s">
        <v>240</v>
      </c>
      <c r="E91" s="48">
        <v>6.0</v>
      </c>
      <c r="F91" s="136" t="s">
        <v>232</v>
      </c>
      <c r="G91" s="137">
        <v>15.5959679</v>
      </c>
      <c r="H91" s="137">
        <v>0.49510186</v>
      </c>
      <c r="I91" s="137">
        <v>9.54235094</v>
      </c>
      <c r="J91" s="120">
        <f t="shared" si="1"/>
        <v>31.50052375</v>
      </c>
      <c r="K91" s="121"/>
      <c r="L91" s="121">
        <v>-0.672</v>
      </c>
      <c r="M91" s="122"/>
      <c r="N91" s="120">
        <v>40.8</v>
      </c>
      <c r="O91" s="120">
        <v>24.34273198979592</v>
      </c>
      <c r="P91" s="123">
        <v>14.646009180609429</v>
      </c>
      <c r="Q91" s="120">
        <v>1.1428571428571428</v>
      </c>
      <c r="R91" s="120">
        <v>0.6016584</v>
      </c>
      <c r="S91" s="120">
        <v>70.26101694915255</v>
      </c>
      <c r="T91" s="124">
        <v>8.3</v>
      </c>
      <c r="AA91" s="15"/>
      <c r="AB91" s="15"/>
      <c r="AC91" s="15"/>
      <c r="AD91" s="15"/>
      <c r="AE91" s="15"/>
    </row>
    <row r="92" ht="14.25" customHeight="1">
      <c r="A92" s="134" t="s">
        <v>244</v>
      </c>
      <c r="B92" s="3" t="s">
        <v>250</v>
      </c>
      <c r="C92" s="3" t="s">
        <v>164</v>
      </c>
      <c r="D92" s="3" t="s">
        <v>251</v>
      </c>
      <c r="E92" s="48">
        <v>1.0</v>
      </c>
      <c r="F92" s="136" t="s">
        <v>232</v>
      </c>
      <c r="G92" s="137">
        <v>22.0314786</v>
      </c>
      <c r="H92" s="137">
        <v>0.46723691</v>
      </c>
      <c r="I92" s="137">
        <v>8.15135222</v>
      </c>
      <c r="J92" s="120">
        <f t="shared" si="1"/>
        <v>47.15269305</v>
      </c>
      <c r="K92" s="121">
        <v>-0.18</v>
      </c>
      <c r="L92" s="121">
        <v>-0.587</v>
      </c>
      <c r="M92" s="122">
        <v>0.407</v>
      </c>
      <c r="N92" s="120">
        <v>39.6</v>
      </c>
      <c r="O92" s="120">
        <v>20.027892432432434</v>
      </c>
      <c r="P92" s="123">
        <v>7.655834122172218</v>
      </c>
      <c r="Q92" s="120">
        <v>1.0</v>
      </c>
      <c r="R92" s="120">
        <v>0.38225860000000006</v>
      </c>
      <c r="S92" s="120">
        <v>113.8</v>
      </c>
      <c r="T92" s="124">
        <v>1.1</v>
      </c>
      <c r="AA92" s="15"/>
      <c r="AB92" s="15"/>
      <c r="AC92" s="15"/>
      <c r="AD92" s="15"/>
      <c r="AE92" s="15"/>
    </row>
    <row r="93" ht="14.25" customHeight="1">
      <c r="A93" s="134" t="s">
        <v>244</v>
      </c>
      <c r="B93" s="3" t="s">
        <v>250</v>
      </c>
      <c r="C93" s="3" t="s">
        <v>164</v>
      </c>
      <c r="D93" s="3" t="s">
        <v>251</v>
      </c>
      <c r="E93" s="48">
        <v>2.0</v>
      </c>
      <c r="F93" s="136" t="s">
        <v>232</v>
      </c>
      <c r="G93" s="137">
        <v>19.2308371</v>
      </c>
      <c r="H93" s="137">
        <v>0.64399367</v>
      </c>
      <c r="I93" s="137">
        <v>9.5839906</v>
      </c>
      <c r="J93" s="120">
        <f t="shared" si="1"/>
        <v>29.86184181</v>
      </c>
      <c r="K93" s="121"/>
      <c r="L93" s="121">
        <v>-0.764</v>
      </c>
      <c r="M93" s="122"/>
      <c r="N93" s="120">
        <v>40.9</v>
      </c>
      <c r="O93" s="120">
        <v>19.40079068825911</v>
      </c>
      <c r="P93" s="123">
        <v>9.038395137752865</v>
      </c>
      <c r="Q93" s="120">
        <v>1.0</v>
      </c>
      <c r="R93" s="120">
        <v>0.4658776687500001</v>
      </c>
      <c r="S93" s="120">
        <v>207.7951807228916</v>
      </c>
      <c r="T93" s="124">
        <v>25.9</v>
      </c>
      <c r="AA93" s="15"/>
      <c r="AB93" s="15"/>
      <c r="AC93" s="15"/>
      <c r="AD93" s="15"/>
      <c r="AE93" s="15"/>
    </row>
    <row r="94" ht="14.25" customHeight="1">
      <c r="A94" s="134" t="s">
        <v>244</v>
      </c>
      <c r="B94" s="3" t="s">
        <v>250</v>
      </c>
      <c r="C94" s="3" t="s">
        <v>164</v>
      </c>
      <c r="D94" s="3" t="s">
        <v>251</v>
      </c>
      <c r="E94" s="48">
        <v>3.0</v>
      </c>
      <c r="F94" s="136" t="s">
        <v>232</v>
      </c>
      <c r="G94" s="137">
        <v>14.4132886</v>
      </c>
      <c r="H94" s="137">
        <v>0.46615515</v>
      </c>
      <c r="I94" s="137">
        <v>8.51565566</v>
      </c>
      <c r="J94" s="120">
        <f t="shared" si="1"/>
        <v>30.91950952</v>
      </c>
      <c r="K94" s="121">
        <v>-0.297</v>
      </c>
      <c r="L94" s="121">
        <v>-0.62</v>
      </c>
      <c r="M94" s="122">
        <v>0.323</v>
      </c>
      <c r="N94" s="120">
        <v>43.7</v>
      </c>
      <c r="O94" s="120">
        <v>26.364259009287924</v>
      </c>
      <c r="P94" s="123">
        <v>13.542265117934221</v>
      </c>
      <c r="Q94" s="120">
        <v>1.0</v>
      </c>
      <c r="R94" s="120">
        <v>0.5136599937500002</v>
      </c>
      <c r="S94" s="120">
        <v>129.84057971014494</v>
      </c>
      <c r="T94" s="124">
        <v>20.2</v>
      </c>
      <c r="AA94" s="15"/>
      <c r="AB94" s="15"/>
      <c r="AC94" s="15"/>
      <c r="AD94" s="15"/>
      <c r="AE94" s="15"/>
    </row>
    <row r="95" ht="14.25" customHeight="1">
      <c r="A95" s="134" t="s">
        <v>244</v>
      </c>
      <c r="B95" s="3" t="s">
        <v>250</v>
      </c>
      <c r="C95" s="3" t="s">
        <v>164</v>
      </c>
      <c r="D95" s="3" t="s">
        <v>251</v>
      </c>
      <c r="E95" s="48">
        <v>4.0</v>
      </c>
      <c r="F95" s="136" t="s">
        <v>232</v>
      </c>
      <c r="G95" s="137">
        <v>17.9173309</v>
      </c>
      <c r="H95" s="137">
        <v>0.51631674</v>
      </c>
      <c r="I95" s="137">
        <v>9.32150669</v>
      </c>
      <c r="J95" s="120">
        <f t="shared" si="1"/>
        <v>34.70220799</v>
      </c>
      <c r="K95" s="121"/>
      <c r="L95" s="121">
        <v>-0.752</v>
      </c>
      <c r="M95" s="122"/>
      <c r="N95" s="120">
        <v>36.3</v>
      </c>
      <c r="O95" s="120">
        <v>19.339225497925312</v>
      </c>
      <c r="P95" s="123">
        <v>8.778695000906465</v>
      </c>
      <c r="Q95" s="120">
        <v>1.1428571428571428</v>
      </c>
      <c r="R95" s="120">
        <v>0.45393208750000014</v>
      </c>
      <c r="S95" s="120">
        <v>121.31864406779661</v>
      </c>
      <c r="T95" s="124">
        <v>22.6</v>
      </c>
      <c r="AA95" s="15"/>
      <c r="AB95" s="15"/>
      <c r="AC95" s="15"/>
      <c r="AD95" s="15"/>
      <c r="AE95" s="15"/>
    </row>
    <row r="96" ht="14.25" customHeight="1">
      <c r="A96" s="134" t="s">
        <v>244</v>
      </c>
      <c r="B96" s="3" t="s">
        <v>250</v>
      </c>
      <c r="C96" s="3" t="s">
        <v>164</v>
      </c>
      <c r="D96" s="3" t="s">
        <v>251</v>
      </c>
      <c r="E96" s="48">
        <v>5.0</v>
      </c>
      <c r="F96" s="136" t="s">
        <v>232</v>
      </c>
      <c r="G96" s="137">
        <v>16.9811759</v>
      </c>
      <c r="H96" s="137">
        <v>0.29917668</v>
      </c>
      <c r="I96" s="137">
        <v>5.82883336</v>
      </c>
      <c r="J96" s="120">
        <f t="shared" si="1"/>
        <v>56.75969096</v>
      </c>
      <c r="K96" s="121">
        <v>-0.32</v>
      </c>
      <c r="L96" s="121">
        <v>-0.68</v>
      </c>
      <c r="M96" s="122">
        <v>0.36</v>
      </c>
      <c r="N96" s="120">
        <v>37.3</v>
      </c>
      <c r="O96" s="120">
        <v>16.191203777777776</v>
      </c>
      <c r="P96" s="123">
        <v>7.929946950772808</v>
      </c>
      <c r="Q96" s="120">
        <v>1.1428571428571428</v>
      </c>
      <c r="R96" s="120">
        <v>0.48976883125000015</v>
      </c>
      <c r="S96" s="120">
        <v>173.25479452054796</v>
      </c>
      <c r="T96" s="124">
        <v>10.6</v>
      </c>
      <c r="AA96" s="15"/>
      <c r="AB96" s="15"/>
      <c r="AC96" s="15"/>
      <c r="AD96" s="15"/>
      <c r="AE96" s="15"/>
    </row>
    <row r="97" ht="14.25" customHeight="1">
      <c r="A97" s="153" t="s">
        <v>244</v>
      </c>
      <c r="B97" s="154" t="s">
        <v>250</v>
      </c>
      <c r="C97" s="154" t="s">
        <v>164</v>
      </c>
      <c r="D97" s="154" t="s">
        <v>251</v>
      </c>
      <c r="E97" s="155">
        <v>6.0</v>
      </c>
      <c r="F97" s="156" t="s">
        <v>232</v>
      </c>
      <c r="G97" s="157">
        <v>14.5525164</v>
      </c>
      <c r="H97" s="157">
        <v>0.53229406</v>
      </c>
      <c r="I97" s="157">
        <v>9.40803153</v>
      </c>
      <c r="J97" s="120">
        <f t="shared" si="1"/>
        <v>27.33924252</v>
      </c>
      <c r="K97" s="158"/>
      <c r="L97" s="158">
        <v>-0.865</v>
      </c>
      <c r="M97" s="159"/>
      <c r="N97" s="120">
        <v>40.3</v>
      </c>
      <c r="O97" s="120">
        <v>15.811817697478993</v>
      </c>
      <c r="P97" s="123">
        <v>8.68854223870947</v>
      </c>
      <c r="Q97" s="120">
        <v>1.1428571428571428</v>
      </c>
      <c r="R97" s="120">
        <v>0.5494967375</v>
      </c>
      <c r="S97" s="120">
        <v>234.0375</v>
      </c>
      <c r="T97" s="124">
        <v>28.1</v>
      </c>
      <c r="AA97" s="15"/>
      <c r="AB97" s="15"/>
      <c r="AC97" s="15"/>
      <c r="AD97" s="15"/>
      <c r="AE97" s="15"/>
    </row>
    <row r="98" ht="15.0" customHeight="1">
      <c r="A98" s="115" t="s">
        <v>238</v>
      </c>
      <c r="B98" s="116" t="s">
        <v>239</v>
      </c>
      <c r="C98" s="116" t="s">
        <v>5</v>
      </c>
      <c r="D98" s="116" t="s">
        <v>240</v>
      </c>
      <c r="E98" s="117">
        <v>1.0</v>
      </c>
      <c r="F98" s="160" t="s">
        <v>233</v>
      </c>
      <c r="G98" s="119">
        <v>10.9409172</v>
      </c>
      <c r="H98" s="119">
        <v>0.15764681</v>
      </c>
      <c r="I98" s="119">
        <v>4.7621658</v>
      </c>
      <c r="J98" s="120">
        <f t="shared" si="1"/>
        <v>69.40144999</v>
      </c>
      <c r="K98" s="121">
        <v>-0.492</v>
      </c>
      <c r="L98" s="121">
        <v>-1.25</v>
      </c>
      <c r="M98" s="122">
        <v>0.758</v>
      </c>
      <c r="N98" s="120">
        <v>42.7</v>
      </c>
      <c r="O98" s="120">
        <v>6.282540633245382</v>
      </c>
      <c r="P98" s="123">
        <v>4.315405225886003</v>
      </c>
      <c r="Q98" s="120">
        <v>0.2857142857142857</v>
      </c>
      <c r="R98" s="120">
        <v>0.6868885500000002</v>
      </c>
      <c r="S98" s="15"/>
      <c r="T98" s="161"/>
      <c r="AA98" s="15"/>
      <c r="AB98" s="15"/>
      <c r="AC98" s="15"/>
      <c r="AD98" s="15"/>
      <c r="AE98" s="15"/>
    </row>
    <row r="99" ht="15.0" customHeight="1">
      <c r="A99" s="134" t="s">
        <v>238</v>
      </c>
      <c r="B99" s="135" t="s">
        <v>239</v>
      </c>
      <c r="C99" s="135" t="s">
        <v>5</v>
      </c>
      <c r="D99" s="135" t="s">
        <v>240</v>
      </c>
      <c r="E99" s="8">
        <v>2.0</v>
      </c>
      <c r="F99" s="162" t="s">
        <v>233</v>
      </c>
      <c r="G99" s="137">
        <v>11.7760705</v>
      </c>
      <c r="H99" s="137">
        <v>0.19673413</v>
      </c>
      <c r="I99" s="137">
        <v>4.32300665</v>
      </c>
      <c r="J99" s="120">
        <f t="shared" si="1"/>
        <v>59.85779132</v>
      </c>
      <c r="K99" s="121"/>
      <c r="L99" s="121">
        <v>-1.023</v>
      </c>
      <c r="M99" s="122"/>
      <c r="N99" s="120">
        <v>23.1</v>
      </c>
      <c r="O99" s="120">
        <v>8.070279556443335</v>
      </c>
      <c r="P99" s="123">
        <v>7.784324533891924</v>
      </c>
      <c r="Q99" s="120">
        <v>1.1428571428571428</v>
      </c>
      <c r="R99" s="120">
        <v>0.9645669000000001</v>
      </c>
      <c r="S99" s="15"/>
      <c r="T99" s="161"/>
      <c r="AA99" s="15"/>
      <c r="AB99" s="15"/>
      <c r="AC99" s="15"/>
      <c r="AD99" s="15"/>
      <c r="AE99" s="15"/>
    </row>
    <row r="100" ht="15.0" customHeight="1">
      <c r="A100" s="134" t="s">
        <v>238</v>
      </c>
      <c r="B100" s="135" t="s">
        <v>239</v>
      </c>
      <c r="C100" s="135" t="s">
        <v>5</v>
      </c>
      <c r="D100" s="135" t="s">
        <v>240</v>
      </c>
      <c r="E100" s="8">
        <v>3.0</v>
      </c>
      <c r="F100" s="162" t="s">
        <v>233</v>
      </c>
      <c r="G100" s="137">
        <v>6.39026485</v>
      </c>
      <c r="H100" s="137">
        <v>0.10529625</v>
      </c>
      <c r="I100" s="137">
        <v>4.07738301</v>
      </c>
      <c r="J100" s="120">
        <f t="shared" si="1"/>
        <v>60.68843715</v>
      </c>
      <c r="K100" s="121">
        <v>-0.452</v>
      </c>
      <c r="L100" s="121">
        <v>-1.24</v>
      </c>
      <c r="M100" s="122">
        <v>0.788</v>
      </c>
      <c r="N100" s="120">
        <v>44.0</v>
      </c>
      <c r="O100" s="120">
        <v>5.174343921319797</v>
      </c>
      <c r="P100" s="123">
        <v>5.21786455189043</v>
      </c>
      <c r="Q100" s="120">
        <v>1.0</v>
      </c>
      <c r="R100" s="120">
        <v>1.0084108500000002</v>
      </c>
      <c r="S100" s="15"/>
      <c r="T100" s="161"/>
      <c r="AA100" s="15"/>
      <c r="AB100" s="15"/>
      <c r="AC100" s="15"/>
      <c r="AD100" s="15"/>
      <c r="AE100" s="15"/>
    </row>
    <row r="101" ht="15.0" customHeight="1">
      <c r="A101" s="134" t="s">
        <v>238</v>
      </c>
      <c r="B101" s="135" t="s">
        <v>239</v>
      </c>
      <c r="C101" s="135" t="s">
        <v>5</v>
      </c>
      <c r="D101" s="135" t="s">
        <v>240</v>
      </c>
      <c r="E101" s="8">
        <v>4.0</v>
      </c>
      <c r="F101" s="162" t="s">
        <v>233</v>
      </c>
      <c r="G101" s="137">
        <v>8.52810569</v>
      </c>
      <c r="H101" s="137">
        <v>0.15501968</v>
      </c>
      <c r="I101" s="137">
        <v>5.2055904</v>
      </c>
      <c r="J101" s="120">
        <f t="shared" si="1"/>
        <v>55.01305183</v>
      </c>
      <c r="K101" s="121"/>
      <c r="L101" s="121">
        <v>-1.12</v>
      </c>
      <c r="M101" s="122"/>
      <c r="N101" s="120">
        <v>37.2</v>
      </c>
      <c r="O101" s="120">
        <v>8.227970980131822</v>
      </c>
      <c r="P101" s="123">
        <v>6.974437132917446</v>
      </c>
      <c r="Q101" s="120">
        <v>0.7142857142857143</v>
      </c>
      <c r="R101" s="120">
        <v>0.8476497000000002</v>
      </c>
      <c r="S101" s="15"/>
      <c r="T101" s="161"/>
      <c r="AA101" s="15"/>
      <c r="AB101" s="15"/>
      <c r="AC101" s="15"/>
      <c r="AD101" s="15"/>
      <c r="AE101" s="15"/>
    </row>
    <row r="102" ht="15.0" customHeight="1">
      <c r="A102" s="134" t="s">
        <v>238</v>
      </c>
      <c r="B102" s="135" t="s">
        <v>239</v>
      </c>
      <c r="C102" s="135" t="s">
        <v>5</v>
      </c>
      <c r="D102" s="135" t="s">
        <v>240</v>
      </c>
      <c r="E102" s="8">
        <v>5.0</v>
      </c>
      <c r="F102" s="162" t="s">
        <v>233</v>
      </c>
      <c r="G102" s="137">
        <v>3.1916602</v>
      </c>
      <c r="H102" s="137">
        <v>0.04695032</v>
      </c>
      <c r="I102" s="137">
        <v>2.30901671</v>
      </c>
      <c r="J102" s="120">
        <f t="shared" si="1"/>
        <v>67.97951963</v>
      </c>
      <c r="K102" s="121">
        <v>-0.518</v>
      </c>
      <c r="L102" s="121">
        <v>-1.223</v>
      </c>
      <c r="M102" s="122">
        <v>0.705</v>
      </c>
      <c r="N102" s="120">
        <v>56.7</v>
      </c>
      <c r="O102" s="120">
        <v>3.275201007092198</v>
      </c>
      <c r="P102" s="123">
        <v>2.6326254019065005</v>
      </c>
      <c r="Q102" s="120">
        <v>0.42857142857142855</v>
      </c>
      <c r="R102" s="120">
        <v>0.8038057500000002</v>
      </c>
      <c r="S102" s="15"/>
      <c r="T102" s="161"/>
      <c r="AA102" s="15"/>
      <c r="AB102" s="15"/>
      <c r="AC102" s="15"/>
      <c r="AD102" s="15"/>
      <c r="AE102" s="15"/>
    </row>
    <row r="103" ht="15.0" customHeight="1">
      <c r="A103" s="134" t="s">
        <v>238</v>
      </c>
      <c r="B103" s="135" t="s">
        <v>239</v>
      </c>
      <c r="C103" s="135" t="s">
        <v>5</v>
      </c>
      <c r="D103" s="135" t="s">
        <v>240</v>
      </c>
      <c r="E103" s="8">
        <v>6.0</v>
      </c>
      <c r="F103" s="162" t="s">
        <v>233</v>
      </c>
      <c r="G103" s="137">
        <v>6.22875142</v>
      </c>
      <c r="H103" s="137">
        <v>0.10421385</v>
      </c>
      <c r="I103" s="137">
        <v>4.55797172</v>
      </c>
      <c r="J103" s="120">
        <f t="shared" si="1"/>
        <v>59.76894069</v>
      </c>
      <c r="K103" s="121"/>
      <c r="L103" s="121">
        <v>-1.097</v>
      </c>
      <c r="M103" s="122"/>
      <c r="N103" s="120">
        <v>46.5</v>
      </c>
      <c r="O103" s="120">
        <v>7.476129250250136</v>
      </c>
      <c r="P103" s="123">
        <v>7.211226814913099</v>
      </c>
      <c r="Q103" s="120">
        <v>0.8571428571428571</v>
      </c>
      <c r="R103" s="120">
        <v>0.9645669000000001</v>
      </c>
      <c r="S103" s="15"/>
      <c r="T103" s="161"/>
      <c r="AA103" s="15"/>
      <c r="AB103" s="15"/>
      <c r="AC103" s="15"/>
      <c r="AD103" s="15"/>
      <c r="AE103" s="15"/>
    </row>
    <row r="104" ht="15.0" customHeight="1">
      <c r="A104" s="134" t="s">
        <v>244</v>
      </c>
      <c r="B104" s="3" t="s">
        <v>239</v>
      </c>
      <c r="C104" s="3" t="s">
        <v>30</v>
      </c>
      <c r="D104" s="135" t="s">
        <v>240</v>
      </c>
      <c r="E104" s="8">
        <v>1.0</v>
      </c>
      <c r="F104" s="162" t="s">
        <v>233</v>
      </c>
      <c r="G104" s="137">
        <v>10.7546004</v>
      </c>
      <c r="H104" s="137">
        <v>0.17531878</v>
      </c>
      <c r="I104" s="137">
        <v>5.27450417</v>
      </c>
      <c r="J104" s="120">
        <f t="shared" si="1"/>
        <v>61.34311681</v>
      </c>
      <c r="K104" s="121">
        <v>-0.53</v>
      </c>
      <c r="L104" s="121">
        <v>-1.15</v>
      </c>
      <c r="M104" s="122">
        <v>0.62</v>
      </c>
      <c r="N104" s="120">
        <v>45.7</v>
      </c>
      <c r="O104" s="120">
        <v>8.507264790322582</v>
      </c>
      <c r="P104" s="123">
        <v>6.713857657865948</v>
      </c>
      <c r="Q104" s="120">
        <v>0.0</v>
      </c>
      <c r="R104" s="120">
        <v>0.7891911000000001</v>
      </c>
      <c r="S104" s="15"/>
      <c r="T104" s="161"/>
      <c r="AA104" s="15"/>
      <c r="AB104" s="15"/>
      <c r="AC104" s="15"/>
      <c r="AD104" s="15"/>
      <c r="AE104" s="15"/>
    </row>
    <row r="105" ht="15.0" customHeight="1">
      <c r="A105" s="134" t="s">
        <v>244</v>
      </c>
      <c r="B105" s="3" t="s">
        <v>239</v>
      </c>
      <c r="C105" s="3" t="s">
        <v>30</v>
      </c>
      <c r="D105" s="135" t="s">
        <v>240</v>
      </c>
      <c r="E105" s="8">
        <v>2.0</v>
      </c>
      <c r="F105" s="162" t="s">
        <v>233</v>
      </c>
      <c r="G105" s="137">
        <v>11.3998279</v>
      </c>
      <c r="H105" s="137">
        <v>0.23838655</v>
      </c>
      <c r="I105" s="137">
        <v>5.0984032</v>
      </c>
      <c r="J105" s="120">
        <f t="shared" si="1"/>
        <v>47.82076799</v>
      </c>
      <c r="K105" s="121"/>
      <c r="L105" s="121">
        <v>-1.142</v>
      </c>
      <c r="M105" s="122"/>
      <c r="N105" s="120">
        <v>40.5</v>
      </c>
      <c r="O105" s="120">
        <v>7.153980168381663</v>
      </c>
      <c r="P105" s="123">
        <v>6.900492473677379</v>
      </c>
      <c r="Q105" s="120">
        <v>0.7142857142857143</v>
      </c>
      <c r="R105" s="120">
        <v>0.9645669000000001</v>
      </c>
      <c r="S105" s="15"/>
      <c r="T105" s="161"/>
      <c r="AA105" s="15"/>
      <c r="AB105" s="15"/>
      <c r="AC105" s="15"/>
      <c r="AD105" s="15"/>
      <c r="AE105" s="15"/>
    </row>
    <row r="106" ht="15.0" customHeight="1">
      <c r="A106" s="134" t="s">
        <v>244</v>
      </c>
      <c r="B106" s="3" t="s">
        <v>239</v>
      </c>
      <c r="C106" s="3" t="s">
        <v>30</v>
      </c>
      <c r="D106" s="135" t="s">
        <v>240</v>
      </c>
      <c r="E106" s="8">
        <v>3.0</v>
      </c>
      <c r="F106" s="162" t="s">
        <v>233</v>
      </c>
      <c r="G106" s="137">
        <v>7.95777516</v>
      </c>
      <c r="H106" s="137">
        <v>0.10291853</v>
      </c>
      <c r="I106" s="137">
        <v>4.13817536</v>
      </c>
      <c r="J106" s="120">
        <f t="shared" si="1"/>
        <v>77.32111176</v>
      </c>
      <c r="K106" s="121">
        <v>-0.35</v>
      </c>
      <c r="L106" s="121">
        <v>-1.237</v>
      </c>
      <c r="M106" s="122">
        <v>0.887</v>
      </c>
      <c r="N106" s="120">
        <v>48.4</v>
      </c>
      <c r="O106" s="120">
        <v>4.665361172491544</v>
      </c>
      <c r="P106" s="123">
        <v>4.431870342870981</v>
      </c>
      <c r="Q106" s="120">
        <v>0.7142857142857143</v>
      </c>
      <c r="R106" s="120">
        <v>0.9499522500000003</v>
      </c>
      <c r="S106" s="15"/>
      <c r="T106" s="161"/>
      <c r="AA106" s="15"/>
      <c r="AB106" s="15"/>
      <c r="AC106" s="15"/>
      <c r="AD106" s="15"/>
      <c r="AE106" s="15"/>
    </row>
    <row r="107" ht="15.0" customHeight="1">
      <c r="A107" s="134" t="s">
        <v>244</v>
      </c>
      <c r="B107" s="3" t="s">
        <v>239</v>
      </c>
      <c r="C107" s="3" t="s">
        <v>30</v>
      </c>
      <c r="D107" s="135" t="s">
        <v>240</v>
      </c>
      <c r="E107" s="8">
        <v>4.0</v>
      </c>
      <c r="F107" s="162" t="s">
        <v>233</v>
      </c>
      <c r="G107" s="137">
        <v>10.5160495</v>
      </c>
      <c r="H107" s="137">
        <v>0.16584517</v>
      </c>
      <c r="I107" s="137">
        <v>5.44197572</v>
      </c>
      <c r="J107" s="120">
        <f t="shared" si="1"/>
        <v>63.40883789</v>
      </c>
      <c r="K107" s="121"/>
      <c r="L107" s="121">
        <v>-1.125</v>
      </c>
      <c r="M107" s="122"/>
      <c r="N107" s="120">
        <v>47.6</v>
      </c>
      <c r="O107" s="120">
        <v>7.822677125059891</v>
      </c>
      <c r="P107" s="123">
        <v>6.173587165270854</v>
      </c>
      <c r="Q107" s="120">
        <v>0.5714285714285714</v>
      </c>
      <c r="R107" s="120">
        <v>0.7891911000000001</v>
      </c>
      <c r="S107" s="15"/>
      <c r="T107" s="161"/>
      <c r="AA107" s="15"/>
      <c r="AB107" s="15"/>
      <c r="AC107" s="15"/>
      <c r="AD107" s="15"/>
      <c r="AE107" s="15"/>
    </row>
    <row r="108" ht="15.0" customHeight="1">
      <c r="A108" s="134" t="s">
        <v>244</v>
      </c>
      <c r="B108" s="3" t="s">
        <v>239</v>
      </c>
      <c r="C108" s="3" t="s">
        <v>30</v>
      </c>
      <c r="D108" s="135" t="s">
        <v>240</v>
      </c>
      <c r="E108" s="8">
        <v>5.0</v>
      </c>
      <c r="F108" s="162" t="s">
        <v>233</v>
      </c>
      <c r="G108" s="137">
        <v>8.84876193</v>
      </c>
      <c r="H108" s="137">
        <v>0.1649857</v>
      </c>
      <c r="I108" s="137">
        <v>5.84050306</v>
      </c>
      <c r="J108" s="120">
        <f t="shared" si="1"/>
        <v>53.63350842</v>
      </c>
      <c r="K108" s="121">
        <v>-0.408</v>
      </c>
      <c r="L108" s="121">
        <v>-1.22</v>
      </c>
      <c r="M108" s="122">
        <v>0.812</v>
      </c>
      <c r="N108" s="120">
        <v>45.6</v>
      </c>
      <c r="O108" s="120">
        <v>7.192737758620689</v>
      </c>
      <c r="P108" s="123">
        <v>7.148115452113758</v>
      </c>
      <c r="Q108" s="120">
        <v>0.8571428571428571</v>
      </c>
      <c r="R108" s="120">
        <v>0.9937962000000001</v>
      </c>
      <c r="S108" s="15"/>
      <c r="T108" s="161"/>
      <c r="AA108" s="15"/>
      <c r="AB108" s="15"/>
      <c r="AC108" s="15"/>
      <c r="AD108" s="15"/>
      <c r="AE108" s="15"/>
    </row>
    <row r="109" ht="15.0" customHeight="1">
      <c r="A109" s="134" t="s">
        <v>244</v>
      </c>
      <c r="B109" s="3" t="s">
        <v>239</v>
      </c>
      <c r="C109" s="3" t="s">
        <v>30</v>
      </c>
      <c r="D109" s="135" t="s">
        <v>240</v>
      </c>
      <c r="E109" s="8">
        <v>6.0</v>
      </c>
      <c r="F109" s="162" t="s">
        <v>233</v>
      </c>
      <c r="G109" s="137">
        <v>7.33879704</v>
      </c>
      <c r="H109" s="137">
        <v>0.10560734</v>
      </c>
      <c r="I109" s="137">
        <v>4.47720808</v>
      </c>
      <c r="J109" s="120">
        <f t="shared" si="1"/>
        <v>69.49135392</v>
      </c>
      <c r="K109" s="121"/>
      <c r="L109" s="121">
        <v>-1.14</v>
      </c>
      <c r="M109" s="122"/>
      <c r="N109" s="120">
        <v>47.8</v>
      </c>
      <c r="O109" s="120">
        <v>6.300011369606001</v>
      </c>
      <c r="P109" s="123">
        <v>6.721289664885303</v>
      </c>
      <c r="Q109" s="120">
        <v>0.8571428571428571</v>
      </c>
      <c r="R109" s="120">
        <v>1.0668694500000002</v>
      </c>
      <c r="S109" s="15"/>
      <c r="T109" s="161"/>
      <c r="AA109" s="15"/>
      <c r="AB109" s="15"/>
      <c r="AC109" s="15"/>
      <c r="AD109" s="15"/>
      <c r="AE109" s="15"/>
    </row>
    <row r="110" ht="15.0" customHeight="1">
      <c r="A110" s="134" t="s">
        <v>249</v>
      </c>
      <c r="B110" s="3" t="s">
        <v>250</v>
      </c>
      <c r="C110" s="3" t="s">
        <v>42</v>
      </c>
      <c r="D110" s="3" t="s">
        <v>251</v>
      </c>
      <c r="E110" s="8">
        <v>1.0</v>
      </c>
      <c r="F110" s="162" t="s">
        <v>233</v>
      </c>
      <c r="G110" s="137">
        <v>7.87537029</v>
      </c>
      <c r="H110" s="137">
        <v>0.1528763</v>
      </c>
      <c r="I110" s="137">
        <v>4.57560118</v>
      </c>
      <c r="J110" s="120">
        <f t="shared" si="1"/>
        <v>51.51465786</v>
      </c>
      <c r="K110" s="121">
        <v>-0.378</v>
      </c>
      <c r="L110" s="121">
        <v>-1.128</v>
      </c>
      <c r="M110" s="122">
        <v>0.75</v>
      </c>
      <c r="N110" s="120">
        <v>39.9</v>
      </c>
      <c r="O110" s="120">
        <v>6.100801573333333</v>
      </c>
      <c r="P110" s="123">
        <v>6.687080978528702</v>
      </c>
      <c r="Q110" s="120">
        <v>0.7142857142857143</v>
      </c>
      <c r="R110" s="120">
        <v>1.0960987500000003</v>
      </c>
      <c r="S110" s="15"/>
      <c r="T110" s="161"/>
      <c r="AA110" s="15"/>
      <c r="AB110" s="15"/>
      <c r="AC110" s="15"/>
      <c r="AD110" s="15"/>
      <c r="AE110" s="15"/>
    </row>
    <row r="111" ht="15.0" customHeight="1">
      <c r="A111" s="134" t="s">
        <v>249</v>
      </c>
      <c r="B111" s="3" t="s">
        <v>250</v>
      </c>
      <c r="C111" s="3" t="s">
        <v>42</v>
      </c>
      <c r="D111" s="3" t="s">
        <v>251</v>
      </c>
      <c r="E111" s="8">
        <v>2.0</v>
      </c>
      <c r="F111" s="162" t="s">
        <v>233</v>
      </c>
      <c r="G111" s="137">
        <v>5.72744644</v>
      </c>
      <c r="H111" s="137">
        <v>0.07437795</v>
      </c>
      <c r="I111" s="137">
        <v>2.07476313</v>
      </c>
      <c r="J111" s="120">
        <f t="shared" si="1"/>
        <v>77.00462893</v>
      </c>
      <c r="K111" s="121"/>
      <c r="L111" s="121">
        <v>-1.087</v>
      </c>
      <c r="M111" s="122"/>
      <c r="N111" s="120">
        <v>29.5</v>
      </c>
      <c r="O111" s="120">
        <v>2.8151467164179107</v>
      </c>
      <c r="P111" s="123">
        <v>2.7565397252595005</v>
      </c>
      <c r="Q111" s="120">
        <v>0.8571428571428571</v>
      </c>
      <c r="R111" s="120">
        <v>0.9791815500000003</v>
      </c>
      <c r="S111" s="15"/>
      <c r="T111" s="161"/>
      <c r="AA111" s="15"/>
      <c r="AB111" s="15"/>
      <c r="AC111" s="15"/>
      <c r="AD111" s="15"/>
      <c r="AE111" s="15"/>
    </row>
    <row r="112" ht="15.0" customHeight="1">
      <c r="A112" s="134" t="s">
        <v>249</v>
      </c>
      <c r="B112" s="3" t="s">
        <v>250</v>
      </c>
      <c r="C112" s="3" t="s">
        <v>42</v>
      </c>
      <c r="D112" s="3" t="s">
        <v>251</v>
      </c>
      <c r="E112" s="8">
        <v>3.0</v>
      </c>
      <c r="F112" s="162" t="s">
        <v>233</v>
      </c>
      <c r="G112" s="137">
        <v>6.76604208</v>
      </c>
      <c r="H112" s="137">
        <v>0.09596353</v>
      </c>
      <c r="I112" s="137">
        <v>3.7830597</v>
      </c>
      <c r="J112" s="120">
        <f t="shared" si="1"/>
        <v>70.50639008</v>
      </c>
      <c r="K112" s="121">
        <v>-0.329</v>
      </c>
      <c r="L112" s="121">
        <v>-1.045</v>
      </c>
      <c r="M112" s="122">
        <v>0.716</v>
      </c>
      <c r="N112" s="120">
        <v>37.9</v>
      </c>
      <c r="O112" s="120">
        <v>5.283602932960894</v>
      </c>
      <c r="P112" s="123">
        <v>5.482478539897983</v>
      </c>
      <c r="Q112" s="120">
        <v>1.0</v>
      </c>
      <c r="R112" s="120">
        <v>1.03764015</v>
      </c>
      <c r="S112" s="15"/>
      <c r="T112" s="161"/>
      <c r="AA112" s="15"/>
      <c r="AB112" s="15"/>
      <c r="AC112" s="15"/>
      <c r="AD112" s="15"/>
      <c r="AE112" s="15"/>
    </row>
    <row r="113" ht="15.0" customHeight="1">
      <c r="A113" s="134" t="s">
        <v>249</v>
      </c>
      <c r="B113" s="3" t="s">
        <v>250</v>
      </c>
      <c r="C113" s="3" t="s">
        <v>42</v>
      </c>
      <c r="D113" s="3" t="s">
        <v>251</v>
      </c>
      <c r="E113" s="8">
        <v>4.0</v>
      </c>
      <c r="F113" s="162" t="s">
        <v>233</v>
      </c>
      <c r="G113" s="137">
        <v>8.48036344</v>
      </c>
      <c r="H113" s="137">
        <v>0.14711526</v>
      </c>
      <c r="I113" s="137">
        <v>5.05278481</v>
      </c>
      <c r="J113" s="120">
        <f t="shared" si="1"/>
        <v>57.64434934</v>
      </c>
      <c r="K113" s="121"/>
      <c r="L113" s="121">
        <v>-0.978</v>
      </c>
      <c r="M113" s="122"/>
      <c r="N113" s="120">
        <v>37.1</v>
      </c>
      <c r="O113" s="120">
        <v>8.045835684713376</v>
      </c>
      <c r="P113" s="123">
        <v>7.878333856802957</v>
      </c>
      <c r="Q113" s="120">
        <v>0.8571428571428571</v>
      </c>
      <c r="R113" s="120">
        <v>0.9791815500000003</v>
      </c>
      <c r="S113" s="15"/>
      <c r="T113" s="161"/>
      <c r="AA113" s="15"/>
      <c r="AB113" s="15"/>
      <c r="AC113" s="15"/>
      <c r="AD113" s="15"/>
      <c r="AE113" s="15"/>
    </row>
    <row r="114" ht="15.0" customHeight="1">
      <c r="A114" s="134" t="s">
        <v>249</v>
      </c>
      <c r="B114" s="3" t="s">
        <v>250</v>
      </c>
      <c r="C114" s="3" t="s">
        <v>42</v>
      </c>
      <c r="D114" s="3" t="s">
        <v>251</v>
      </c>
      <c r="E114" s="8">
        <v>5.0</v>
      </c>
      <c r="F114" s="162" t="s">
        <v>233</v>
      </c>
      <c r="G114" s="137">
        <v>11.2872779</v>
      </c>
      <c r="H114" s="137">
        <v>0.16181459</v>
      </c>
      <c r="I114" s="137">
        <v>6.10990972</v>
      </c>
      <c r="J114" s="120">
        <f t="shared" si="1"/>
        <v>69.75438927</v>
      </c>
      <c r="K114" s="121">
        <v>-0.343</v>
      </c>
      <c r="L114" s="121">
        <v>-1.118</v>
      </c>
      <c r="M114" s="122">
        <v>0.775</v>
      </c>
      <c r="N114" s="120">
        <v>38.0</v>
      </c>
      <c r="O114" s="120">
        <v>7.8837544774193535</v>
      </c>
      <c r="P114" s="123">
        <v>9.217464989873344</v>
      </c>
      <c r="Q114" s="120">
        <v>1.0</v>
      </c>
      <c r="R114" s="120">
        <v>1.1691720000000003</v>
      </c>
      <c r="S114" s="15"/>
      <c r="T114" s="161"/>
      <c r="AA114" s="15"/>
      <c r="AB114" s="15"/>
      <c r="AC114" s="15"/>
      <c r="AD114" s="15"/>
      <c r="AE114" s="15"/>
    </row>
    <row r="115" ht="15.0" customHeight="1">
      <c r="A115" s="134" t="s">
        <v>249</v>
      </c>
      <c r="B115" s="3" t="s">
        <v>250</v>
      </c>
      <c r="C115" s="3" t="s">
        <v>42</v>
      </c>
      <c r="D115" s="3" t="s">
        <v>251</v>
      </c>
      <c r="E115" s="8">
        <v>6.0</v>
      </c>
      <c r="F115" s="162" t="s">
        <v>233</v>
      </c>
      <c r="G115" s="137">
        <v>8.92967586</v>
      </c>
      <c r="H115" s="137">
        <v>0.12803493</v>
      </c>
      <c r="I115" s="137">
        <v>4.84053705</v>
      </c>
      <c r="J115" s="120">
        <f t="shared" si="1"/>
        <v>69.74406016</v>
      </c>
      <c r="K115" s="121"/>
      <c r="L115" s="121">
        <v>-0.997</v>
      </c>
      <c r="M115" s="122"/>
      <c r="N115" s="120">
        <v>39.8</v>
      </c>
      <c r="O115" s="120">
        <v>7.481510123647604</v>
      </c>
      <c r="P115" s="123">
        <v>8.528492850428187</v>
      </c>
      <c r="Q115" s="120">
        <v>0.8571428571428571</v>
      </c>
      <c r="R115" s="120">
        <v>1.1399427000000004</v>
      </c>
      <c r="S115" s="15"/>
      <c r="T115" s="161"/>
      <c r="AA115" s="15"/>
      <c r="AB115" s="15"/>
      <c r="AC115" s="15"/>
      <c r="AD115" s="15"/>
      <c r="AE115" s="15"/>
    </row>
    <row r="116" ht="15.0" customHeight="1">
      <c r="A116" s="134" t="s">
        <v>256</v>
      </c>
      <c r="B116" s="3" t="s">
        <v>257</v>
      </c>
      <c r="C116" s="3" t="s">
        <v>54</v>
      </c>
      <c r="D116" s="135" t="s">
        <v>240</v>
      </c>
      <c r="E116" s="8">
        <v>1.0</v>
      </c>
      <c r="F116" s="162" t="s">
        <v>233</v>
      </c>
      <c r="G116" s="137">
        <v>9.9782164</v>
      </c>
      <c r="H116" s="137">
        <v>0.21463845</v>
      </c>
      <c r="I116" s="137">
        <v>6.08599331</v>
      </c>
      <c r="J116" s="120">
        <f t="shared" si="1"/>
        <v>46.48848517</v>
      </c>
      <c r="K116" s="121">
        <v>-0.49</v>
      </c>
      <c r="L116" s="121">
        <v>-1.197</v>
      </c>
      <c r="M116" s="122">
        <v>0.707</v>
      </c>
      <c r="N116" s="120">
        <v>44.1</v>
      </c>
      <c r="O116" s="120">
        <v>8.608194214992928</v>
      </c>
      <c r="P116" s="123">
        <v>8.051567717385371</v>
      </c>
      <c r="Q116" s="120">
        <v>0.42857142857142855</v>
      </c>
      <c r="R116" s="120">
        <v>0.9353376000000002</v>
      </c>
      <c r="S116" s="15"/>
      <c r="T116" s="161"/>
      <c r="AA116" s="15"/>
      <c r="AB116" s="15"/>
      <c r="AC116" s="15"/>
      <c r="AD116" s="15"/>
      <c r="AE116" s="15"/>
    </row>
    <row r="117" ht="15.0" customHeight="1">
      <c r="A117" s="134" t="s">
        <v>256</v>
      </c>
      <c r="B117" s="3" t="s">
        <v>257</v>
      </c>
      <c r="C117" s="3" t="s">
        <v>54</v>
      </c>
      <c r="D117" s="135" t="s">
        <v>240</v>
      </c>
      <c r="E117" s="8">
        <v>2.0</v>
      </c>
      <c r="F117" s="162" t="s">
        <v>233</v>
      </c>
      <c r="G117" s="137">
        <v>7.84345957</v>
      </c>
      <c r="H117" s="137">
        <v>0.1645392</v>
      </c>
      <c r="I117" s="137">
        <v>4.14556703</v>
      </c>
      <c r="J117" s="120">
        <f t="shared" si="1"/>
        <v>47.66924581</v>
      </c>
      <c r="K117" s="121"/>
      <c r="L117" s="121">
        <v>-1.032</v>
      </c>
      <c r="M117" s="122"/>
      <c r="N117" s="120">
        <v>43.6</v>
      </c>
      <c r="O117" s="120">
        <v>6.867273560057646</v>
      </c>
      <c r="P117" s="123">
        <v>6.423219170207776</v>
      </c>
      <c r="Q117" s="120">
        <v>1.1428571428571428</v>
      </c>
      <c r="R117" s="120">
        <v>0.9353376000000002</v>
      </c>
      <c r="S117" s="15"/>
      <c r="T117" s="161"/>
      <c r="AA117" s="15"/>
      <c r="AB117" s="15"/>
      <c r="AC117" s="15"/>
      <c r="AD117" s="15"/>
      <c r="AE117" s="15"/>
    </row>
    <row r="118" ht="15.0" customHeight="1">
      <c r="A118" s="134" t="s">
        <v>256</v>
      </c>
      <c r="B118" s="3" t="s">
        <v>257</v>
      </c>
      <c r="C118" s="3" t="s">
        <v>54</v>
      </c>
      <c r="D118" s="135" t="s">
        <v>240</v>
      </c>
      <c r="E118" s="8">
        <v>3.0</v>
      </c>
      <c r="F118" s="162" t="s">
        <v>233</v>
      </c>
      <c r="G118" s="137">
        <v>10.3479577</v>
      </c>
      <c r="H118" s="137">
        <v>0.16178691</v>
      </c>
      <c r="I118" s="137">
        <v>5.88070421</v>
      </c>
      <c r="J118" s="120">
        <f t="shared" si="1"/>
        <v>63.96041373</v>
      </c>
      <c r="K118" s="121">
        <v>-0.32</v>
      </c>
      <c r="L118" s="121">
        <v>-1.176</v>
      </c>
      <c r="M118" s="122">
        <v>0.856</v>
      </c>
      <c r="N118" s="120">
        <v>48.8</v>
      </c>
      <c r="O118" s="120">
        <v>6.869981553738319</v>
      </c>
      <c r="P118" s="123">
        <v>6.827361562175239</v>
      </c>
      <c r="Q118" s="120">
        <v>0.8571428571428571</v>
      </c>
      <c r="R118" s="120">
        <v>0.9937962000000001</v>
      </c>
      <c r="S118" s="15"/>
      <c r="T118" s="161"/>
      <c r="AA118" s="15"/>
      <c r="AB118" s="15"/>
      <c r="AC118" s="15"/>
      <c r="AD118" s="15"/>
      <c r="AE118" s="15"/>
    </row>
    <row r="119" ht="15.0" customHeight="1">
      <c r="A119" s="134" t="s">
        <v>256</v>
      </c>
      <c r="B119" s="3" t="s">
        <v>257</v>
      </c>
      <c r="C119" s="3" t="s">
        <v>54</v>
      </c>
      <c r="D119" s="135" t="s">
        <v>240</v>
      </c>
      <c r="E119" s="8">
        <v>4.0</v>
      </c>
      <c r="F119" s="162" t="s">
        <v>233</v>
      </c>
      <c r="G119" s="137">
        <v>8.11922067</v>
      </c>
      <c r="H119" s="137">
        <v>0.17638161</v>
      </c>
      <c r="I119" s="137">
        <v>5.69988022</v>
      </c>
      <c r="J119" s="120">
        <f t="shared" si="1"/>
        <v>46.03212699</v>
      </c>
      <c r="K119" s="121"/>
      <c r="L119" s="121">
        <v>-1.132</v>
      </c>
      <c r="M119" s="122"/>
      <c r="N119" s="120">
        <v>53.8</v>
      </c>
      <c r="O119" s="120">
        <v>8.100217744113008</v>
      </c>
      <c r="P119" s="123">
        <v>7.339674529748074</v>
      </c>
      <c r="Q119" s="120">
        <v>0.2857142857142857</v>
      </c>
      <c r="R119" s="120">
        <v>0.9061083000000002</v>
      </c>
      <c r="S119" s="15"/>
      <c r="T119" s="161"/>
      <c r="AA119" s="15"/>
      <c r="AB119" s="15"/>
      <c r="AC119" s="15"/>
      <c r="AD119" s="15"/>
      <c r="AE119" s="15"/>
    </row>
    <row r="120" ht="15.0" customHeight="1">
      <c r="A120" s="134" t="s">
        <v>256</v>
      </c>
      <c r="B120" s="3" t="s">
        <v>257</v>
      </c>
      <c r="C120" s="3" t="s">
        <v>54</v>
      </c>
      <c r="D120" s="135" t="s">
        <v>240</v>
      </c>
      <c r="E120" s="8">
        <v>5.0</v>
      </c>
      <c r="F120" s="162" t="s">
        <v>233</v>
      </c>
      <c r="G120" s="137">
        <v>11.836214</v>
      </c>
      <c r="H120" s="137">
        <v>0.20038511</v>
      </c>
      <c r="I120" s="137">
        <v>7.16398258</v>
      </c>
      <c r="J120" s="120">
        <f t="shared" si="1"/>
        <v>59.0673329</v>
      </c>
      <c r="K120" s="121">
        <v>-0.475</v>
      </c>
      <c r="L120" s="121">
        <v>-1.077</v>
      </c>
      <c r="M120" s="122">
        <v>0.602</v>
      </c>
      <c r="N120" s="120">
        <v>46.8</v>
      </c>
      <c r="O120" s="120">
        <v>11.900303289036545</v>
      </c>
      <c r="P120" s="123">
        <v>11.13080111763955</v>
      </c>
      <c r="Q120" s="120">
        <v>0.8571428571428571</v>
      </c>
      <c r="R120" s="120">
        <v>0.9353376000000002</v>
      </c>
      <c r="S120" s="15"/>
      <c r="T120" s="161"/>
      <c r="AA120" s="15"/>
      <c r="AB120" s="15"/>
      <c r="AC120" s="15"/>
      <c r="AD120" s="15"/>
      <c r="AE120" s="15"/>
    </row>
    <row r="121" ht="15.0" customHeight="1">
      <c r="A121" s="134" t="s">
        <v>256</v>
      </c>
      <c r="B121" s="3" t="s">
        <v>257</v>
      </c>
      <c r="C121" s="3" t="s">
        <v>54</v>
      </c>
      <c r="D121" s="135" t="s">
        <v>240</v>
      </c>
      <c r="E121" s="8">
        <v>6.0</v>
      </c>
      <c r="F121" s="162" t="s">
        <v>233</v>
      </c>
      <c r="G121" s="137">
        <v>8.60778847</v>
      </c>
      <c r="H121" s="137">
        <v>0.1282694</v>
      </c>
      <c r="I121" s="137">
        <v>4.85926985</v>
      </c>
      <c r="J121" s="120">
        <f t="shared" si="1"/>
        <v>67.10710793</v>
      </c>
      <c r="K121" s="121"/>
      <c r="L121" s="121">
        <v>-0.958</v>
      </c>
      <c r="M121" s="122"/>
      <c r="N121" s="120">
        <v>49.6</v>
      </c>
      <c r="O121" s="120">
        <v>9.174145883285819</v>
      </c>
      <c r="P121" s="123">
        <v>9.787615972720907</v>
      </c>
      <c r="Q121" s="120">
        <v>0.8571428571428571</v>
      </c>
      <c r="R121" s="120">
        <v>1.0668694500000002</v>
      </c>
      <c r="S121" s="15"/>
      <c r="T121" s="161"/>
      <c r="AA121" s="15"/>
      <c r="AB121" s="15"/>
      <c r="AC121" s="15"/>
      <c r="AD121" s="15"/>
      <c r="AE121" s="15"/>
    </row>
    <row r="122" ht="15.0" customHeight="1">
      <c r="A122" s="134" t="s">
        <v>249</v>
      </c>
      <c r="B122" s="3" t="s">
        <v>258</v>
      </c>
      <c r="C122" s="3" t="s">
        <v>65</v>
      </c>
      <c r="D122" s="3" t="s">
        <v>251</v>
      </c>
      <c r="E122" s="8">
        <v>1.0</v>
      </c>
      <c r="F122" s="162" t="s">
        <v>233</v>
      </c>
      <c r="G122" s="137">
        <v>6.96508331</v>
      </c>
      <c r="H122" s="137">
        <v>0.1139059</v>
      </c>
      <c r="I122" s="137">
        <v>3.83991721</v>
      </c>
      <c r="J122" s="120">
        <f t="shared" si="1"/>
        <v>61.14769569</v>
      </c>
      <c r="K122" s="121">
        <v>-0.52</v>
      </c>
      <c r="L122" s="121">
        <v>-1.223</v>
      </c>
      <c r="M122" s="122">
        <v>0.703</v>
      </c>
      <c r="N122" s="120">
        <v>35.2</v>
      </c>
      <c r="O122" s="120">
        <v>5.462186642958748</v>
      </c>
      <c r="P122" s="123">
        <v>5.907268005592263</v>
      </c>
      <c r="Q122" s="120">
        <v>0.7142857142857143</v>
      </c>
      <c r="R122" s="120">
        <v>1.0814841000000002</v>
      </c>
      <c r="S122" s="15"/>
      <c r="T122" s="161"/>
      <c r="AA122" s="15"/>
      <c r="AB122" s="15"/>
      <c r="AC122" s="15"/>
      <c r="AD122" s="15"/>
      <c r="AE122" s="15"/>
    </row>
    <row r="123" ht="15.0" customHeight="1">
      <c r="A123" s="134" t="s">
        <v>249</v>
      </c>
      <c r="B123" s="3" t="s">
        <v>258</v>
      </c>
      <c r="C123" s="3" t="s">
        <v>65</v>
      </c>
      <c r="D123" s="3" t="s">
        <v>251</v>
      </c>
      <c r="E123" s="8">
        <v>2.0</v>
      </c>
      <c r="F123" s="162" t="s">
        <v>233</v>
      </c>
      <c r="G123" s="137">
        <v>7.34186305</v>
      </c>
      <c r="H123" s="137">
        <v>0.14874563</v>
      </c>
      <c r="I123" s="137">
        <v>3.63629375</v>
      </c>
      <c r="J123" s="120">
        <f t="shared" si="1"/>
        <v>49.35851258</v>
      </c>
      <c r="K123" s="121"/>
      <c r="L123" s="121">
        <v>-1.056</v>
      </c>
      <c r="M123" s="122"/>
      <c r="N123" s="120">
        <v>40.0</v>
      </c>
      <c r="O123" s="120">
        <v>6.027039514030464</v>
      </c>
      <c r="P123" s="123">
        <v>5.725399747192148</v>
      </c>
      <c r="Q123" s="120">
        <v>0.8571428571428571</v>
      </c>
      <c r="R123" s="120">
        <v>0.9499522500000003</v>
      </c>
      <c r="S123" s="15"/>
      <c r="T123" s="161"/>
      <c r="AA123" s="15"/>
      <c r="AB123" s="15"/>
      <c r="AC123" s="15"/>
      <c r="AD123" s="15"/>
      <c r="AE123" s="15"/>
    </row>
    <row r="124" ht="15.0" customHeight="1">
      <c r="A124" s="134" t="s">
        <v>249</v>
      </c>
      <c r="B124" s="3" t="s">
        <v>258</v>
      </c>
      <c r="C124" s="3" t="s">
        <v>65</v>
      </c>
      <c r="D124" s="3" t="s">
        <v>251</v>
      </c>
      <c r="E124" s="8">
        <v>3.0</v>
      </c>
      <c r="F124" s="162" t="s">
        <v>233</v>
      </c>
      <c r="G124" s="137">
        <v>10.6175231</v>
      </c>
      <c r="H124" s="137">
        <v>0.17767972</v>
      </c>
      <c r="I124" s="137">
        <v>6.11709147</v>
      </c>
      <c r="J124" s="120">
        <f t="shared" si="1"/>
        <v>59.75652764</v>
      </c>
      <c r="K124" s="121">
        <v>-0.321</v>
      </c>
      <c r="L124" s="121">
        <v>-1.098</v>
      </c>
      <c r="M124" s="122">
        <v>0.777</v>
      </c>
      <c r="N124" s="120">
        <v>32.6</v>
      </c>
      <c r="O124" s="120">
        <v>7.872704594594594</v>
      </c>
      <c r="P124" s="123">
        <v>9.434659420678136</v>
      </c>
      <c r="Q124" s="120">
        <v>1.1428571428571428</v>
      </c>
      <c r="R124" s="120">
        <v>1.1984013000000002</v>
      </c>
      <c r="S124" s="15"/>
      <c r="T124" s="161"/>
      <c r="AA124" s="15"/>
      <c r="AB124" s="15"/>
      <c r="AC124" s="15"/>
      <c r="AD124" s="15"/>
      <c r="AE124" s="15"/>
    </row>
    <row r="125" ht="15.0" customHeight="1">
      <c r="A125" s="134" t="s">
        <v>249</v>
      </c>
      <c r="B125" s="3" t="s">
        <v>258</v>
      </c>
      <c r="C125" s="3" t="s">
        <v>65</v>
      </c>
      <c r="D125" s="3" t="s">
        <v>251</v>
      </c>
      <c r="E125" s="8">
        <v>4.0</v>
      </c>
      <c r="F125" s="162" t="s">
        <v>233</v>
      </c>
      <c r="G125" s="137">
        <v>6.11570676</v>
      </c>
      <c r="H125" s="137">
        <v>0.17557154</v>
      </c>
      <c r="I125" s="137">
        <v>5.95323413</v>
      </c>
      <c r="J125" s="120">
        <f t="shared" si="1"/>
        <v>34.83313275</v>
      </c>
      <c r="K125" s="121"/>
      <c r="L125" s="121">
        <v>-1.04</v>
      </c>
      <c r="M125" s="122"/>
      <c r="N125" s="120">
        <v>37.2</v>
      </c>
      <c r="O125" s="120">
        <v>10.136097475014047</v>
      </c>
      <c r="P125" s="123">
        <v>11.110163772241055</v>
      </c>
      <c r="Q125" s="120">
        <v>0.8571428571428571</v>
      </c>
      <c r="R125" s="120">
        <v>1.0960987500000003</v>
      </c>
      <c r="S125" s="15"/>
      <c r="T125" s="161"/>
      <c r="AA125" s="15"/>
      <c r="AB125" s="15"/>
      <c r="AC125" s="15"/>
      <c r="AD125" s="15"/>
      <c r="AE125" s="15"/>
    </row>
    <row r="126" ht="15.0" customHeight="1">
      <c r="A126" s="134" t="s">
        <v>249</v>
      </c>
      <c r="B126" s="3" t="s">
        <v>258</v>
      </c>
      <c r="C126" s="3" t="s">
        <v>65</v>
      </c>
      <c r="D126" s="3" t="s">
        <v>251</v>
      </c>
      <c r="E126" s="8">
        <v>5.0</v>
      </c>
      <c r="F126" s="162" t="s">
        <v>233</v>
      </c>
      <c r="G126" s="137">
        <v>8.35397788</v>
      </c>
      <c r="H126" s="137">
        <v>0.12495074</v>
      </c>
      <c r="I126" s="137">
        <v>5.05871828</v>
      </c>
      <c r="J126" s="120">
        <f t="shared" si="1"/>
        <v>66.85817051</v>
      </c>
      <c r="K126" s="121">
        <v>-0.517</v>
      </c>
      <c r="L126" s="121">
        <v>-1.045</v>
      </c>
      <c r="M126" s="122">
        <v>0.528</v>
      </c>
      <c r="N126" s="120">
        <v>38.3</v>
      </c>
      <c r="O126" s="120">
        <v>9.580905833333334</v>
      </c>
      <c r="P126" s="123">
        <v>9.941532566035876</v>
      </c>
      <c r="Q126" s="120">
        <v>0.7142857142857143</v>
      </c>
      <c r="R126" s="120">
        <v>1.03764015</v>
      </c>
      <c r="S126" s="15"/>
      <c r="T126" s="161"/>
      <c r="AA126" s="15"/>
      <c r="AB126" s="15"/>
      <c r="AC126" s="15"/>
      <c r="AD126" s="15"/>
      <c r="AE126" s="15"/>
    </row>
    <row r="127" ht="15.0" customHeight="1">
      <c r="A127" s="134" t="s">
        <v>249</v>
      </c>
      <c r="B127" s="3" t="s">
        <v>258</v>
      </c>
      <c r="C127" s="3" t="s">
        <v>65</v>
      </c>
      <c r="D127" s="3" t="s">
        <v>251</v>
      </c>
      <c r="E127" s="8">
        <v>6.0</v>
      </c>
      <c r="F127" s="162" t="s">
        <v>233</v>
      </c>
      <c r="G127" s="137">
        <v>8.72802161</v>
      </c>
      <c r="H127" s="137">
        <v>0.13309913</v>
      </c>
      <c r="I127" s="137">
        <v>5.27032718</v>
      </c>
      <c r="J127" s="120">
        <f t="shared" si="1"/>
        <v>65.57534681</v>
      </c>
      <c r="K127" s="121"/>
      <c r="L127" s="121">
        <v>-1.102</v>
      </c>
      <c r="M127" s="122"/>
      <c r="N127" s="120">
        <v>41.2</v>
      </c>
      <c r="O127" s="120">
        <v>8.11656196387045</v>
      </c>
      <c r="P127" s="123">
        <v>9.252415559811785</v>
      </c>
      <c r="Q127" s="120">
        <v>1.0</v>
      </c>
      <c r="R127" s="120">
        <v>1.1399427000000004</v>
      </c>
      <c r="S127" s="15"/>
      <c r="T127" s="161"/>
      <c r="AA127" s="15"/>
      <c r="AB127" s="15"/>
      <c r="AC127" s="15"/>
      <c r="AD127" s="15"/>
      <c r="AE127" s="15"/>
    </row>
    <row r="128" ht="15.0" customHeight="1">
      <c r="A128" s="134" t="s">
        <v>256</v>
      </c>
      <c r="B128" s="3" t="s">
        <v>239</v>
      </c>
      <c r="C128" s="3" t="s">
        <v>73</v>
      </c>
      <c r="D128" s="135" t="s">
        <v>240</v>
      </c>
      <c r="E128" s="8">
        <v>1.0</v>
      </c>
      <c r="F128" s="162" t="s">
        <v>233</v>
      </c>
      <c r="G128" s="137">
        <v>5.25483356</v>
      </c>
      <c r="H128" s="137">
        <v>0.09417166</v>
      </c>
      <c r="I128" s="137">
        <v>3.4887761</v>
      </c>
      <c r="J128" s="120">
        <f t="shared" si="1"/>
        <v>55.80058332</v>
      </c>
      <c r="K128" s="121">
        <v>-0.513</v>
      </c>
      <c r="L128" s="121">
        <v>-1.168</v>
      </c>
      <c r="M128" s="122">
        <v>0.655</v>
      </c>
      <c r="N128" s="120">
        <v>43.8</v>
      </c>
      <c r="O128" s="120">
        <v>5.32637572519084</v>
      </c>
      <c r="P128" s="123">
        <v>5.293331955466901</v>
      </c>
      <c r="Q128" s="120">
        <v>0.7142857142857143</v>
      </c>
      <c r="R128" s="120">
        <v>0.9937962000000001</v>
      </c>
      <c r="S128" s="15"/>
      <c r="T128" s="161"/>
      <c r="AA128" s="15"/>
      <c r="AB128" s="15"/>
      <c r="AC128" s="15"/>
      <c r="AD128" s="15"/>
      <c r="AE128" s="15"/>
    </row>
    <row r="129" ht="15.0" customHeight="1">
      <c r="A129" s="134" t="s">
        <v>256</v>
      </c>
      <c r="B129" s="3" t="s">
        <v>239</v>
      </c>
      <c r="C129" s="3" t="s">
        <v>73</v>
      </c>
      <c r="D129" s="135" t="s">
        <v>240</v>
      </c>
      <c r="E129" s="8">
        <v>2.0</v>
      </c>
      <c r="F129" s="162" t="s">
        <v>233</v>
      </c>
      <c r="G129" s="137">
        <v>5.53517296</v>
      </c>
      <c r="H129" s="137">
        <v>0.07996899</v>
      </c>
      <c r="I129" s="137">
        <v>2.47564692</v>
      </c>
      <c r="J129" s="120">
        <f t="shared" si="1"/>
        <v>69.21649204</v>
      </c>
      <c r="K129" s="121"/>
      <c r="L129" s="121">
        <v>-1.052</v>
      </c>
      <c r="M129" s="122"/>
      <c r="N129" s="120">
        <v>50.5</v>
      </c>
      <c r="O129" s="120">
        <v>4.5397225899913805</v>
      </c>
      <c r="P129" s="123">
        <v>5.042330712986132</v>
      </c>
      <c r="Q129" s="120">
        <v>1.2857142857142858</v>
      </c>
      <c r="R129" s="120">
        <v>1.1107134</v>
      </c>
      <c r="S129" s="15"/>
      <c r="T129" s="161"/>
      <c r="AA129" s="15"/>
      <c r="AB129" s="15"/>
      <c r="AC129" s="15"/>
      <c r="AD129" s="15"/>
      <c r="AE129" s="15"/>
    </row>
    <row r="130" ht="15.0" customHeight="1">
      <c r="A130" s="134" t="s">
        <v>256</v>
      </c>
      <c r="B130" s="3" t="s">
        <v>239</v>
      </c>
      <c r="C130" s="3" t="s">
        <v>73</v>
      </c>
      <c r="D130" s="135" t="s">
        <v>240</v>
      </c>
      <c r="E130" s="8">
        <v>3.0</v>
      </c>
      <c r="F130" s="162" t="s">
        <v>233</v>
      </c>
      <c r="G130" s="137">
        <v>11.2441917</v>
      </c>
      <c r="H130" s="137">
        <v>0.19363732</v>
      </c>
      <c r="I130" s="137">
        <v>6.57142378</v>
      </c>
      <c r="J130" s="120">
        <f t="shared" si="1"/>
        <v>58.06830884</v>
      </c>
      <c r="K130" s="121">
        <v>-0.46</v>
      </c>
      <c r="L130" s="121">
        <v>-1.181</v>
      </c>
      <c r="M130" s="122">
        <v>0.721</v>
      </c>
      <c r="N130" s="120">
        <v>52.9</v>
      </c>
      <c r="O130" s="120">
        <v>9.1143186962552</v>
      </c>
      <c r="P130" s="123">
        <v>9.324180441395827</v>
      </c>
      <c r="Q130" s="120">
        <v>1.0</v>
      </c>
      <c r="R130" s="120">
        <v>1.0230255000000004</v>
      </c>
      <c r="S130" s="15"/>
      <c r="T130" s="161"/>
      <c r="AA130" s="15"/>
      <c r="AB130" s="15"/>
      <c r="AC130" s="15"/>
      <c r="AD130" s="15"/>
      <c r="AE130" s="15"/>
    </row>
    <row r="131" ht="15.0" customHeight="1">
      <c r="A131" s="134" t="s">
        <v>256</v>
      </c>
      <c r="B131" s="3" t="s">
        <v>239</v>
      </c>
      <c r="C131" s="3" t="s">
        <v>73</v>
      </c>
      <c r="D131" s="135" t="s">
        <v>240</v>
      </c>
      <c r="E131" s="8">
        <v>4.0</v>
      </c>
      <c r="F131" s="162" t="s">
        <v>233</v>
      </c>
      <c r="G131" s="137">
        <v>10.6091507</v>
      </c>
      <c r="H131" s="137">
        <v>0.20508299</v>
      </c>
      <c r="I131" s="137">
        <v>6.59408621</v>
      </c>
      <c r="J131" s="120">
        <f t="shared" si="1"/>
        <v>51.73101241</v>
      </c>
      <c r="K131" s="121"/>
      <c r="L131" s="121">
        <v>-0.998</v>
      </c>
      <c r="M131" s="122"/>
      <c r="N131" s="120">
        <v>27.7</v>
      </c>
      <c r="O131" s="120">
        <v>13.420890664115767</v>
      </c>
      <c r="P131" s="123">
        <v>12.356922043892132</v>
      </c>
      <c r="Q131" s="120">
        <v>0.0</v>
      </c>
      <c r="R131" s="120">
        <v>0.9207229500000002</v>
      </c>
      <c r="S131" s="15"/>
      <c r="T131" s="161"/>
      <c r="AA131" s="15"/>
      <c r="AB131" s="15"/>
      <c r="AC131" s="15"/>
      <c r="AD131" s="15"/>
      <c r="AE131" s="15"/>
    </row>
    <row r="132" ht="15.0" customHeight="1">
      <c r="A132" s="134" t="s">
        <v>256</v>
      </c>
      <c r="B132" s="3" t="s">
        <v>239</v>
      </c>
      <c r="C132" s="3" t="s">
        <v>73</v>
      </c>
      <c r="D132" s="135" t="s">
        <v>240</v>
      </c>
      <c r="E132" s="8">
        <v>5.0</v>
      </c>
      <c r="F132" s="162" t="s">
        <v>233</v>
      </c>
      <c r="G132" s="137">
        <v>14.7087608</v>
      </c>
      <c r="H132" s="137">
        <v>0.28184839</v>
      </c>
      <c r="I132" s="137">
        <v>8.86117499</v>
      </c>
      <c r="J132" s="120">
        <f t="shared" si="1"/>
        <v>52.18678311</v>
      </c>
      <c r="K132" s="121">
        <v>-0.547</v>
      </c>
      <c r="L132" s="121">
        <v>-0.983</v>
      </c>
      <c r="M132" s="122">
        <v>0.436</v>
      </c>
      <c r="N132" s="120">
        <v>58.9</v>
      </c>
      <c r="O132" s="120">
        <v>20.323795848623856</v>
      </c>
      <c r="P132" s="123">
        <v>19.90068592093908</v>
      </c>
      <c r="Q132" s="120">
        <v>0.8571428571428571</v>
      </c>
      <c r="R132" s="120">
        <v>0.9791815500000003</v>
      </c>
      <c r="S132" s="15"/>
      <c r="T132" s="161"/>
      <c r="AA132" s="15"/>
      <c r="AB132" s="15"/>
      <c r="AC132" s="15"/>
      <c r="AD132" s="15"/>
      <c r="AE132" s="15"/>
    </row>
    <row r="133" ht="15.0" customHeight="1">
      <c r="A133" s="134" t="s">
        <v>256</v>
      </c>
      <c r="B133" s="3" t="s">
        <v>239</v>
      </c>
      <c r="C133" s="3" t="s">
        <v>73</v>
      </c>
      <c r="D133" s="135" t="s">
        <v>240</v>
      </c>
      <c r="E133" s="8">
        <v>6.0</v>
      </c>
      <c r="F133" s="162" t="s">
        <v>233</v>
      </c>
      <c r="G133" s="137">
        <v>4.66713835</v>
      </c>
      <c r="H133" s="137">
        <v>0.0636256</v>
      </c>
      <c r="I133" s="137">
        <v>2.9028657</v>
      </c>
      <c r="J133" s="120">
        <f t="shared" si="1"/>
        <v>73.35315266</v>
      </c>
      <c r="K133" s="121"/>
      <c r="L133" s="121">
        <v>-1.234</v>
      </c>
      <c r="M133" s="122"/>
      <c r="N133" s="120">
        <v>35.7</v>
      </c>
      <c r="O133" s="120">
        <v>3.9911260363246392</v>
      </c>
      <c r="P133" s="123">
        <v>4.374668259507893</v>
      </c>
      <c r="Q133" s="120">
        <v>1.0</v>
      </c>
      <c r="R133" s="120">
        <v>1.0960987500000003</v>
      </c>
      <c r="S133" s="15"/>
      <c r="T133" s="161"/>
      <c r="AA133" s="15"/>
      <c r="AB133" s="15"/>
      <c r="AC133" s="15"/>
      <c r="AD133" s="15"/>
      <c r="AE133" s="15"/>
    </row>
    <row r="134" ht="15.0" customHeight="1">
      <c r="A134" s="134" t="s">
        <v>244</v>
      </c>
      <c r="B134" s="3" t="s">
        <v>258</v>
      </c>
      <c r="C134" s="3" t="s">
        <v>80</v>
      </c>
      <c r="D134" s="3" t="s">
        <v>251</v>
      </c>
      <c r="E134" s="8">
        <v>1.0</v>
      </c>
      <c r="F134" s="162" t="s">
        <v>233</v>
      </c>
      <c r="G134" s="137">
        <v>15.2680348</v>
      </c>
      <c r="H134" s="137">
        <v>0.25918764</v>
      </c>
      <c r="I134" s="137">
        <v>7.31640737</v>
      </c>
      <c r="J134" s="120">
        <f t="shared" si="1"/>
        <v>58.90726425</v>
      </c>
      <c r="K134" s="121">
        <v>-0.449</v>
      </c>
      <c r="L134" s="121">
        <v>-1.156</v>
      </c>
      <c r="M134" s="122">
        <v>0.707</v>
      </c>
      <c r="N134" s="120">
        <v>39.6</v>
      </c>
      <c r="O134" s="120">
        <v>10.348525275813298</v>
      </c>
      <c r="P134" s="123">
        <v>11.796725843928861</v>
      </c>
      <c r="Q134" s="120">
        <v>1.1428571428571428</v>
      </c>
      <c r="R134" s="120">
        <v>1.1399427000000004</v>
      </c>
      <c r="S134" s="15"/>
      <c r="T134" s="161"/>
      <c r="AA134" s="15"/>
      <c r="AB134" s="15"/>
      <c r="AC134" s="15"/>
      <c r="AD134" s="15"/>
      <c r="AE134" s="15"/>
    </row>
    <row r="135" ht="15.0" customHeight="1">
      <c r="A135" s="134" t="s">
        <v>244</v>
      </c>
      <c r="B135" s="3" t="s">
        <v>258</v>
      </c>
      <c r="C135" s="3" t="s">
        <v>80</v>
      </c>
      <c r="D135" s="3" t="s">
        <v>251</v>
      </c>
      <c r="E135" s="8">
        <v>2.0</v>
      </c>
      <c r="F135" s="162" t="s">
        <v>233</v>
      </c>
      <c r="G135" s="137">
        <v>12.6057212</v>
      </c>
      <c r="H135" s="137">
        <v>0.25136732</v>
      </c>
      <c r="I135" s="137">
        <v>5.96896182</v>
      </c>
      <c r="J135" s="120">
        <f t="shared" si="1"/>
        <v>50.14860802</v>
      </c>
      <c r="K135" s="121"/>
      <c r="L135" s="121">
        <v>-1.047</v>
      </c>
      <c r="M135" s="122"/>
      <c r="N135" s="120">
        <v>37.8</v>
      </c>
      <c r="O135" s="120">
        <v>8.908898238805971</v>
      </c>
      <c r="P135" s="123">
        <v>8.593228356620536</v>
      </c>
      <c r="Q135" s="120">
        <v>0.8571428571428571</v>
      </c>
      <c r="R135" s="120">
        <v>0.9645669000000001</v>
      </c>
      <c r="S135" s="15"/>
      <c r="T135" s="161"/>
      <c r="AA135" s="15"/>
      <c r="AB135" s="15"/>
      <c r="AC135" s="15"/>
      <c r="AD135" s="15"/>
      <c r="AE135" s="15"/>
    </row>
    <row r="136" ht="15.0" customHeight="1">
      <c r="A136" s="134" t="s">
        <v>244</v>
      </c>
      <c r="B136" s="3" t="s">
        <v>258</v>
      </c>
      <c r="C136" s="3" t="s">
        <v>80</v>
      </c>
      <c r="D136" s="3" t="s">
        <v>251</v>
      </c>
      <c r="E136" s="8">
        <v>3.0</v>
      </c>
      <c r="F136" s="162" t="s">
        <v>233</v>
      </c>
      <c r="G136" s="137">
        <v>11.1435772</v>
      </c>
      <c r="H136" s="137">
        <v>0.17950466</v>
      </c>
      <c r="I136" s="137">
        <v>6.34206366</v>
      </c>
      <c r="J136" s="120">
        <f t="shared" si="1"/>
        <v>62.07959838</v>
      </c>
      <c r="K136" s="121">
        <v>-0.306</v>
      </c>
      <c r="L136" s="121">
        <v>-1.132</v>
      </c>
      <c r="M136" s="122">
        <v>0.826</v>
      </c>
      <c r="N136" s="120">
        <v>43.0</v>
      </c>
      <c r="O136" s="120">
        <v>7.678043171912834</v>
      </c>
      <c r="P136" s="123">
        <v>8.976953091391675</v>
      </c>
      <c r="Q136" s="120">
        <v>0.8571428571428571</v>
      </c>
      <c r="R136" s="120">
        <v>1.1691720000000003</v>
      </c>
      <c r="S136" s="15"/>
      <c r="T136" s="161"/>
      <c r="AA136" s="15"/>
      <c r="AB136" s="15"/>
      <c r="AC136" s="15"/>
      <c r="AD136" s="15"/>
      <c r="AE136" s="15"/>
    </row>
    <row r="137" ht="15.0" customHeight="1">
      <c r="A137" s="134" t="s">
        <v>244</v>
      </c>
      <c r="B137" s="3" t="s">
        <v>258</v>
      </c>
      <c r="C137" s="3" t="s">
        <v>80</v>
      </c>
      <c r="D137" s="3" t="s">
        <v>251</v>
      </c>
      <c r="E137" s="8">
        <v>4.0</v>
      </c>
      <c r="F137" s="162" t="s">
        <v>233</v>
      </c>
      <c r="G137" s="137">
        <v>9.61397426</v>
      </c>
      <c r="H137" s="137">
        <v>0.18707707</v>
      </c>
      <c r="I137" s="137">
        <v>6.13214843</v>
      </c>
      <c r="J137" s="120">
        <f t="shared" si="1"/>
        <v>51.39044705</v>
      </c>
      <c r="K137" s="121"/>
      <c r="L137" s="121">
        <v>-1.18</v>
      </c>
      <c r="M137" s="122"/>
      <c r="N137" s="120">
        <v>40.9</v>
      </c>
      <c r="O137" s="120">
        <v>7.636548480697385</v>
      </c>
      <c r="P137" s="123">
        <v>8.705227693767078</v>
      </c>
      <c r="Q137" s="120">
        <v>1.1428571428571428</v>
      </c>
      <c r="R137" s="120">
        <v>1.1399427000000004</v>
      </c>
      <c r="S137" s="15"/>
      <c r="T137" s="161"/>
      <c r="AA137" s="15"/>
      <c r="AB137" s="15"/>
      <c r="AC137" s="15"/>
      <c r="AD137" s="15"/>
      <c r="AE137" s="15"/>
    </row>
    <row r="138" ht="15.0" customHeight="1">
      <c r="A138" s="134" t="s">
        <v>244</v>
      </c>
      <c r="B138" s="3" t="s">
        <v>258</v>
      </c>
      <c r="C138" s="3" t="s">
        <v>80</v>
      </c>
      <c r="D138" s="3" t="s">
        <v>251</v>
      </c>
      <c r="E138" s="8">
        <v>5.0</v>
      </c>
      <c r="F138" s="162" t="s">
        <v>233</v>
      </c>
      <c r="G138" s="137">
        <v>12.6686493</v>
      </c>
      <c r="H138" s="137">
        <v>0.1919644</v>
      </c>
      <c r="I138" s="137">
        <v>7.08930003</v>
      </c>
      <c r="J138" s="120">
        <f t="shared" si="1"/>
        <v>65.99478497</v>
      </c>
      <c r="K138" s="121">
        <v>-0.376</v>
      </c>
      <c r="L138" s="121">
        <v>-1.212</v>
      </c>
      <c r="M138" s="122">
        <v>0.836</v>
      </c>
      <c r="N138" s="120">
        <v>42.0</v>
      </c>
      <c r="O138" s="120">
        <v>8.480023959330145</v>
      </c>
      <c r="P138" s="123">
        <v>7.807752675905132</v>
      </c>
      <c r="Q138" s="120">
        <v>0.8571428571428571</v>
      </c>
      <c r="R138" s="120">
        <v>0.9207229500000002</v>
      </c>
      <c r="S138" s="15"/>
      <c r="T138" s="161"/>
      <c r="AA138" s="15"/>
      <c r="AB138" s="15"/>
      <c r="AC138" s="15"/>
      <c r="AD138" s="15"/>
      <c r="AE138" s="15"/>
    </row>
    <row r="139" ht="15.0" customHeight="1">
      <c r="A139" s="134" t="s">
        <v>244</v>
      </c>
      <c r="B139" s="3" t="s">
        <v>258</v>
      </c>
      <c r="C139" s="3" t="s">
        <v>80</v>
      </c>
      <c r="D139" s="3" t="s">
        <v>251</v>
      </c>
      <c r="E139" s="8">
        <v>6.0</v>
      </c>
      <c r="F139" s="162" t="s">
        <v>233</v>
      </c>
      <c r="G139" s="137">
        <v>2.74228896</v>
      </c>
      <c r="H139" s="137">
        <v>0.03833153</v>
      </c>
      <c r="I139" s="137">
        <v>2.0421591</v>
      </c>
      <c r="J139" s="120">
        <f t="shared" si="1"/>
        <v>71.54133842</v>
      </c>
      <c r="K139" s="121"/>
      <c r="L139" s="121">
        <v>-1.004</v>
      </c>
      <c r="M139" s="122"/>
      <c r="N139" s="120">
        <v>42.3</v>
      </c>
      <c r="O139" s="120">
        <v>3.2570320574162683</v>
      </c>
      <c r="P139" s="123">
        <v>3.379627232612225</v>
      </c>
      <c r="Q139" s="120">
        <v>0.7142857142857143</v>
      </c>
      <c r="R139" s="120">
        <v>1.03764015</v>
      </c>
      <c r="S139" s="15"/>
      <c r="T139" s="161"/>
      <c r="AA139" s="15"/>
      <c r="AB139" s="15"/>
      <c r="AC139" s="15"/>
      <c r="AD139" s="15"/>
      <c r="AE139" s="15"/>
    </row>
    <row r="140" ht="15.0" customHeight="1">
      <c r="A140" s="134" t="s">
        <v>256</v>
      </c>
      <c r="B140" s="3" t="s">
        <v>250</v>
      </c>
      <c r="C140" s="3" t="s">
        <v>94</v>
      </c>
      <c r="D140" s="3" t="s">
        <v>251</v>
      </c>
      <c r="E140" s="8">
        <v>1.0</v>
      </c>
      <c r="F140" s="162" t="s">
        <v>233</v>
      </c>
      <c r="G140" s="137">
        <v>4.62806723</v>
      </c>
      <c r="H140" s="137">
        <v>0.05829291</v>
      </c>
      <c r="I140" s="137">
        <v>2.33953963</v>
      </c>
      <c r="J140" s="120">
        <f t="shared" si="1"/>
        <v>79.39331267</v>
      </c>
      <c r="K140" s="121">
        <v>-0.41</v>
      </c>
      <c r="L140" s="121">
        <v>-1.045</v>
      </c>
      <c r="M140" s="122">
        <v>0.635</v>
      </c>
      <c r="N140" s="120">
        <v>44.8</v>
      </c>
      <c r="O140" s="120">
        <v>3.684314377952756</v>
      </c>
      <c r="P140" s="123">
        <v>3.876837488909803</v>
      </c>
      <c r="Q140" s="120">
        <v>1.2857142857142858</v>
      </c>
      <c r="R140" s="120">
        <v>1.0522548000000003</v>
      </c>
      <c r="S140" s="15"/>
      <c r="T140" s="161"/>
      <c r="AA140" s="15"/>
      <c r="AB140" s="15"/>
      <c r="AC140" s="15"/>
      <c r="AD140" s="15"/>
      <c r="AE140" s="15"/>
    </row>
    <row r="141" ht="15.0" customHeight="1">
      <c r="A141" s="134" t="s">
        <v>256</v>
      </c>
      <c r="B141" s="3" t="s">
        <v>250</v>
      </c>
      <c r="C141" s="3" t="s">
        <v>94</v>
      </c>
      <c r="D141" s="3" t="s">
        <v>251</v>
      </c>
      <c r="E141" s="8">
        <v>2.0</v>
      </c>
      <c r="F141" s="162" t="s">
        <v>233</v>
      </c>
      <c r="G141" s="137">
        <v>6.7717893</v>
      </c>
      <c r="H141" s="137">
        <v>0.09691783</v>
      </c>
      <c r="I141" s="137">
        <v>2.99597325</v>
      </c>
      <c r="J141" s="120">
        <f t="shared" si="1"/>
        <v>69.87144987</v>
      </c>
      <c r="K141" s="121"/>
      <c r="L141" s="121">
        <v>-1.037</v>
      </c>
      <c r="M141" s="122"/>
      <c r="N141" s="120">
        <v>33.1</v>
      </c>
      <c r="O141" s="120">
        <v>4.564736108360124</v>
      </c>
      <c r="P141" s="123">
        <v>4.202857295660855</v>
      </c>
      <c r="Q141" s="120">
        <v>0.8571428571428571</v>
      </c>
      <c r="R141" s="120">
        <v>0.9207229500000002</v>
      </c>
      <c r="S141" s="15"/>
      <c r="T141" s="161"/>
      <c r="AA141" s="15"/>
      <c r="AB141" s="15"/>
      <c r="AC141" s="15"/>
      <c r="AD141" s="15"/>
      <c r="AE141" s="15"/>
    </row>
    <row r="142" ht="15.0" customHeight="1">
      <c r="A142" s="134" t="s">
        <v>256</v>
      </c>
      <c r="B142" s="3" t="s">
        <v>250</v>
      </c>
      <c r="C142" s="3" t="s">
        <v>94</v>
      </c>
      <c r="D142" s="3" t="s">
        <v>251</v>
      </c>
      <c r="E142" s="8">
        <v>3.0</v>
      </c>
      <c r="F142" s="162" t="s">
        <v>233</v>
      </c>
      <c r="G142" s="137">
        <v>7.14247523</v>
      </c>
      <c r="H142" s="137">
        <v>0.1081617</v>
      </c>
      <c r="I142" s="137">
        <v>4.30665156</v>
      </c>
      <c r="J142" s="120">
        <f t="shared" si="1"/>
        <v>66.0351606</v>
      </c>
      <c r="K142" s="121">
        <v>-0.312</v>
      </c>
      <c r="L142" s="121">
        <v>-0.957</v>
      </c>
      <c r="M142" s="122">
        <v>0.645</v>
      </c>
      <c r="N142" s="120">
        <v>42.2</v>
      </c>
      <c r="O142" s="120">
        <v>6.676979162790697</v>
      </c>
      <c r="P142" s="123">
        <v>6.830719946503537</v>
      </c>
      <c r="Q142" s="120">
        <v>0.5714285714285714</v>
      </c>
      <c r="R142" s="120">
        <v>1.0230255000000004</v>
      </c>
      <c r="S142" s="15"/>
      <c r="T142" s="161"/>
      <c r="AA142" s="15"/>
      <c r="AB142" s="15"/>
      <c r="AC142" s="15"/>
      <c r="AD142" s="15"/>
      <c r="AE142" s="15"/>
    </row>
    <row r="143" ht="15.0" customHeight="1">
      <c r="A143" s="134" t="s">
        <v>256</v>
      </c>
      <c r="B143" s="3" t="s">
        <v>250</v>
      </c>
      <c r="C143" s="3" t="s">
        <v>94</v>
      </c>
      <c r="D143" s="3" t="s">
        <v>251</v>
      </c>
      <c r="E143" s="8">
        <v>4.0</v>
      </c>
      <c r="F143" s="162" t="s">
        <v>233</v>
      </c>
      <c r="G143" s="137">
        <v>7.5811609</v>
      </c>
      <c r="H143" s="137">
        <v>0.10074274</v>
      </c>
      <c r="I143" s="137">
        <v>3.98512576</v>
      </c>
      <c r="J143" s="120">
        <f t="shared" si="1"/>
        <v>75.25267726</v>
      </c>
      <c r="K143" s="121"/>
      <c r="L143" s="121">
        <v>-0.987</v>
      </c>
      <c r="M143" s="122"/>
      <c r="N143" s="120">
        <v>34.9</v>
      </c>
      <c r="O143" s="120">
        <v>6.57253601174278</v>
      </c>
      <c r="P143" s="123">
        <v>6.723871939681165</v>
      </c>
      <c r="Q143" s="120">
        <v>1.0</v>
      </c>
      <c r="R143" s="120">
        <v>1.0230255000000004</v>
      </c>
      <c r="S143" s="15"/>
      <c r="T143" s="161"/>
      <c r="AA143" s="15"/>
      <c r="AB143" s="15"/>
      <c r="AC143" s="15"/>
      <c r="AD143" s="15"/>
      <c r="AE143" s="15"/>
    </row>
    <row r="144" ht="15.0" customHeight="1">
      <c r="A144" s="134" t="s">
        <v>256</v>
      </c>
      <c r="B144" s="3" t="s">
        <v>250</v>
      </c>
      <c r="C144" s="3" t="s">
        <v>94</v>
      </c>
      <c r="D144" s="3" t="s">
        <v>251</v>
      </c>
      <c r="E144" s="8">
        <v>5.0</v>
      </c>
      <c r="F144" s="162" t="s">
        <v>233</v>
      </c>
      <c r="G144" s="137">
        <v>7.35783902</v>
      </c>
      <c r="H144" s="137">
        <v>0.11283843</v>
      </c>
      <c r="I144" s="137">
        <v>5.03363468</v>
      </c>
      <c r="J144" s="120">
        <f t="shared" si="1"/>
        <v>65.20685391</v>
      </c>
      <c r="K144" s="121">
        <v>-0.42</v>
      </c>
      <c r="L144" s="121">
        <v>-1.018</v>
      </c>
      <c r="M144" s="122">
        <v>0.598</v>
      </c>
      <c r="N144" s="120">
        <v>36.9</v>
      </c>
      <c r="O144" s="120">
        <v>8.41744929765886</v>
      </c>
      <c r="P144" s="123">
        <v>7.504102598059836</v>
      </c>
      <c r="Q144" s="120">
        <v>0.8571428571428571</v>
      </c>
      <c r="R144" s="120">
        <v>0.8914936500000001</v>
      </c>
      <c r="S144" s="15"/>
      <c r="T144" s="161"/>
      <c r="AA144" s="15"/>
      <c r="AB144" s="15"/>
      <c r="AC144" s="15"/>
      <c r="AD144" s="15"/>
      <c r="AE144" s="15"/>
    </row>
    <row r="145" ht="15.0" customHeight="1">
      <c r="A145" s="134" t="s">
        <v>256</v>
      </c>
      <c r="B145" s="3" t="s">
        <v>250</v>
      </c>
      <c r="C145" s="3" t="s">
        <v>94</v>
      </c>
      <c r="D145" s="3" t="s">
        <v>251</v>
      </c>
      <c r="E145" s="8">
        <v>6.0</v>
      </c>
      <c r="F145" s="162" t="s">
        <v>233</v>
      </c>
      <c r="G145" s="137">
        <v>3.76351846</v>
      </c>
      <c r="H145" s="137">
        <v>0.04865869</v>
      </c>
      <c r="I145" s="137">
        <v>2.47259693</v>
      </c>
      <c r="J145" s="120">
        <f t="shared" si="1"/>
        <v>77.3452483</v>
      </c>
      <c r="K145" s="121"/>
      <c r="L145" s="121">
        <v>-1.012</v>
      </c>
      <c r="M145" s="122"/>
      <c r="N145" s="120">
        <v>39.1</v>
      </c>
      <c r="O145" s="120">
        <v>3.9164888885368985</v>
      </c>
      <c r="P145" s="123">
        <v>4.063906117774761</v>
      </c>
      <c r="Q145" s="120">
        <v>0.0</v>
      </c>
      <c r="R145" s="120">
        <v>1.03764015</v>
      </c>
      <c r="S145" s="15"/>
      <c r="T145" s="161"/>
      <c r="AA145" s="15"/>
      <c r="AB145" s="15"/>
      <c r="AC145" s="15"/>
      <c r="AD145" s="15"/>
      <c r="AE145" s="15"/>
    </row>
    <row r="146" ht="15.0" customHeight="1">
      <c r="A146" s="134" t="s">
        <v>249</v>
      </c>
      <c r="B146" s="3" t="s">
        <v>239</v>
      </c>
      <c r="C146" s="3" t="s">
        <v>101</v>
      </c>
      <c r="D146" s="135" t="s">
        <v>240</v>
      </c>
      <c r="E146" s="8">
        <v>1.0</v>
      </c>
      <c r="F146" s="162" t="s">
        <v>233</v>
      </c>
      <c r="G146" s="137">
        <v>12.2441974</v>
      </c>
      <c r="H146" s="137">
        <v>0.16478016</v>
      </c>
      <c r="I146" s="137">
        <v>5.59644918</v>
      </c>
      <c r="J146" s="120">
        <f t="shared" si="1"/>
        <v>74.30625993</v>
      </c>
      <c r="K146" s="121">
        <v>-0.48</v>
      </c>
      <c r="L146" s="121">
        <v>-0.908</v>
      </c>
      <c r="M146" s="122">
        <v>0.428</v>
      </c>
      <c r="N146" s="120">
        <v>36.3</v>
      </c>
      <c r="O146" s="120">
        <v>13.075815841121493</v>
      </c>
      <c r="P146" s="123">
        <v>9.554923599122313</v>
      </c>
      <c r="Q146" s="120">
        <v>0.5714285714285714</v>
      </c>
      <c r="R146" s="120">
        <v>0.7307325000000001</v>
      </c>
      <c r="S146" s="15"/>
      <c r="T146" s="161"/>
      <c r="AA146" s="15"/>
      <c r="AB146" s="15"/>
      <c r="AC146" s="15"/>
      <c r="AD146" s="15"/>
      <c r="AE146" s="15"/>
    </row>
    <row r="147" ht="15.0" customHeight="1">
      <c r="A147" s="134" t="s">
        <v>249</v>
      </c>
      <c r="B147" s="3" t="s">
        <v>239</v>
      </c>
      <c r="C147" s="3" t="s">
        <v>101</v>
      </c>
      <c r="D147" s="135" t="s">
        <v>240</v>
      </c>
      <c r="E147" s="8">
        <v>2.0</v>
      </c>
      <c r="F147" s="162" t="s">
        <v>233</v>
      </c>
      <c r="G147" s="137">
        <v>4.04750294</v>
      </c>
      <c r="H147" s="137">
        <v>0.06155992</v>
      </c>
      <c r="I147" s="137">
        <v>2.09195947</v>
      </c>
      <c r="J147" s="120">
        <f t="shared" si="1"/>
        <v>65.7489961</v>
      </c>
      <c r="K147" s="121"/>
      <c r="L147" s="121">
        <v>-1.025</v>
      </c>
      <c r="M147" s="122"/>
      <c r="N147" s="120">
        <v>44.6</v>
      </c>
      <c r="O147" s="120">
        <v>3.453959202205822</v>
      </c>
      <c r="P147" s="123">
        <v>3.230617910689109</v>
      </c>
      <c r="Q147" s="120">
        <v>1.1428571428571428</v>
      </c>
      <c r="R147" s="120">
        <v>0.9353376000000002</v>
      </c>
      <c r="S147" s="15"/>
      <c r="T147" s="161"/>
      <c r="AA147" s="15"/>
      <c r="AB147" s="15"/>
      <c r="AC147" s="15"/>
      <c r="AD147" s="15"/>
      <c r="AE147" s="15"/>
    </row>
    <row r="148" ht="15.0" customHeight="1">
      <c r="A148" s="134" t="s">
        <v>249</v>
      </c>
      <c r="B148" s="3" t="s">
        <v>239</v>
      </c>
      <c r="C148" s="3" t="s">
        <v>101</v>
      </c>
      <c r="D148" s="135" t="s">
        <v>240</v>
      </c>
      <c r="E148" s="8">
        <v>3.0</v>
      </c>
      <c r="F148" s="162" t="s">
        <v>233</v>
      </c>
      <c r="G148" s="137">
        <v>5.70154756</v>
      </c>
      <c r="H148" s="137">
        <v>0.06487896</v>
      </c>
      <c r="I148" s="137">
        <v>2.86266593</v>
      </c>
      <c r="J148" s="120">
        <f t="shared" si="1"/>
        <v>87.87976194</v>
      </c>
      <c r="K148" s="121">
        <v>-0.415</v>
      </c>
      <c r="L148" s="121">
        <v>-1.24</v>
      </c>
      <c r="M148" s="122">
        <v>0.825</v>
      </c>
      <c r="N148" s="120">
        <v>42.7</v>
      </c>
      <c r="O148" s="120">
        <v>3.469898096969697</v>
      </c>
      <c r="P148" s="123">
        <v>3.3976601969328395</v>
      </c>
      <c r="Q148" s="120">
        <v>1.1428571428571428</v>
      </c>
      <c r="R148" s="120">
        <v>0.9791815500000003</v>
      </c>
      <c r="S148" s="15"/>
      <c r="T148" s="161"/>
      <c r="AA148" s="15"/>
      <c r="AB148" s="15"/>
      <c r="AC148" s="15"/>
      <c r="AD148" s="15"/>
      <c r="AE148" s="15"/>
    </row>
    <row r="149" ht="15.0" customHeight="1">
      <c r="A149" s="134" t="s">
        <v>249</v>
      </c>
      <c r="B149" s="3" t="s">
        <v>239</v>
      </c>
      <c r="C149" s="3" t="s">
        <v>101</v>
      </c>
      <c r="D149" s="135" t="s">
        <v>240</v>
      </c>
      <c r="E149" s="8">
        <v>4.0</v>
      </c>
      <c r="F149" s="162" t="s">
        <v>233</v>
      </c>
      <c r="G149" s="137">
        <v>10.1063176</v>
      </c>
      <c r="H149" s="137">
        <v>0.15977844</v>
      </c>
      <c r="I149" s="137">
        <v>5.66328097</v>
      </c>
      <c r="J149" s="120">
        <f t="shared" si="1"/>
        <v>63.25207331</v>
      </c>
      <c r="K149" s="121"/>
      <c r="L149" s="121">
        <v>-1.17</v>
      </c>
      <c r="M149" s="122"/>
      <c r="N149" s="120">
        <v>42.2</v>
      </c>
      <c r="O149" s="120">
        <v>7.544301717132695</v>
      </c>
      <c r="P149" s="123">
        <v>7.387241049049655</v>
      </c>
      <c r="Q149" s="120">
        <v>1.1428571428571428</v>
      </c>
      <c r="R149" s="120">
        <v>0.9791815500000003</v>
      </c>
      <c r="S149" s="15"/>
      <c r="T149" s="161"/>
      <c r="AA149" s="15"/>
      <c r="AB149" s="15"/>
      <c r="AC149" s="15"/>
      <c r="AD149" s="15"/>
      <c r="AE149" s="15"/>
    </row>
    <row r="150" ht="15.0" customHeight="1">
      <c r="A150" s="134" t="s">
        <v>249</v>
      </c>
      <c r="B150" s="3" t="s">
        <v>239</v>
      </c>
      <c r="C150" s="3" t="s">
        <v>101</v>
      </c>
      <c r="D150" s="135" t="s">
        <v>240</v>
      </c>
      <c r="E150" s="8">
        <v>5.0</v>
      </c>
      <c r="F150" s="162" t="s">
        <v>233</v>
      </c>
      <c r="G150" s="137">
        <v>8.75315193</v>
      </c>
      <c r="H150" s="137">
        <v>0.14936123</v>
      </c>
      <c r="I150" s="137">
        <v>5.86475931</v>
      </c>
      <c r="J150" s="120">
        <f t="shared" si="1"/>
        <v>58.60390899</v>
      </c>
      <c r="K150" s="121">
        <v>-0.363</v>
      </c>
      <c r="L150" s="121">
        <v>-1.161</v>
      </c>
      <c r="M150" s="122">
        <v>0.798</v>
      </c>
      <c r="N150" s="120">
        <v>39.4</v>
      </c>
      <c r="O150" s="120">
        <v>7.349322443609022</v>
      </c>
      <c r="P150" s="123">
        <v>8.70002979528974</v>
      </c>
      <c r="Q150" s="120">
        <v>1.0</v>
      </c>
      <c r="R150" s="120">
        <v>1.1837866500000003</v>
      </c>
      <c r="S150" s="15"/>
      <c r="T150" s="161"/>
      <c r="AA150" s="15"/>
      <c r="AB150" s="15"/>
      <c r="AC150" s="15"/>
      <c r="AD150" s="15"/>
      <c r="AE150" s="15"/>
    </row>
    <row r="151" ht="15.0" customHeight="1">
      <c r="A151" s="134" t="s">
        <v>249</v>
      </c>
      <c r="B151" s="3" t="s">
        <v>239</v>
      </c>
      <c r="C151" s="3" t="s">
        <v>101</v>
      </c>
      <c r="D151" s="135" t="s">
        <v>240</v>
      </c>
      <c r="E151" s="8">
        <v>6.0</v>
      </c>
      <c r="F151" s="162" t="s">
        <v>233</v>
      </c>
      <c r="G151" s="137">
        <v>4.9801727</v>
      </c>
      <c r="H151" s="137">
        <v>0.06395797</v>
      </c>
      <c r="I151" s="137">
        <v>3.10543431</v>
      </c>
      <c r="J151" s="120">
        <f t="shared" si="1"/>
        <v>77.86633472</v>
      </c>
      <c r="K151" s="121"/>
      <c r="L151" s="121">
        <v>-1.93</v>
      </c>
      <c r="M151" s="122"/>
      <c r="N151" s="120">
        <v>42.2</v>
      </c>
      <c r="O151" s="120">
        <v>2.055666896145419</v>
      </c>
      <c r="P151" s="123">
        <v>2.1931282108738706</v>
      </c>
      <c r="Q151" s="120">
        <v>1.0</v>
      </c>
      <c r="R151" s="120">
        <v>1.0668694500000002</v>
      </c>
      <c r="S151" s="15"/>
      <c r="T151" s="161"/>
      <c r="AA151" s="15"/>
      <c r="AB151" s="15"/>
      <c r="AC151" s="15"/>
      <c r="AD151" s="15"/>
      <c r="AE151" s="15"/>
    </row>
    <row r="152" ht="15.0" customHeight="1">
      <c r="A152" s="134" t="s">
        <v>256</v>
      </c>
      <c r="B152" s="3" t="s">
        <v>258</v>
      </c>
      <c r="C152" s="3" t="s">
        <v>108</v>
      </c>
      <c r="D152" s="3" t="s">
        <v>251</v>
      </c>
      <c r="E152" s="8">
        <v>1.0</v>
      </c>
      <c r="F152" s="162" t="s">
        <v>233</v>
      </c>
      <c r="G152" s="137">
        <v>6.64505701</v>
      </c>
      <c r="H152" s="137">
        <v>0.08103853</v>
      </c>
      <c r="I152" s="137">
        <v>3.20189806</v>
      </c>
      <c r="J152" s="120">
        <f t="shared" si="1"/>
        <v>81.99873579</v>
      </c>
      <c r="K152" s="121">
        <v>-0.36</v>
      </c>
      <c r="L152" s="121">
        <v>-1.099</v>
      </c>
      <c r="M152" s="122">
        <v>0.739</v>
      </c>
      <c r="N152" s="120">
        <v>38.2</v>
      </c>
      <c r="O152" s="120">
        <v>4.332744330175913</v>
      </c>
      <c r="P152" s="123">
        <v>3.9259355993503364</v>
      </c>
      <c r="Q152" s="120">
        <v>0.8571428571428571</v>
      </c>
      <c r="R152" s="120">
        <v>0.9061083000000002</v>
      </c>
      <c r="S152" s="15"/>
      <c r="T152" s="161"/>
      <c r="AA152" s="15"/>
      <c r="AB152" s="15"/>
      <c r="AC152" s="15"/>
      <c r="AD152" s="15"/>
      <c r="AE152" s="15"/>
    </row>
    <row r="153" ht="15.0" customHeight="1">
      <c r="A153" s="134" t="s">
        <v>256</v>
      </c>
      <c r="B153" s="3" t="s">
        <v>258</v>
      </c>
      <c r="C153" s="3" t="s">
        <v>108</v>
      </c>
      <c r="D153" s="3" t="s">
        <v>251</v>
      </c>
      <c r="E153" s="8">
        <v>2.0</v>
      </c>
      <c r="F153" s="162" t="s">
        <v>233</v>
      </c>
      <c r="G153" s="137">
        <v>8.29283485</v>
      </c>
      <c r="H153" s="137">
        <v>0.11249188</v>
      </c>
      <c r="I153" s="137">
        <v>3.52635846</v>
      </c>
      <c r="J153" s="120">
        <f t="shared" si="1"/>
        <v>73.71940846</v>
      </c>
      <c r="K153" s="121"/>
      <c r="L153" s="121">
        <v>-0.985</v>
      </c>
      <c r="M153" s="122"/>
      <c r="N153" s="120">
        <v>44.7</v>
      </c>
      <c r="O153" s="120">
        <v>5.709130215163437</v>
      </c>
      <c r="P153" s="123">
        <v>4.589031694447109</v>
      </c>
      <c r="Q153" s="120">
        <v>0.5714285714285714</v>
      </c>
      <c r="R153" s="120">
        <v>0.8038057500000002</v>
      </c>
      <c r="S153" s="15"/>
      <c r="T153" s="161"/>
      <c r="AA153" s="15"/>
      <c r="AB153" s="15"/>
      <c r="AC153" s="15"/>
      <c r="AD153" s="15"/>
      <c r="AE153" s="15"/>
    </row>
    <row r="154" ht="15.0" customHeight="1">
      <c r="A154" s="134" t="s">
        <v>256</v>
      </c>
      <c r="B154" s="3" t="s">
        <v>258</v>
      </c>
      <c r="C154" s="3" t="s">
        <v>108</v>
      </c>
      <c r="D154" s="3" t="s">
        <v>251</v>
      </c>
      <c r="E154" s="8">
        <v>3.0</v>
      </c>
      <c r="F154" s="162" t="s">
        <v>233</v>
      </c>
      <c r="G154" s="137">
        <v>4.65780357</v>
      </c>
      <c r="H154" s="137">
        <v>0.06310428</v>
      </c>
      <c r="I154" s="137">
        <v>2.94154343</v>
      </c>
      <c r="J154" s="120">
        <f t="shared" si="1"/>
        <v>73.81121487</v>
      </c>
      <c r="K154" s="121">
        <v>-0.301</v>
      </c>
      <c r="L154" s="121">
        <v>-1.159</v>
      </c>
      <c r="M154" s="122">
        <v>0.858</v>
      </c>
      <c r="N154" s="120">
        <v>41.2</v>
      </c>
      <c r="O154" s="120">
        <v>3.4283722960372955</v>
      </c>
      <c r="P154" s="123">
        <v>4.108565816455081</v>
      </c>
      <c r="Q154" s="120">
        <v>1.0</v>
      </c>
      <c r="R154" s="120">
        <v>1.1984013000000002</v>
      </c>
      <c r="S154" s="15"/>
      <c r="T154" s="161"/>
      <c r="AA154" s="15"/>
      <c r="AB154" s="15"/>
      <c r="AC154" s="15"/>
      <c r="AD154" s="15"/>
      <c r="AE154" s="15"/>
    </row>
    <row r="155" ht="15.0" customHeight="1">
      <c r="A155" s="134" t="s">
        <v>256</v>
      </c>
      <c r="B155" s="3" t="s">
        <v>258</v>
      </c>
      <c r="C155" s="3" t="s">
        <v>108</v>
      </c>
      <c r="D155" s="3" t="s">
        <v>251</v>
      </c>
      <c r="E155" s="8">
        <v>4.0</v>
      </c>
      <c r="F155" s="162" t="s">
        <v>233</v>
      </c>
      <c r="G155" s="137">
        <v>3.22031491</v>
      </c>
      <c r="H155" s="137">
        <v>0.05070299</v>
      </c>
      <c r="I155" s="137">
        <v>2.26903491</v>
      </c>
      <c r="J155" s="120">
        <f t="shared" si="1"/>
        <v>63.51331371</v>
      </c>
      <c r="K155" s="121"/>
      <c r="L155" s="121">
        <v>-0.983</v>
      </c>
      <c r="M155" s="122"/>
      <c r="N155" s="120">
        <v>63.7</v>
      </c>
      <c r="O155" s="120">
        <v>3.685472590836</v>
      </c>
      <c r="P155" s="123">
        <v>3.98578000797494</v>
      </c>
      <c r="Q155" s="120">
        <v>1.1428571428571428</v>
      </c>
      <c r="R155" s="120">
        <v>1.0814841000000002</v>
      </c>
      <c r="S155" s="15"/>
      <c r="T155" s="161"/>
      <c r="AA155" s="15"/>
      <c r="AB155" s="15"/>
      <c r="AC155" s="15"/>
      <c r="AD155" s="15"/>
      <c r="AE155" s="15"/>
    </row>
    <row r="156" ht="15.0" customHeight="1">
      <c r="A156" s="134" t="s">
        <v>256</v>
      </c>
      <c r="B156" s="3" t="s">
        <v>258</v>
      </c>
      <c r="C156" s="3" t="s">
        <v>108</v>
      </c>
      <c r="D156" s="3" t="s">
        <v>251</v>
      </c>
      <c r="E156" s="8">
        <v>5.0</v>
      </c>
      <c r="F156" s="162" t="s">
        <v>233</v>
      </c>
      <c r="G156" s="137">
        <v>7.86649639</v>
      </c>
      <c r="H156" s="137">
        <v>0.10147469</v>
      </c>
      <c r="I156" s="137">
        <v>4.63479178</v>
      </c>
      <c r="J156" s="120">
        <f t="shared" si="1"/>
        <v>77.52175828</v>
      </c>
      <c r="K156" s="121">
        <v>-0.441</v>
      </c>
      <c r="L156" s="121">
        <v>-1.102</v>
      </c>
      <c r="M156" s="122">
        <v>0.661</v>
      </c>
      <c r="N156" s="120">
        <v>32.5</v>
      </c>
      <c r="O156" s="120">
        <v>7.011787866868381</v>
      </c>
      <c r="P156" s="123">
        <v>7.1732377883969605</v>
      </c>
      <c r="Q156" s="120">
        <v>0.8571428571428571</v>
      </c>
      <c r="R156" s="120">
        <v>1.0230255000000004</v>
      </c>
      <c r="S156" s="15"/>
      <c r="T156" s="161"/>
      <c r="AA156" s="15"/>
      <c r="AB156" s="15"/>
      <c r="AC156" s="15"/>
      <c r="AD156" s="15"/>
      <c r="AE156" s="15"/>
    </row>
    <row r="157" ht="15.0" customHeight="1">
      <c r="A157" s="134" t="s">
        <v>256</v>
      </c>
      <c r="B157" s="3" t="s">
        <v>258</v>
      </c>
      <c r="C157" s="3" t="s">
        <v>108</v>
      </c>
      <c r="D157" s="3" t="s">
        <v>251</v>
      </c>
      <c r="E157" s="8">
        <v>6.0</v>
      </c>
      <c r="F157" s="162" t="s">
        <v>233</v>
      </c>
      <c r="G157" s="137">
        <v>6.23981898</v>
      </c>
      <c r="H157" s="137">
        <v>0.08169246</v>
      </c>
      <c r="I157" s="137">
        <v>3.66675821</v>
      </c>
      <c r="J157" s="120">
        <f t="shared" si="1"/>
        <v>76.38182251</v>
      </c>
      <c r="K157" s="121"/>
      <c r="L157" s="121">
        <v>-1.057</v>
      </c>
      <c r="M157" s="122"/>
      <c r="N157" s="120">
        <v>40.0</v>
      </c>
      <c r="O157" s="120">
        <v>5.316685095770441</v>
      </c>
      <c r="P157" s="123">
        <v>5.6722089039478085</v>
      </c>
      <c r="Q157" s="120">
        <v>1.0</v>
      </c>
      <c r="R157" s="120">
        <v>1.0668694500000002</v>
      </c>
      <c r="S157" s="15"/>
      <c r="T157" s="161"/>
      <c r="AA157" s="15"/>
      <c r="AB157" s="15"/>
      <c r="AC157" s="15"/>
      <c r="AD157" s="15"/>
      <c r="AE157" s="15"/>
    </row>
    <row r="158" ht="15.0" customHeight="1">
      <c r="A158" s="134" t="s">
        <v>244</v>
      </c>
      <c r="B158" s="3" t="s">
        <v>257</v>
      </c>
      <c r="C158" s="3" t="s">
        <v>115</v>
      </c>
      <c r="D158" s="135" t="s">
        <v>240</v>
      </c>
      <c r="E158" s="48">
        <v>1.0</v>
      </c>
      <c r="F158" s="162" t="s">
        <v>233</v>
      </c>
      <c r="G158" s="137">
        <v>8.62830921</v>
      </c>
      <c r="H158" s="137">
        <v>0.12150648</v>
      </c>
      <c r="I158" s="137">
        <v>4.53343611</v>
      </c>
      <c r="J158" s="120">
        <f t="shared" si="1"/>
        <v>71.01110336</v>
      </c>
      <c r="K158" s="121">
        <v>-0.399</v>
      </c>
      <c r="L158" s="121">
        <v>-1.265</v>
      </c>
      <c r="M158" s="122">
        <v>0.866</v>
      </c>
      <c r="N158" s="120">
        <v>49.4</v>
      </c>
      <c r="O158" s="120">
        <v>5.234914676674366</v>
      </c>
      <c r="P158" s="123">
        <v>4.972918975664838</v>
      </c>
      <c r="Q158" s="120">
        <v>0.5714285714285714</v>
      </c>
      <c r="R158" s="120">
        <v>0.9499522500000003</v>
      </c>
      <c r="S158" s="15"/>
      <c r="T158" s="161"/>
      <c r="AA158" s="15"/>
      <c r="AB158" s="15"/>
      <c r="AC158" s="15"/>
      <c r="AD158" s="15"/>
      <c r="AE158" s="15"/>
    </row>
    <row r="159" ht="15.0" customHeight="1">
      <c r="A159" s="134" t="s">
        <v>244</v>
      </c>
      <c r="B159" s="3" t="s">
        <v>257</v>
      </c>
      <c r="C159" s="3" t="s">
        <v>115</v>
      </c>
      <c r="D159" s="135" t="s">
        <v>240</v>
      </c>
      <c r="E159" s="48">
        <v>2.0</v>
      </c>
      <c r="F159" s="162" t="s">
        <v>233</v>
      </c>
      <c r="G159" s="137">
        <v>10.600966</v>
      </c>
      <c r="H159" s="137">
        <v>0.17463129</v>
      </c>
      <c r="I159" s="137">
        <v>4.97553404</v>
      </c>
      <c r="J159" s="120">
        <f t="shared" si="1"/>
        <v>60.70484848</v>
      </c>
      <c r="K159" s="121"/>
      <c r="L159" s="121">
        <v>-1.13</v>
      </c>
      <c r="M159" s="122"/>
      <c r="N159" s="120">
        <v>42.1</v>
      </c>
      <c r="O159" s="120">
        <v>6.619306397754335</v>
      </c>
      <c r="P159" s="123">
        <v>5.3206365435267235</v>
      </c>
      <c r="Q159" s="120">
        <v>0.42857142857142855</v>
      </c>
      <c r="R159" s="120">
        <v>0.8038057500000002</v>
      </c>
      <c r="S159" s="15"/>
      <c r="T159" s="161"/>
      <c r="AA159" s="15"/>
      <c r="AB159" s="15"/>
      <c r="AC159" s="15"/>
      <c r="AD159" s="15"/>
      <c r="AE159" s="15"/>
    </row>
    <row r="160" ht="15.0" customHeight="1">
      <c r="A160" s="134" t="s">
        <v>244</v>
      </c>
      <c r="B160" s="3" t="s">
        <v>257</v>
      </c>
      <c r="C160" s="3" t="s">
        <v>115</v>
      </c>
      <c r="D160" s="135" t="s">
        <v>240</v>
      </c>
      <c r="E160" s="48">
        <v>3.0</v>
      </c>
      <c r="F160" s="162" t="s">
        <v>233</v>
      </c>
      <c r="G160" s="137">
        <v>10.2512598</v>
      </c>
      <c r="H160" s="137">
        <v>0.16623854</v>
      </c>
      <c r="I160" s="137">
        <v>6.06205203</v>
      </c>
      <c r="J160" s="120">
        <f t="shared" si="1"/>
        <v>61.66596386</v>
      </c>
      <c r="K160" s="121">
        <v>-0.39</v>
      </c>
      <c r="L160" s="121">
        <v>-1.106</v>
      </c>
      <c r="M160" s="122">
        <v>0.716</v>
      </c>
      <c r="N160" s="120">
        <v>45.8</v>
      </c>
      <c r="O160" s="120">
        <v>8.466553114525139</v>
      </c>
      <c r="P160" s="123">
        <v>7.176671207561301</v>
      </c>
      <c r="Q160" s="120">
        <v>0.42857142857142855</v>
      </c>
      <c r="R160" s="120">
        <v>0.8476497000000002</v>
      </c>
      <c r="S160" s="15"/>
      <c r="T160" s="161"/>
      <c r="AA160" s="15"/>
      <c r="AB160" s="15"/>
      <c r="AC160" s="15"/>
      <c r="AD160" s="15"/>
      <c r="AE160" s="15"/>
    </row>
    <row r="161" ht="15.0" customHeight="1">
      <c r="A161" s="134" t="s">
        <v>244</v>
      </c>
      <c r="B161" s="3" t="s">
        <v>257</v>
      </c>
      <c r="C161" s="3" t="s">
        <v>115</v>
      </c>
      <c r="D161" s="135" t="s">
        <v>240</v>
      </c>
      <c r="E161" s="48">
        <v>4.0</v>
      </c>
      <c r="F161" s="162" t="s">
        <v>233</v>
      </c>
      <c r="G161" s="137">
        <v>7.55318691</v>
      </c>
      <c r="H161" s="137">
        <v>0.11779614</v>
      </c>
      <c r="I161" s="137">
        <v>4.5943443</v>
      </c>
      <c r="J161" s="120">
        <f t="shared" si="1"/>
        <v>64.12083545</v>
      </c>
      <c r="K161" s="121"/>
      <c r="L161" s="121">
        <v>-1.048</v>
      </c>
      <c r="M161" s="122"/>
      <c r="N161" s="120">
        <v>31.9</v>
      </c>
      <c r="O161" s="120">
        <v>6.860609404632133</v>
      </c>
      <c r="P161" s="123">
        <v>6.818047556007677</v>
      </c>
      <c r="Q161" s="120">
        <v>0.8571428571428571</v>
      </c>
      <c r="R161" s="120">
        <v>0.9937962000000001</v>
      </c>
      <c r="S161" s="15"/>
      <c r="T161" s="161"/>
      <c r="AA161" s="15"/>
      <c r="AB161" s="15"/>
      <c r="AC161" s="15"/>
      <c r="AD161" s="15"/>
      <c r="AE161" s="15"/>
    </row>
    <row r="162" ht="15.0" customHeight="1">
      <c r="A162" s="134" t="s">
        <v>244</v>
      </c>
      <c r="B162" s="3" t="s">
        <v>257</v>
      </c>
      <c r="C162" s="3" t="s">
        <v>115</v>
      </c>
      <c r="D162" s="135" t="s">
        <v>240</v>
      </c>
      <c r="E162" s="48">
        <v>5.0</v>
      </c>
      <c r="F162" s="162" t="s">
        <v>233</v>
      </c>
      <c r="G162" s="137">
        <v>13.5427958</v>
      </c>
      <c r="H162" s="137">
        <v>0.24546095</v>
      </c>
      <c r="I162" s="137">
        <v>8.44678092</v>
      </c>
      <c r="J162" s="120">
        <f t="shared" si="1"/>
        <v>55.17291365</v>
      </c>
      <c r="K162" s="121">
        <v>-0.346</v>
      </c>
      <c r="L162" s="121">
        <v>-1.196</v>
      </c>
      <c r="M162" s="122">
        <v>0.85</v>
      </c>
      <c r="N162" s="120">
        <v>27.3</v>
      </c>
      <c r="O162" s="120">
        <v>9.937389317647058</v>
      </c>
      <c r="P162" s="123">
        <v>9.875739741798242</v>
      </c>
      <c r="Q162" s="120">
        <v>0.8571428571428571</v>
      </c>
      <c r="R162" s="120">
        <v>0.9937962000000001</v>
      </c>
      <c r="S162" s="15"/>
      <c r="T162" s="161"/>
      <c r="AA162" s="15"/>
      <c r="AB162" s="15"/>
      <c r="AC162" s="15"/>
      <c r="AD162" s="15"/>
      <c r="AE162" s="15"/>
    </row>
    <row r="163" ht="15.0" customHeight="1">
      <c r="A163" s="134" t="s">
        <v>244</v>
      </c>
      <c r="B163" s="3" t="s">
        <v>257</v>
      </c>
      <c r="C163" s="3" t="s">
        <v>115</v>
      </c>
      <c r="D163" s="135" t="s">
        <v>240</v>
      </c>
      <c r="E163" s="48">
        <v>6.0</v>
      </c>
      <c r="F163" s="162" t="s">
        <v>233</v>
      </c>
      <c r="G163" s="137">
        <v>3.92359243</v>
      </c>
      <c r="H163" s="137">
        <v>0.0456819</v>
      </c>
      <c r="I163" s="137">
        <v>2.26897334</v>
      </c>
      <c r="J163" s="120">
        <f t="shared" si="1"/>
        <v>85.8894317</v>
      </c>
      <c r="K163" s="121"/>
      <c r="L163" s="121">
        <v>-1.182</v>
      </c>
      <c r="M163" s="122"/>
      <c r="N163" s="120">
        <v>43.6</v>
      </c>
      <c r="O163" s="120">
        <v>2.823264947055384</v>
      </c>
      <c r="P163" s="123">
        <v>2.9707940922107743</v>
      </c>
      <c r="Q163" s="120">
        <v>1.1428571428571428</v>
      </c>
      <c r="R163" s="120">
        <v>1.0522548000000003</v>
      </c>
      <c r="S163" s="15"/>
      <c r="T163" s="161"/>
      <c r="AA163" s="15"/>
      <c r="AB163" s="15"/>
      <c r="AC163" s="15"/>
      <c r="AD163" s="15"/>
      <c r="AE163" s="15"/>
    </row>
    <row r="164" ht="15.0" customHeight="1">
      <c r="A164" s="134" t="s">
        <v>238</v>
      </c>
      <c r="B164" s="3" t="s">
        <v>250</v>
      </c>
      <c r="C164" s="3" t="s">
        <v>122</v>
      </c>
      <c r="D164" s="3" t="s">
        <v>251</v>
      </c>
      <c r="E164" s="48">
        <v>1.0</v>
      </c>
      <c r="F164" s="162" t="s">
        <v>233</v>
      </c>
      <c r="G164" s="137">
        <v>7.15142307</v>
      </c>
      <c r="H164" s="137">
        <v>0.07112087</v>
      </c>
      <c r="I164" s="137">
        <v>2.93489301</v>
      </c>
      <c r="J164" s="120">
        <f t="shared" si="1"/>
        <v>100.5530876</v>
      </c>
      <c r="K164" s="121">
        <v>-0.52</v>
      </c>
      <c r="L164" s="121">
        <v>-1.178</v>
      </c>
      <c r="M164" s="122">
        <v>0.658</v>
      </c>
      <c r="N164" s="120">
        <v>35.8</v>
      </c>
      <c r="O164" s="120">
        <v>4.460323723404256</v>
      </c>
      <c r="P164" s="123">
        <v>3.5852338557337515</v>
      </c>
      <c r="Q164" s="120">
        <v>0.5714285714285714</v>
      </c>
      <c r="R164" s="120">
        <v>0.8038057500000002</v>
      </c>
      <c r="S164" s="15"/>
      <c r="T164" s="161"/>
      <c r="AA164" s="15"/>
      <c r="AB164" s="15"/>
      <c r="AC164" s="15"/>
      <c r="AD164" s="15"/>
      <c r="AE164" s="15"/>
    </row>
    <row r="165" ht="15.0" customHeight="1">
      <c r="A165" s="134" t="s">
        <v>238</v>
      </c>
      <c r="B165" s="3" t="s">
        <v>250</v>
      </c>
      <c r="C165" s="3" t="s">
        <v>122</v>
      </c>
      <c r="D165" s="3" t="s">
        <v>251</v>
      </c>
      <c r="E165" s="48">
        <v>2.0</v>
      </c>
      <c r="F165" s="162" t="s">
        <v>233</v>
      </c>
      <c r="G165" s="137">
        <v>7.52071787</v>
      </c>
      <c r="H165" s="137">
        <v>0.12679732</v>
      </c>
      <c r="I165" s="137">
        <v>4.11486903</v>
      </c>
      <c r="J165" s="120">
        <f t="shared" si="1"/>
        <v>59.31290874</v>
      </c>
      <c r="K165" s="121"/>
      <c r="L165" s="121">
        <v>-0.917</v>
      </c>
      <c r="M165" s="122"/>
      <c r="N165" s="120">
        <v>35.5</v>
      </c>
      <c r="O165" s="120">
        <v>9.13745260142562</v>
      </c>
      <c r="P165" s="123">
        <v>6.944114926394098</v>
      </c>
      <c r="Q165" s="120">
        <v>0.5714285714285714</v>
      </c>
      <c r="R165" s="120">
        <v>0.7599618000000001</v>
      </c>
      <c r="S165" s="15"/>
      <c r="T165" s="161"/>
      <c r="AA165" s="15"/>
      <c r="AB165" s="15"/>
      <c r="AC165" s="15"/>
      <c r="AD165" s="15"/>
      <c r="AE165" s="15"/>
    </row>
    <row r="166" ht="15.0" customHeight="1">
      <c r="A166" s="134" t="s">
        <v>238</v>
      </c>
      <c r="B166" s="3" t="s">
        <v>250</v>
      </c>
      <c r="C166" s="3" t="s">
        <v>122</v>
      </c>
      <c r="D166" s="3" t="s">
        <v>251</v>
      </c>
      <c r="E166" s="48">
        <v>3.0</v>
      </c>
      <c r="F166" s="162" t="s">
        <v>233</v>
      </c>
      <c r="G166" s="137">
        <v>13.4242453</v>
      </c>
      <c r="H166" s="137">
        <v>0.2888466</v>
      </c>
      <c r="I166" s="137">
        <v>8.79001886</v>
      </c>
      <c r="J166" s="120">
        <f t="shared" si="1"/>
        <v>46.4753447</v>
      </c>
      <c r="K166" s="121">
        <v>-0.43</v>
      </c>
      <c r="L166" s="121">
        <v>-1.11</v>
      </c>
      <c r="M166" s="122">
        <v>0.68</v>
      </c>
      <c r="N166" s="120">
        <v>37.2</v>
      </c>
      <c r="O166" s="120">
        <v>12.926498323529408</v>
      </c>
      <c r="P166" s="123">
        <v>13.601969908125778</v>
      </c>
      <c r="Q166" s="120">
        <v>1.2857142857142858</v>
      </c>
      <c r="R166" s="120">
        <v>1.0522548000000003</v>
      </c>
      <c r="S166" s="15"/>
      <c r="T166" s="161"/>
      <c r="AA166" s="15"/>
      <c r="AB166" s="15"/>
      <c r="AC166" s="15"/>
      <c r="AD166" s="15"/>
      <c r="AE166" s="15"/>
    </row>
    <row r="167" ht="15.0" customHeight="1">
      <c r="A167" s="134" t="s">
        <v>238</v>
      </c>
      <c r="B167" s="3" t="s">
        <v>250</v>
      </c>
      <c r="C167" s="3" t="s">
        <v>122</v>
      </c>
      <c r="D167" s="3" t="s">
        <v>251</v>
      </c>
      <c r="E167" s="48">
        <v>4.0</v>
      </c>
      <c r="F167" s="162" t="s">
        <v>233</v>
      </c>
      <c r="G167" s="137">
        <v>4.03917802</v>
      </c>
      <c r="H167" s="137">
        <v>0.06069219</v>
      </c>
      <c r="I167" s="137">
        <v>2.71821928</v>
      </c>
      <c r="J167" s="120">
        <f t="shared" si="1"/>
        <v>66.55185816</v>
      </c>
      <c r="K167" s="121"/>
      <c r="L167" s="121">
        <v>-1.023</v>
      </c>
      <c r="M167" s="122"/>
      <c r="N167" s="120">
        <v>39.7</v>
      </c>
      <c r="O167" s="120">
        <v>4.885983642801934</v>
      </c>
      <c r="P167" s="123">
        <v>5.498334445086198</v>
      </c>
      <c r="Q167" s="120">
        <v>0.8571428571428571</v>
      </c>
      <c r="R167" s="120">
        <v>1.1253280500000002</v>
      </c>
      <c r="S167" s="15"/>
      <c r="T167" s="161"/>
      <c r="AA167" s="15"/>
      <c r="AB167" s="15"/>
      <c r="AC167" s="15"/>
      <c r="AD167" s="15"/>
      <c r="AE167" s="15"/>
    </row>
    <row r="168" ht="15.0" customHeight="1">
      <c r="A168" s="134" t="s">
        <v>238</v>
      </c>
      <c r="B168" s="3" t="s">
        <v>250</v>
      </c>
      <c r="C168" s="3" t="s">
        <v>122</v>
      </c>
      <c r="D168" s="3" t="s">
        <v>251</v>
      </c>
      <c r="E168" s="48">
        <v>5.0</v>
      </c>
      <c r="F168" s="162" t="s">
        <v>233</v>
      </c>
      <c r="G168" s="137">
        <v>6.13793539</v>
      </c>
      <c r="H168" s="137">
        <v>0.17314919</v>
      </c>
      <c r="I168" s="137">
        <v>6.08740958</v>
      </c>
      <c r="J168" s="120">
        <f t="shared" si="1"/>
        <v>35.44882532</v>
      </c>
      <c r="K168" s="121">
        <v>-0.45</v>
      </c>
      <c r="L168" s="121">
        <v>-1.026</v>
      </c>
      <c r="M168" s="122">
        <v>0.576</v>
      </c>
      <c r="N168" s="120">
        <v>36.4</v>
      </c>
      <c r="O168" s="120">
        <v>10.568419409722221</v>
      </c>
      <c r="P168" s="123">
        <v>11.42957755374597</v>
      </c>
      <c r="Q168" s="120">
        <v>1.2857142857142858</v>
      </c>
      <c r="R168" s="120">
        <v>1.0814841000000002</v>
      </c>
      <c r="S168" s="15"/>
      <c r="T168" s="161"/>
      <c r="AA168" s="15"/>
      <c r="AB168" s="15"/>
      <c r="AC168" s="15"/>
      <c r="AD168" s="15"/>
      <c r="AE168" s="15"/>
    </row>
    <row r="169" ht="15.0" customHeight="1">
      <c r="A169" s="134" t="s">
        <v>238</v>
      </c>
      <c r="B169" s="3" t="s">
        <v>250</v>
      </c>
      <c r="C169" s="3" t="s">
        <v>122</v>
      </c>
      <c r="D169" s="3" t="s">
        <v>251</v>
      </c>
      <c r="E169" s="48">
        <v>6.0</v>
      </c>
      <c r="F169" s="162" t="s">
        <v>233</v>
      </c>
      <c r="G169" s="137">
        <v>6.144291</v>
      </c>
      <c r="H169" s="137">
        <v>0.09015419</v>
      </c>
      <c r="I169" s="137">
        <v>4.21513319</v>
      </c>
      <c r="J169" s="120">
        <f t="shared" si="1"/>
        <v>68.15313853</v>
      </c>
      <c r="K169" s="121"/>
      <c r="L169" s="121">
        <v>-1.19</v>
      </c>
      <c r="M169" s="122"/>
      <c r="N169" s="120">
        <v>34.9</v>
      </c>
      <c r="O169" s="120">
        <v>5.827399928110268</v>
      </c>
      <c r="P169" s="123">
        <v>6.728067418389182</v>
      </c>
      <c r="Q169" s="120">
        <v>1.1428571428571428</v>
      </c>
      <c r="R169" s="120">
        <v>1.1545573500000001</v>
      </c>
      <c r="S169" s="15"/>
      <c r="T169" s="161"/>
      <c r="AA169" s="15"/>
      <c r="AB169" s="15"/>
      <c r="AC169" s="15"/>
      <c r="AD169" s="15"/>
      <c r="AE169" s="15"/>
    </row>
    <row r="170" ht="15.0" customHeight="1">
      <c r="A170" s="134" t="s">
        <v>238</v>
      </c>
      <c r="B170" s="3" t="s">
        <v>257</v>
      </c>
      <c r="C170" s="3" t="s">
        <v>129</v>
      </c>
      <c r="D170" s="135" t="s">
        <v>240</v>
      </c>
      <c r="E170" s="48">
        <v>1.0</v>
      </c>
      <c r="F170" s="162" t="s">
        <v>233</v>
      </c>
      <c r="G170" s="137">
        <v>6.40036227</v>
      </c>
      <c r="H170" s="137">
        <v>0.09192052</v>
      </c>
      <c r="I170" s="137">
        <v>3.68517644</v>
      </c>
      <c r="J170" s="120">
        <f t="shared" si="1"/>
        <v>69.62930878</v>
      </c>
      <c r="K170" s="121">
        <v>-0.615</v>
      </c>
      <c r="L170" s="121">
        <v>-1.087</v>
      </c>
      <c r="M170" s="122">
        <v>0.472</v>
      </c>
      <c r="N170" s="120">
        <v>40.5</v>
      </c>
      <c r="O170" s="120">
        <v>7.807577203389831</v>
      </c>
      <c r="P170" s="123">
        <v>6.161670441478146</v>
      </c>
      <c r="Q170" s="120">
        <v>0.5714285714285714</v>
      </c>
      <c r="R170" s="120">
        <v>0.7891911000000001</v>
      </c>
      <c r="S170" s="15"/>
      <c r="T170" s="161"/>
      <c r="AA170" s="15"/>
      <c r="AB170" s="15"/>
      <c r="AC170" s="15"/>
      <c r="AD170" s="15"/>
      <c r="AE170" s="15"/>
    </row>
    <row r="171" ht="15.0" customHeight="1">
      <c r="A171" s="134" t="s">
        <v>238</v>
      </c>
      <c r="B171" s="3" t="s">
        <v>257</v>
      </c>
      <c r="C171" s="3" t="s">
        <v>129</v>
      </c>
      <c r="D171" s="135" t="s">
        <v>240</v>
      </c>
      <c r="E171" s="48">
        <v>2.0</v>
      </c>
      <c r="F171" s="162" t="s">
        <v>233</v>
      </c>
      <c r="G171" s="137">
        <v>6.70056905</v>
      </c>
      <c r="H171" s="137">
        <v>0.11591129</v>
      </c>
      <c r="I171" s="137">
        <v>3.82478325</v>
      </c>
      <c r="J171" s="120">
        <f t="shared" si="1"/>
        <v>57.80773426</v>
      </c>
      <c r="K171" s="121"/>
      <c r="L171" s="121">
        <v>-1.125</v>
      </c>
      <c r="M171" s="122"/>
      <c r="N171" s="120">
        <v>39.9</v>
      </c>
      <c r="O171" s="120">
        <v>5.824513454246425</v>
      </c>
      <c r="P171" s="123">
        <v>5.4478864354625625</v>
      </c>
      <c r="Q171" s="120">
        <v>0.5714285714285714</v>
      </c>
      <c r="R171" s="120">
        <v>0.9353376000000002</v>
      </c>
      <c r="S171" s="15"/>
      <c r="T171" s="161"/>
      <c r="AA171" s="15"/>
      <c r="AB171" s="15"/>
      <c r="AC171" s="15"/>
      <c r="AD171" s="15"/>
      <c r="AE171" s="15"/>
    </row>
    <row r="172" ht="15.0" customHeight="1">
      <c r="A172" s="134" t="s">
        <v>238</v>
      </c>
      <c r="B172" s="3" t="s">
        <v>257</v>
      </c>
      <c r="C172" s="3" t="s">
        <v>129</v>
      </c>
      <c r="D172" s="135" t="s">
        <v>240</v>
      </c>
      <c r="E172" s="48">
        <v>3.0</v>
      </c>
      <c r="F172" s="162" t="s">
        <v>233</v>
      </c>
      <c r="G172" s="137">
        <v>5.78256232</v>
      </c>
      <c r="H172" s="137">
        <v>0.08972417</v>
      </c>
      <c r="I172" s="137">
        <v>4.19854479</v>
      </c>
      <c r="J172" s="120">
        <f t="shared" si="1"/>
        <v>64.44821189</v>
      </c>
      <c r="K172" s="121">
        <v>-0.34</v>
      </c>
      <c r="L172" s="121">
        <v>-1.132</v>
      </c>
      <c r="M172" s="122">
        <v>0.792</v>
      </c>
      <c r="N172" s="120">
        <v>27.6</v>
      </c>
      <c r="O172" s="120">
        <v>5.301192916666667</v>
      </c>
      <c r="P172" s="123">
        <v>5.268305376050252</v>
      </c>
      <c r="Q172" s="120">
        <v>1.0</v>
      </c>
      <c r="R172" s="120">
        <v>0.9937962000000001</v>
      </c>
      <c r="S172" s="15"/>
      <c r="T172" s="161"/>
      <c r="AA172" s="15"/>
      <c r="AB172" s="15"/>
      <c r="AC172" s="15"/>
      <c r="AD172" s="15"/>
      <c r="AE172" s="15"/>
    </row>
    <row r="173" ht="15.0" customHeight="1">
      <c r="A173" s="134" t="s">
        <v>238</v>
      </c>
      <c r="B173" s="3" t="s">
        <v>257</v>
      </c>
      <c r="C173" s="3" t="s">
        <v>129</v>
      </c>
      <c r="D173" s="135" t="s">
        <v>240</v>
      </c>
      <c r="E173" s="48">
        <v>4.0</v>
      </c>
      <c r="F173" s="162" t="s">
        <v>233</v>
      </c>
      <c r="G173" s="137">
        <v>7.84322615</v>
      </c>
      <c r="H173" s="137">
        <v>0.12820499</v>
      </c>
      <c r="I173" s="137">
        <v>5.00312461</v>
      </c>
      <c r="J173" s="120">
        <f t="shared" si="1"/>
        <v>61.17722992</v>
      </c>
      <c r="K173" s="121"/>
      <c r="L173" s="121">
        <v>-0.995</v>
      </c>
      <c r="M173" s="122"/>
      <c r="N173" s="120">
        <v>42.4</v>
      </c>
      <c r="O173" s="120">
        <v>9.499543566179963</v>
      </c>
      <c r="P173" s="123">
        <v>9.02411278466568</v>
      </c>
      <c r="Q173" s="120">
        <v>1.0</v>
      </c>
      <c r="R173" s="120">
        <v>0.9499522500000003</v>
      </c>
      <c r="S173" s="15"/>
      <c r="T173" s="161"/>
      <c r="AA173" s="15"/>
      <c r="AB173" s="15"/>
      <c r="AC173" s="15"/>
      <c r="AD173" s="15"/>
      <c r="AE173" s="15"/>
    </row>
    <row r="174" ht="15.0" customHeight="1">
      <c r="A174" s="134" t="s">
        <v>238</v>
      </c>
      <c r="B174" s="3" t="s">
        <v>257</v>
      </c>
      <c r="C174" s="3" t="s">
        <v>129</v>
      </c>
      <c r="D174" s="135" t="s">
        <v>240</v>
      </c>
      <c r="E174" s="48">
        <v>5.0</v>
      </c>
      <c r="F174" s="162" t="s">
        <v>233</v>
      </c>
      <c r="G174" s="137">
        <v>12.9432313</v>
      </c>
      <c r="H174" s="137">
        <v>0.2058141</v>
      </c>
      <c r="I174" s="137">
        <v>8.30428797</v>
      </c>
      <c r="J174" s="120">
        <f t="shared" si="1"/>
        <v>62.88797172</v>
      </c>
      <c r="K174" s="121">
        <v>-0.45</v>
      </c>
      <c r="L174" s="121">
        <v>-1.172</v>
      </c>
      <c r="M174" s="122">
        <v>0.722</v>
      </c>
      <c r="N174" s="120">
        <v>41.4</v>
      </c>
      <c r="O174" s="120">
        <v>11.50178389196676</v>
      </c>
      <c r="P174" s="123">
        <v>10.75805094123085</v>
      </c>
      <c r="Q174" s="120">
        <v>0.8571428571428571</v>
      </c>
      <c r="R174" s="120">
        <v>0.9353376000000002</v>
      </c>
      <c r="S174" s="15"/>
      <c r="T174" s="161"/>
      <c r="AA174" s="15"/>
      <c r="AB174" s="15"/>
      <c r="AC174" s="15"/>
      <c r="AD174" s="15"/>
      <c r="AE174" s="15"/>
    </row>
    <row r="175" ht="15.0" customHeight="1">
      <c r="A175" s="134" t="s">
        <v>238</v>
      </c>
      <c r="B175" s="3" t="s">
        <v>257</v>
      </c>
      <c r="C175" s="3" t="s">
        <v>129</v>
      </c>
      <c r="D175" s="135" t="s">
        <v>240</v>
      </c>
      <c r="E175" s="48">
        <v>6.0</v>
      </c>
      <c r="F175" s="162" t="s">
        <v>233</v>
      </c>
      <c r="G175" s="137">
        <v>11.094302</v>
      </c>
      <c r="H175" s="137">
        <v>0.21656654</v>
      </c>
      <c r="I175" s="137">
        <v>7.61556308</v>
      </c>
      <c r="J175" s="120">
        <f t="shared" si="1"/>
        <v>51.22814448</v>
      </c>
      <c r="K175" s="121"/>
      <c r="L175" s="121">
        <v>-1.114</v>
      </c>
      <c r="M175" s="122"/>
      <c r="N175" s="120">
        <v>37.0</v>
      </c>
      <c r="O175" s="120">
        <v>11.794822556414266</v>
      </c>
      <c r="P175" s="123">
        <v>13.790176277927985</v>
      </c>
      <c r="Q175" s="120">
        <v>1.0</v>
      </c>
      <c r="R175" s="120">
        <v>1.1691720000000003</v>
      </c>
      <c r="S175" s="15"/>
      <c r="T175" s="161"/>
      <c r="AA175" s="15"/>
      <c r="AB175" s="15"/>
      <c r="AC175" s="15"/>
      <c r="AD175" s="15"/>
      <c r="AE175" s="15"/>
    </row>
    <row r="176" ht="15.0" customHeight="1">
      <c r="A176" s="134" t="s">
        <v>238</v>
      </c>
      <c r="B176" s="3" t="s">
        <v>258</v>
      </c>
      <c r="C176" s="3" t="s">
        <v>136</v>
      </c>
      <c r="D176" s="3" t="s">
        <v>251</v>
      </c>
      <c r="E176" s="48">
        <v>1.0</v>
      </c>
      <c r="F176" s="162" t="s">
        <v>233</v>
      </c>
      <c r="G176" s="137">
        <v>7.92065902</v>
      </c>
      <c r="H176" s="137">
        <v>0.12904592</v>
      </c>
      <c r="I176" s="137">
        <v>4.73337817</v>
      </c>
      <c r="J176" s="120">
        <f t="shared" si="1"/>
        <v>61.37860864</v>
      </c>
      <c r="K176" s="121">
        <v>-0.518</v>
      </c>
      <c r="L176" s="121">
        <v>-1.083</v>
      </c>
      <c r="M176" s="122">
        <v>0.565</v>
      </c>
      <c r="N176" s="120">
        <v>35.6</v>
      </c>
      <c r="O176" s="120">
        <v>8.377660477876107</v>
      </c>
      <c r="P176" s="123">
        <v>6.734011663664564</v>
      </c>
      <c r="Q176" s="120">
        <v>0.7142857142857143</v>
      </c>
      <c r="R176" s="120">
        <v>0.8038057500000002</v>
      </c>
      <c r="S176" s="15"/>
      <c r="T176" s="161"/>
      <c r="AA176" s="15"/>
      <c r="AB176" s="15"/>
      <c r="AC176" s="15"/>
      <c r="AD176" s="15"/>
      <c r="AE176" s="15"/>
    </row>
    <row r="177" ht="15.0" customHeight="1">
      <c r="A177" s="134" t="s">
        <v>238</v>
      </c>
      <c r="B177" s="3" t="s">
        <v>258</v>
      </c>
      <c r="C177" s="3" t="s">
        <v>136</v>
      </c>
      <c r="D177" s="3" t="s">
        <v>251</v>
      </c>
      <c r="E177" s="48">
        <v>2.0</v>
      </c>
      <c r="F177" s="162" t="s">
        <v>233</v>
      </c>
      <c r="G177" s="137">
        <v>4.04378806</v>
      </c>
      <c r="H177" s="137">
        <v>0.07947652</v>
      </c>
      <c r="I177" s="137">
        <v>2.88142241</v>
      </c>
      <c r="J177" s="120">
        <f t="shared" si="1"/>
        <v>50.8802859</v>
      </c>
      <c r="K177" s="121"/>
      <c r="L177" s="121">
        <v>-1.045</v>
      </c>
      <c r="M177" s="122"/>
      <c r="N177" s="120">
        <v>37.5</v>
      </c>
      <c r="O177" s="120">
        <v>4.775864634611241</v>
      </c>
      <c r="P177" s="123">
        <v>3.629474684275502</v>
      </c>
      <c r="Q177" s="120">
        <v>0.2857142857142857</v>
      </c>
      <c r="R177" s="120">
        <v>0.7599618000000001</v>
      </c>
      <c r="S177" s="15"/>
      <c r="T177" s="161"/>
      <c r="AA177" s="15"/>
      <c r="AB177" s="15"/>
      <c r="AC177" s="15"/>
      <c r="AD177" s="15"/>
      <c r="AE177" s="15"/>
    </row>
    <row r="178" ht="15.0" customHeight="1">
      <c r="A178" s="134" t="s">
        <v>238</v>
      </c>
      <c r="B178" s="3" t="s">
        <v>258</v>
      </c>
      <c r="C178" s="3" t="s">
        <v>136</v>
      </c>
      <c r="D178" s="3" t="s">
        <v>251</v>
      </c>
      <c r="E178" s="48">
        <v>3.0</v>
      </c>
      <c r="F178" s="162" t="s">
        <v>233</v>
      </c>
      <c r="G178" s="137">
        <v>10.2834998</v>
      </c>
      <c r="H178" s="137">
        <v>0.18734797</v>
      </c>
      <c r="I178" s="137">
        <v>6.6779982</v>
      </c>
      <c r="J178" s="120">
        <f t="shared" si="1"/>
        <v>54.88983841</v>
      </c>
      <c r="K178" s="121">
        <v>-0.416</v>
      </c>
      <c r="L178" s="121">
        <v>-1.124</v>
      </c>
      <c r="M178" s="122">
        <v>0.708</v>
      </c>
      <c r="N178" s="120">
        <v>38.8</v>
      </c>
      <c r="O178" s="120">
        <v>9.432200847457626</v>
      </c>
      <c r="P178" s="123">
        <v>10.200775244531949</v>
      </c>
      <c r="Q178" s="120">
        <v>0.8571428571428571</v>
      </c>
      <c r="R178" s="120">
        <v>1.0814841000000002</v>
      </c>
      <c r="S178" s="15"/>
      <c r="T178" s="161"/>
      <c r="AA178" s="15"/>
      <c r="AB178" s="15"/>
      <c r="AC178" s="15"/>
      <c r="AD178" s="15"/>
      <c r="AE178" s="15"/>
    </row>
    <row r="179" ht="15.0" customHeight="1">
      <c r="A179" s="134" t="s">
        <v>238</v>
      </c>
      <c r="B179" s="3" t="s">
        <v>258</v>
      </c>
      <c r="C179" s="3" t="s">
        <v>136</v>
      </c>
      <c r="D179" s="3" t="s">
        <v>251</v>
      </c>
      <c r="E179" s="48">
        <v>4.0</v>
      </c>
      <c r="F179" s="162" t="s">
        <v>233</v>
      </c>
      <c r="G179" s="137">
        <v>8.82051517</v>
      </c>
      <c r="H179" s="137">
        <v>0.1492552</v>
      </c>
      <c r="I179" s="137">
        <v>5.67407834</v>
      </c>
      <c r="J179" s="120">
        <f t="shared" si="1"/>
        <v>59.09687013</v>
      </c>
      <c r="K179" s="121"/>
      <c r="L179" s="121">
        <v>-1.035</v>
      </c>
      <c r="M179" s="122"/>
      <c r="N179" s="120">
        <v>41.0</v>
      </c>
      <c r="O179" s="120">
        <v>9.563107107343301</v>
      </c>
      <c r="P179" s="123">
        <v>9.084495113611762</v>
      </c>
      <c r="Q179" s="120">
        <v>0.8571428571428571</v>
      </c>
      <c r="R179" s="120">
        <v>0.9499522500000003</v>
      </c>
      <c r="S179" s="15"/>
      <c r="T179" s="161"/>
      <c r="AA179" s="15"/>
      <c r="AB179" s="15"/>
      <c r="AC179" s="15"/>
      <c r="AD179" s="15"/>
      <c r="AE179" s="15"/>
    </row>
    <row r="180" ht="15.0" customHeight="1">
      <c r="A180" s="134" t="s">
        <v>238</v>
      </c>
      <c r="B180" s="3" t="s">
        <v>258</v>
      </c>
      <c r="C180" s="3" t="s">
        <v>136</v>
      </c>
      <c r="D180" s="3" t="s">
        <v>251</v>
      </c>
      <c r="E180" s="48">
        <v>5.0</v>
      </c>
      <c r="F180" s="162" t="s">
        <v>233</v>
      </c>
      <c r="G180" s="137">
        <v>7.04307467</v>
      </c>
      <c r="H180" s="137">
        <v>0.10089673</v>
      </c>
      <c r="I180" s="137">
        <v>4.81515365</v>
      </c>
      <c r="J180" s="120">
        <f t="shared" si="1"/>
        <v>69.80478624</v>
      </c>
      <c r="K180" s="121">
        <v>-0.391</v>
      </c>
      <c r="L180" s="121">
        <v>-1.06</v>
      </c>
      <c r="M180" s="122">
        <v>0.669</v>
      </c>
      <c r="N180" s="120">
        <v>44.9</v>
      </c>
      <c r="O180" s="120">
        <v>7.19753908819133</v>
      </c>
      <c r="P180" s="123">
        <v>7.468455539101716</v>
      </c>
      <c r="Q180" s="120">
        <v>1.1428571428571428</v>
      </c>
      <c r="R180" s="120">
        <v>1.03764015</v>
      </c>
      <c r="S180" s="15"/>
      <c r="T180" s="161"/>
      <c r="AA180" s="15"/>
      <c r="AB180" s="15"/>
      <c r="AC180" s="15"/>
      <c r="AD180" s="15"/>
      <c r="AE180" s="15"/>
    </row>
    <row r="181" ht="15.0" customHeight="1">
      <c r="A181" s="134" t="s">
        <v>238</v>
      </c>
      <c r="B181" s="3" t="s">
        <v>258</v>
      </c>
      <c r="C181" s="3" t="s">
        <v>136</v>
      </c>
      <c r="D181" s="3" t="s">
        <v>251</v>
      </c>
      <c r="E181" s="48">
        <v>6.0</v>
      </c>
      <c r="F181" s="162" t="s">
        <v>233</v>
      </c>
      <c r="G181" s="137">
        <v>4.81654241</v>
      </c>
      <c r="H181" s="137">
        <v>0.05348643</v>
      </c>
      <c r="I181" s="137">
        <v>2.76465909</v>
      </c>
      <c r="J181" s="120">
        <f t="shared" si="1"/>
        <v>90.05167124</v>
      </c>
      <c r="K181" s="121"/>
      <c r="L181" s="121">
        <v>-1.182</v>
      </c>
      <c r="M181" s="122"/>
      <c r="N181" s="120">
        <v>38.0</v>
      </c>
      <c r="O181" s="120">
        <v>3.7343604743830454</v>
      </c>
      <c r="P181" s="123">
        <v>4.093227848020665</v>
      </c>
      <c r="Q181" s="120">
        <v>0.8571428571428571</v>
      </c>
      <c r="R181" s="120">
        <v>1.0960987500000003</v>
      </c>
      <c r="S181" s="15"/>
      <c r="T181" s="161"/>
      <c r="AA181" s="15"/>
      <c r="AB181" s="15"/>
      <c r="AC181" s="15"/>
      <c r="AD181" s="15"/>
      <c r="AE181" s="15"/>
    </row>
    <row r="182" ht="15.0" customHeight="1">
      <c r="A182" s="134" t="s">
        <v>249</v>
      </c>
      <c r="B182" s="3" t="s">
        <v>257</v>
      </c>
      <c r="C182" s="3" t="s">
        <v>143</v>
      </c>
      <c r="D182" s="135" t="s">
        <v>240</v>
      </c>
      <c r="E182" s="48">
        <v>1.0</v>
      </c>
      <c r="F182" s="162" t="s">
        <v>233</v>
      </c>
      <c r="G182" s="137">
        <v>8.23493993</v>
      </c>
      <c r="H182" s="137">
        <v>0.20157609</v>
      </c>
      <c r="I182" s="137">
        <v>6.04200289</v>
      </c>
      <c r="J182" s="120">
        <f t="shared" si="1"/>
        <v>40.85276151</v>
      </c>
      <c r="K182" s="121">
        <v>-0.512</v>
      </c>
      <c r="L182" s="121">
        <v>-1.107</v>
      </c>
      <c r="M182" s="122">
        <v>0.595</v>
      </c>
      <c r="N182" s="120">
        <v>41.6</v>
      </c>
      <c r="O182" s="120">
        <v>10.154626705882354</v>
      </c>
      <c r="P182" s="123">
        <v>9.349597856788785</v>
      </c>
      <c r="Q182" s="120">
        <v>0.7142857142857143</v>
      </c>
      <c r="R182" s="120">
        <v>0.9207229500000002</v>
      </c>
      <c r="S182" s="15"/>
      <c r="T182" s="161"/>
      <c r="AA182" s="15"/>
      <c r="AB182" s="15"/>
      <c r="AC182" s="15"/>
      <c r="AD182" s="15"/>
      <c r="AE182" s="15"/>
    </row>
    <row r="183" ht="15.0" customHeight="1">
      <c r="A183" s="134" t="s">
        <v>249</v>
      </c>
      <c r="B183" s="3" t="s">
        <v>257</v>
      </c>
      <c r="C183" s="3" t="s">
        <v>143</v>
      </c>
      <c r="D183" s="135" t="s">
        <v>240</v>
      </c>
      <c r="E183" s="48">
        <v>2.0</v>
      </c>
      <c r="F183" s="162" t="s">
        <v>233</v>
      </c>
      <c r="G183" s="137">
        <v>16.5477185</v>
      </c>
      <c r="H183" s="137">
        <v>0.31542867</v>
      </c>
      <c r="I183" s="137">
        <v>7.95235883</v>
      </c>
      <c r="J183" s="120">
        <f t="shared" si="1"/>
        <v>52.46104769</v>
      </c>
      <c r="K183" s="121"/>
      <c r="L183" s="121">
        <v>-1.035</v>
      </c>
      <c r="M183" s="122"/>
      <c r="N183" s="120">
        <v>35.9</v>
      </c>
      <c r="O183" s="120">
        <v>13.21714366679409</v>
      </c>
      <c r="P183" s="123">
        <v>11.78299965008465</v>
      </c>
      <c r="Q183" s="120">
        <v>0.8571428571428571</v>
      </c>
      <c r="R183" s="120">
        <v>0.8914936500000001</v>
      </c>
      <c r="S183" s="15"/>
      <c r="T183" s="161"/>
      <c r="AA183" s="15"/>
      <c r="AB183" s="15"/>
      <c r="AC183" s="15"/>
      <c r="AD183" s="15"/>
      <c r="AE183" s="15"/>
    </row>
    <row r="184" ht="15.0" customHeight="1">
      <c r="A184" s="134" t="s">
        <v>249</v>
      </c>
      <c r="B184" s="3" t="s">
        <v>257</v>
      </c>
      <c r="C184" s="3" t="s">
        <v>143</v>
      </c>
      <c r="D184" s="135" t="s">
        <v>240</v>
      </c>
      <c r="E184" s="48">
        <v>3.0</v>
      </c>
      <c r="F184" s="162" t="s">
        <v>233</v>
      </c>
      <c r="G184" s="137">
        <v>9.25851294</v>
      </c>
      <c r="H184" s="137">
        <v>0.1820312</v>
      </c>
      <c r="I184" s="137">
        <v>6.66369642</v>
      </c>
      <c r="J184" s="120">
        <f t="shared" si="1"/>
        <v>50.86223098</v>
      </c>
      <c r="K184" s="121">
        <v>-0.42</v>
      </c>
      <c r="L184" s="121">
        <v>-1.212</v>
      </c>
      <c r="M184" s="122">
        <v>0.792</v>
      </c>
      <c r="N184" s="120">
        <v>49.7</v>
      </c>
      <c r="O184" s="120">
        <v>8.413758106060605</v>
      </c>
      <c r="P184" s="123">
        <v>8.361560833522228</v>
      </c>
      <c r="Q184" s="120">
        <v>0.7142857142857143</v>
      </c>
      <c r="R184" s="120">
        <v>0.9937962000000001</v>
      </c>
      <c r="S184" s="15"/>
      <c r="T184" s="161"/>
      <c r="AA184" s="15"/>
      <c r="AB184" s="15"/>
      <c r="AC184" s="15"/>
      <c r="AD184" s="15"/>
      <c r="AE184" s="15"/>
    </row>
    <row r="185" ht="15.0" customHeight="1">
      <c r="A185" s="134" t="s">
        <v>249</v>
      </c>
      <c r="B185" s="3" t="s">
        <v>257</v>
      </c>
      <c r="C185" s="3" t="s">
        <v>143</v>
      </c>
      <c r="D185" s="135" t="s">
        <v>240</v>
      </c>
      <c r="E185" s="48">
        <v>4.0</v>
      </c>
      <c r="F185" s="162" t="s">
        <v>233</v>
      </c>
      <c r="G185" s="137">
        <v>8.04576886</v>
      </c>
      <c r="H185" s="137">
        <v>0.12657203</v>
      </c>
      <c r="I185" s="137">
        <v>5.04997867</v>
      </c>
      <c r="J185" s="120">
        <f t="shared" si="1"/>
        <v>63.56672055</v>
      </c>
      <c r="K185" s="121"/>
      <c r="L185" s="121">
        <v>-1.13</v>
      </c>
      <c r="M185" s="122"/>
      <c r="N185" s="120">
        <v>41.5</v>
      </c>
      <c r="O185" s="120">
        <v>7.2487385275668546</v>
      </c>
      <c r="P185" s="123">
        <v>6.780017697401917</v>
      </c>
      <c r="Q185" s="120">
        <v>0.8571428571428571</v>
      </c>
      <c r="R185" s="120">
        <v>0.9353376000000002</v>
      </c>
      <c r="S185" s="15"/>
      <c r="T185" s="161"/>
      <c r="AA185" s="15"/>
      <c r="AB185" s="15"/>
      <c r="AC185" s="15"/>
      <c r="AD185" s="15"/>
      <c r="AE185" s="15"/>
    </row>
    <row r="186" ht="15.0" customHeight="1">
      <c r="A186" s="134" t="s">
        <v>249</v>
      </c>
      <c r="B186" s="3" t="s">
        <v>257</v>
      </c>
      <c r="C186" s="3" t="s">
        <v>143</v>
      </c>
      <c r="D186" s="135" t="s">
        <v>240</v>
      </c>
      <c r="E186" s="48">
        <v>5.0</v>
      </c>
      <c r="F186" s="162" t="s">
        <v>233</v>
      </c>
      <c r="G186" s="137">
        <v>6.76930548</v>
      </c>
      <c r="H186" s="137">
        <v>0.0917058</v>
      </c>
      <c r="I186" s="137">
        <v>4.21613741</v>
      </c>
      <c r="J186" s="120">
        <f t="shared" si="1"/>
        <v>73.81545638</v>
      </c>
      <c r="K186" s="121">
        <v>-0.368</v>
      </c>
      <c r="L186" s="121">
        <v>-1.052</v>
      </c>
      <c r="M186" s="122">
        <v>0.684</v>
      </c>
      <c r="N186" s="120">
        <v>32.2</v>
      </c>
      <c r="O186" s="120">
        <v>6.163943581871345</v>
      </c>
      <c r="P186" s="123">
        <v>6.486039220953317</v>
      </c>
      <c r="Q186" s="120">
        <v>0.8571428571428571</v>
      </c>
      <c r="R186" s="120">
        <v>1.0522548000000003</v>
      </c>
      <c r="S186" s="15"/>
      <c r="T186" s="161"/>
      <c r="AA186" s="15"/>
      <c r="AB186" s="15"/>
      <c r="AC186" s="15"/>
      <c r="AD186" s="15"/>
      <c r="AE186" s="15"/>
    </row>
    <row r="187" ht="15.0" customHeight="1">
      <c r="A187" s="134" t="s">
        <v>249</v>
      </c>
      <c r="B187" s="3" t="s">
        <v>257</v>
      </c>
      <c r="C187" s="3" t="s">
        <v>143</v>
      </c>
      <c r="D187" s="135" t="s">
        <v>240</v>
      </c>
      <c r="E187" s="48">
        <v>6.0</v>
      </c>
      <c r="F187" s="162" t="s">
        <v>233</v>
      </c>
      <c r="G187" s="137">
        <v>5.63243583</v>
      </c>
      <c r="H187" s="137">
        <v>0.07071715</v>
      </c>
      <c r="I187" s="137">
        <v>3.60597358</v>
      </c>
      <c r="J187" s="120">
        <f t="shared" si="1"/>
        <v>79.64738158</v>
      </c>
      <c r="K187" s="121"/>
      <c r="L187" s="121">
        <v>-1.152</v>
      </c>
      <c r="M187" s="122"/>
      <c r="N187" s="120">
        <v>34.1</v>
      </c>
      <c r="O187" s="120">
        <v>5.0175651968219075</v>
      </c>
      <c r="P187" s="123">
        <v>4.693117389038932</v>
      </c>
      <c r="Q187" s="120">
        <v>0.8571428571428571</v>
      </c>
      <c r="R187" s="120">
        <v>0.9353376000000002</v>
      </c>
      <c r="S187" s="15"/>
      <c r="T187" s="161"/>
      <c r="AA187" s="15"/>
      <c r="AB187" s="15"/>
      <c r="AC187" s="15"/>
      <c r="AD187" s="15"/>
      <c r="AE187" s="15"/>
    </row>
    <row r="188" ht="15.0" customHeight="1">
      <c r="A188" s="134" t="s">
        <v>244</v>
      </c>
      <c r="B188" s="3" t="s">
        <v>250</v>
      </c>
      <c r="C188" s="3" t="s">
        <v>164</v>
      </c>
      <c r="D188" s="3" t="s">
        <v>251</v>
      </c>
      <c r="E188" s="48">
        <v>1.0</v>
      </c>
      <c r="F188" s="162" t="s">
        <v>233</v>
      </c>
      <c r="G188" s="137">
        <v>9.68992379</v>
      </c>
      <c r="H188" s="137">
        <v>0.16021444</v>
      </c>
      <c r="I188" s="137">
        <v>5.64331226</v>
      </c>
      <c r="J188" s="120">
        <f t="shared" si="1"/>
        <v>60.48096408</v>
      </c>
      <c r="K188" s="121">
        <v>-0.386</v>
      </c>
      <c r="L188" s="121">
        <v>-1.083</v>
      </c>
      <c r="M188" s="122">
        <v>0.697</v>
      </c>
      <c r="N188" s="120">
        <v>28.7</v>
      </c>
      <c r="O188" s="120">
        <v>8.096574261119082</v>
      </c>
      <c r="P188" s="123">
        <v>6.271415748338993</v>
      </c>
      <c r="Q188" s="120">
        <v>0.8571428571428571</v>
      </c>
      <c r="R188" s="120">
        <v>0.7745764500000002</v>
      </c>
      <c r="S188" s="15"/>
      <c r="T188" s="161"/>
      <c r="AA188" s="15"/>
      <c r="AB188" s="15"/>
      <c r="AC188" s="15"/>
      <c r="AD188" s="15"/>
      <c r="AE188" s="15"/>
    </row>
    <row r="189" ht="15.0" customHeight="1">
      <c r="A189" s="134" t="s">
        <v>244</v>
      </c>
      <c r="B189" s="3" t="s">
        <v>250</v>
      </c>
      <c r="C189" s="3" t="s">
        <v>164</v>
      </c>
      <c r="D189" s="3" t="s">
        <v>251</v>
      </c>
      <c r="E189" s="48">
        <v>2.0</v>
      </c>
      <c r="F189" s="162" t="s">
        <v>233</v>
      </c>
      <c r="G189" s="137">
        <v>7.08036417</v>
      </c>
      <c r="H189" s="137">
        <v>0.14242714</v>
      </c>
      <c r="I189" s="137">
        <v>4.73845519</v>
      </c>
      <c r="J189" s="120">
        <f t="shared" si="1"/>
        <v>49.71218386</v>
      </c>
      <c r="K189" s="121"/>
      <c r="L189" s="121">
        <v>-1.027</v>
      </c>
      <c r="M189" s="122"/>
      <c r="N189" s="120">
        <v>41.3</v>
      </c>
      <c r="O189" s="120">
        <v>7.186773224333794</v>
      </c>
      <c r="P189" s="123">
        <v>7.457284446513701</v>
      </c>
      <c r="Q189" s="120">
        <v>1.1428571428571428</v>
      </c>
      <c r="R189" s="120">
        <v>1.03764015</v>
      </c>
      <c r="S189" s="15"/>
      <c r="T189" s="161"/>
      <c r="AA189" s="15"/>
      <c r="AB189" s="15"/>
      <c r="AC189" s="15"/>
      <c r="AD189" s="15"/>
      <c r="AE189" s="15"/>
    </row>
    <row r="190" ht="15.0" customHeight="1">
      <c r="A190" s="134" t="s">
        <v>244</v>
      </c>
      <c r="B190" s="3" t="s">
        <v>250</v>
      </c>
      <c r="C190" s="3" t="s">
        <v>164</v>
      </c>
      <c r="D190" s="3" t="s">
        <v>251</v>
      </c>
      <c r="E190" s="48">
        <v>3.0</v>
      </c>
      <c r="F190" s="162" t="s">
        <v>233</v>
      </c>
      <c r="G190" s="137">
        <v>12.4192835</v>
      </c>
      <c r="H190" s="137">
        <v>0.28833057</v>
      </c>
      <c r="I190" s="137">
        <v>9.05725098</v>
      </c>
      <c r="J190" s="120">
        <f t="shared" si="1"/>
        <v>43.07307234</v>
      </c>
      <c r="K190" s="121">
        <v>-0.344</v>
      </c>
      <c r="L190" s="121">
        <v>-1.081</v>
      </c>
      <c r="M190" s="122">
        <v>0.737</v>
      </c>
      <c r="N190" s="120">
        <v>41.2</v>
      </c>
      <c r="O190" s="120">
        <v>12.289350040705562</v>
      </c>
      <c r="P190" s="123">
        <v>11.674295722205844</v>
      </c>
      <c r="Q190" s="120">
        <v>0.5714285714285714</v>
      </c>
      <c r="R190" s="120">
        <v>0.9499522500000003</v>
      </c>
      <c r="S190" s="15"/>
      <c r="T190" s="161"/>
      <c r="AA190" s="15"/>
      <c r="AB190" s="15"/>
      <c r="AC190" s="15"/>
      <c r="AD190" s="15"/>
      <c r="AE190" s="15"/>
    </row>
    <row r="191" ht="15.0" customHeight="1">
      <c r="A191" s="134" t="s">
        <v>244</v>
      </c>
      <c r="B191" s="3" t="s">
        <v>250</v>
      </c>
      <c r="C191" s="3" t="s">
        <v>164</v>
      </c>
      <c r="D191" s="3" t="s">
        <v>251</v>
      </c>
      <c r="E191" s="48">
        <v>4.0</v>
      </c>
      <c r="F191" s="162" t="s">
        <v>233</v>
      </c>
      <c r="G191" s="137">
        <v>4.20978833</v>
      </c>
      <c r="H191" s="137">
        <v>0.06284455</v>
      </c>
      <c r="I191" s="137">
        <v>3.01432512</v>
      </c>
      <c r="J191" s="120">
        <f t="shared" si="1"/>
        <v>66.98732555</v>
      </c>
      <c r="K191" s="121"/>
      <c r="L191" s="121">
        <v>-1.052</v>
      </c>
      <c r="M191" s="122"/>
      <c r="N191" s="120">
        <v>42.8</v>
      </c>
      <c r="O191" s="120">
        <v>4.4047829555916</v>
      </c>
      <c r="P191" s="123">
        <v>4.634954007979449</v>
      </c>
      <c r="Q191" s="120">
        <v>1.2857142857142858</v>
      </c>
      <c r="R191" s="120">
        <v>1.0522548000000003</v>
      </c>
      <c r="S191" s="15"/>
      <c r="T191" s="161"/>
      <c r="AA191" s="15"/>
      <c r="AB191" s="15"/>
      <c r="AC191" s="15"/>
      <c r="AD191" s="15"/>
      <c r="AE191" s="15"/>
    </row>
    <row r="192" ht="15.0" customHeight="1">
      <c r="A192" s="134" t="s">
        <v>244</v>
      </c>
      <c r="B192" s="3" t="s">
        <v>250</v>
      </c>
      <c r="C192" s="3" t="s">
        <v>164</v>
      </c>
      <c r="D192" s="3" t="s">
        <v>251</v>
      </c>
      <c r="E192" s="48">
        <v>5.0</v>
      </c>
      <c r="F192" s="162" t="s">
        <v>233</v>
      </c>
      <c r="G192" s="137">
        <v>6.57747341</v>
      </c>
      <c r="H192" s="137">
        <v>0.09123402</v>
      </c>
      <c r="I192" s="137">
        <v>4.19892957</v>
      </c>
      <c r="J192" s="120">
        <f t="shared" si="1"/>
        <v>72.09452581</v>
      </c>
      <c r="K192" s="121">
        <v>-0.373</v>
      </c>
      <c r="L192" s="121">
        <v>-1.083</v>
      </c>
      <c r="M192" s="122">
        <v>0.71</v>
      </c>
      <c r="N192" s="120">
        <v>33.9</v>
      </c>
      <c r="O192" s="120">
        <v>5.913985309859155</v>
      </c>
      <c r="P192" s="123">
        <v>6.223019429428784</v>
      </c>
      <c r="Q192" s="120">
        <v>0.8571428571428571</v>
      </c>
      <c r="R192" s="120">
        <v>1.0522548000000003</v>
      </c>
      <c r="S192" s="15"/>
      <c r="T192" s="161"/>
      <c r="AA192" s="15"/>
      <c r="AB192" s="15"/>
      <c r="AC192" s="15"/>
      <c r="AD192" s="15"/>
      <c r="AE192" s="15"/>
    </row>
    <row r="193" ht="15.0" customHeight="1">
      <c r="A193" s="153" t="s">
        <v>244</v>
      </c>
      <c r="B193" s="154" t="s">
        <v>250</v>
      </c>
      <c r="C193" s="154" t="s">
        <v>164</v>
      </c>
      <c r="D193" s="154" t="s">
        <v>251</v>
      </c>
      <c r="E193" s="155">
        <v>6.0</v>
      </c>
      <c r="F193" s="163" t="s">
        <v>233</v>
      </c>
      <c r="G193" s="157">
        <v>8.65969603</v>
      </c>
      <c r="H193" s="157">
        <v>0.10008383</v>
      </c>
      <c r="I193" s="157">
        <v>4.64999294</v>
      </c>
      <c r="J193" s="120">
        <f t="shared" si="1"/>
        <v>86.52442687</v>
      </c>
      <c r="K193" s="158"/>
      <c r="L193" s="158">
        <v>-1.2</v>
      </c>
      <c r="M193" s="159"/>
      <c r="N193" s="120">
        <v>40.8</v>
      </c>
      <c r="O193" s="120">
        <v>5.58671793639542</v>
      </c>
      <c r="P193" s="123">
        <v>5.633706982950752</v>
      </c>
      <c r="Q193" s="120">
        <v>0.8571428571428571</v>
      </c>
      <c r="R193" s="120">
        <v>1.0084108500000002</v>
      </c>
      <c r="S193" s="15"/>
      <c r="T193" s="161"/>
      <c r="AA193" s="15"/>
      <c r="AB193" s="15"/>
      <c r="AC193" s="15"/>
      <c r="AD193" s="15"/>
      <c r="AE193" s="15"/>
    </row>
    <row r="194" ht="15.0" customHeight="1">
      <c r="A194" s="115" t="s">
        <v>238</v>
      </c>
      <c r="B194" s="116" t="s">
        <v>239</v>
      </c>
      <c r="C194" s="116" t="s">
        <v>5</v>
      </c>
      <c r="D194" s="116" t="s">
        <v>240</v>
      </c>
      <c r="E194" s="117">
        <v>1.0</v>
      </c>
      <c r="F194" s="164" t="s">
        <v>234</v>
      </c>
      <c r="G194" s="119">
        <v>12.0261816</v>
      </c>
      <c r="H194" s="119">
        <v>0.18013141</v>
      </c>
      <c r="I194" s="119">
        <v>4.47671046</v>
      </c>
      <c r="J194" s="120">
        <f t="shared" si="1"/>
        <v>66.76337902</v>
      </c>
      <c r="K194" s="121">
        <v>-0.6</v>
      </c>
      <c r="L194" s="121">
        <v>-1.45</v>
      </c>
      <c r="M194" s="122">
        <f t="shared" ref="M194:M292" si="2">K194-L194</f>
        <v>0.85</v>
      </c>
      <c r="N194" s="120">
        <v>45.1</v>
      </c>
      <c r="O194" s="120">
        <v>5.266718188235294</v>
      </c>
      <c r="P194" s="123">
        <v>3.694619662545261</v>
      </c>
      <c r="Q194" s="120">
        <v>0.0</v>
      </c>
      <c r="R194" s="120">
        <v>0.7015032000000001</v>
      </c>
      <c r="S194" s="15"/>
      <c r="T194" s="161"/>
      <c r="AA194" s="15"/>
      <c r="AB194" s="15"/>
      <c r="AC194" s="15"/>
      <c r="AD194" s="15"/>
      <c r="AE194" s="15"/>
    </row>
    <row r="195" ht="15.0" customHeight="1">
      <c r="A195" s="134" t="s">
        <v>238</v>
      </c>
      <c r="B195" s="135" t="s">
        <v>239</v>
      </c>
      <c r="C195" s="135" t="s">
        <v>5</v>
      </c>
      <c r="D195" s="135" t="s">
        <v>240</v>
      </c>
      <c r="E195" s="8">
        <v>2.0</v>
      </c>
      <c r="F195" s="165" t="s">
        <v>234</v>
      </c>
      <c r="G195" s="137">
        <v>4.12617528</v>
      </c>
      <c r="H195" s="137">
        <v>0.05714486</v>
      </c>
      <c r="I195" s="137">
        <v>2.74091656</v>
      </c>
      <c r="J195" s="120">
        <f t="shared" si="1"/>
        <v>72.2055366</v>
      </c>
      <c r="K195" s="121">
        <v>-0.543</v>
      </c>
      <c r="L195" s="121">
        <v>-1.482</v>
      </c>
      <c r="M195" s="122">
        <f t="shared" si="2"/>
        <v>0.939</v>
      </c>
      <c r="N195" s="120">
        <v>39.5</v>
      </c>
      <c r="O195" s="120">
        <v>2.9189739723109693</v>
      </c>
      <c r="P195" s="123">
        <v>2.986184807510417</v>
      </c>
      <c r="Q195" s="120">
        <v>0.2857142857142857</v>
      </c>
      <c r="R195" s="120">
        <v>1.0230255000000004</v>
      </c>
      <c r="S195" s="15"/>
      <c r="T195" s="161"/>
      <c r="AA195" s="15"/>
      <c r="AB195" s="15"/>
      <c r="AC195" s="15"/>
      <c r="AD195" s="15"/>
      <c r="AE195" s="15"/>
    </row>
    <row r="196" ht="15.0" customHeight="1">
      <c r="A196" s="134" t="s">
        <v>238</v>
      </c>
      <c r="B196" s="135" t="s">
        <v>239</v>
      </c>
      <c r="C196" s="135" t="s">
        <v>5</v>
      </c>
      <c r="D196" s="135" t="s">
        <v>240</v>
      </c>
      <c r="E196" s="8">
        <v>3.0</v>
      </c>
      <c r="F196" s="165" t="s">
        <v>234</v>
      </c>
      <c r="G196" s="137">
        <v>7.19914942</v>
      </c>
      <c r="H196" s="137">
        <v>0.10779768</v>
      </c>
      <c r="I196" s="137">
        <v>3.36422787</v>
      </c>
      <c r="J196" s="120">
        <f t="shared" si="1"/>
        <v>66.78389943</v>
      </c>
      <c r="K196" s="121">
        <v>-0.56</v>
      </c>
      <c r="L196" s="121">
        <v>-1.353</v>
      </c>
      <c r="M196" s="122">
        <f t="shared" si="2"/>
        <v>0.793</v>
      </c>
      <c r="N196" s="120">
        <v>67.0</v>
      </c>
      <c r="O196" s="120">
        <v>4.242405889029004</v>
      </c>
      <c r="P196" s="123">
        <v>4.464091960279038</v>
      </c>
      <c r="Q196" s="120">
        <v>0.14285714285714285</v>
      </c>
      <c r="R196" s="120">
        <v>1.0522548000000003</v>
      </c>
      <c r="S196" s="15"/>
      <c r="T196" s="161"/>
      <c r="AA196" s="15"/>
      <c r="AB196" s="15"/>
      <c r="AC196" s="15"/>
      <c r="AD196" s="15"/>
      <c r="AE196" s="15"/>
    </row>
    <row r="197" ht="15.0" customHeight="1">
      <c r="A197" s="134" t="s">
        <v>238</v>
      </c>
      <c r="B197" s="135" t="s">
        <v>239</v>
      </c>
      <c r="C197" s="135" t="s">
        <v>5</v>
      </c>
      <c r="D197" s="135" t="s">
        <v>240</v>
      </c>
      <c r="E197" s="8">
        <v>4.0</v>
      </c>
      <c r="F197" s="165" t="s">
        <v>234</v>
      </c>
      <c r="G197" s="137">
        <v>9.57958457</v>
      </c>
      <c r="H197" s="137">
        <v>0.103803</v>
      </c>
      <c r="I197" s="137">
        <v>3.51412928</v>
      </c>
      <c r="J197" s="120">
        <f t="shared" si="1"/>
        <v>92.28620146</v>
      </c>
      <c r="K197" s="121">
        <v>-0.48</v>
      </c>
      <c r="L197" s="121">
        <v>-1.415</v>
      </c>
      <c r="M197" s="122">
        <f t="shared" si="2"/>
        <v>0.935</v>
      </c>
      <c r="N197" s="120">
        <v>43.5</v>
      </c>
      <c r="O197" s="120">
        <v>3.758427037433155</v>
      </c>
      <c r="P197" s="123">
        <v>3.405541933562593</v>
      </c>
      <c r="Q197" s="120">
        <v>0.0</v>
      </c>
      <c r="R197" s="120">
        <v>0.9061083000000002</v>
      </c>
      <c r="S197" s="15"/>
      <c r="T197" s="161"/>
      <c r="AA197" s="15"/>
      <c r="AB197" s="15"/>
      <c r="AC197" s="15"/>
      <c r="AD197" s="15"/>
      <c r="AE197" s="15"/>
    </row>
    <row r="198" ht="15.0" customHeight="1">
      <c r="A198" s="134" t="s">
        <v>238</v>
      </c>
      <c r="B198" s="135" t="s">
        <v>239</v>
      </c>
      <c r="C198" s="135" t="s">
        <v>5</v>
      </c>
      <c r="D198" s="135" t="s">
        <v>240</v>
      </c>
      <c r="E198" s="8">
        <v>5.0</v>
      </c>
      <c r="F198" s="165" t="s">
        <v>234</v>
      </c>
      <c r="G198" s="137">
        <v>7.16653398</v>
      </c>
      <c r="H198" s="137">
        <v>0.09442003</v>
      </c>
      <c r="I198" s="137">
        <v>3.38220742</v>
      </c>
      <c r="J198" s="120">
        <f t="shared" si="1"/>
        <v>75.90056877</v>
      </c>
      <c r="K198" s="121">
        <v>-0.502</v>
      </c>
      <c r="L198" s="121">
        <v>-1.34</v>
      </c>
      <c r="M198" s="122">
        <f t="shared" si="2"/>
        <v>0.838</v>
      </c>
      <c r="N198" s="120">
        <v>31.4</v>
      </c>
      <c r="O198" s="120">
        <v>4.036047040572792</v>
      </c>
      <c r="P198" s="123">
        <v>3.53912489289043</v>
      </c>
      <c r="Q198" s="120">
        <v>0.14285714285714285</v>
      </c>
      <c r="R198" s="120">
        <v>0.8768790000000003</v>
      </c>
      <c r="S198" s="15"/>
      <c r="T198" s="161"/>
      <c r="AA198" s="15"/>
      <c r="AB198" s="15"/>
      <c r="AC198" s="15"/>
      <c r="AD198" s="15"/>
      <c r="AE198" s="15"/>
    </row>
    <row r="199" ht="15.0" customHeight="1">
      <c r="A199" s="134" t="s">
        <v>238</v>
      </c>
      <c r="B199" s="135" t="s">
        <v>239</v>
      </c>
      <c r="C199" s="135" t="s">
        <v>5</v>
      </c>
      <c r="D199" s="135" t="s">
        <v>240</v>
      </c>
      <c r="E199" s="8">
        <v>6.0</v>
      </c>
      <c r="F199" s="165" t="s">
        <v>234</v>
      </c>
      <c r="G199" s="137">
        <v>-1.22380573</v>
      </c>
      <c r="H199" s="137">
        <v>0.00715686</v>
      </c>
      <c r="I199" s="137">
        <v>0.29803199</v>
      </c>
      <c r="J199" s="120">
        <f t="shared" si="1"/>
        <v>-170.9975785</v>
      </c>
      <c r="K199" s="121">
        <v>-0.87</v>
      </c>
      <c r="L199" s="121">
        <v>-1.34</v>
      </c>
      <c r="M199" s="122">
        <f t="shared" si="2"/>
        <v>0.47</v>
      </c>
      <c r="N199" s="120">
        <v>38.2</v>
      </c>
      <c r="O199" s="120">
        <v>0.6341106170212766</v>
      </c>
      <c r="P199" s="123">
        <v>0.6394440263044501</v>
      </c>
      <c r="Q199" s="120">
        <v>0.0</v>
      </c>
      <c r="R199" s="120">
        <v>1.0084108500000002</v>
      </c>
      <c r="S199" s="15"/>
      <c r="T199" s="161"/>
      <c r="AA199" s="15"/>
      <c r="AB199" s="15"/>
      <c r="AC199" s="15"/>
      <c r="AD199" s="15"/>
      <c r="AE199" s="15"/>
    </row>
    <row r="200" ht="15.0" customHeight="1">
      <c r="A200" s="134" t="s">
        <v>244</v>
      </c>
      <c r="B200" s="3" t="s">
        <v>239</v>
      </c>
      <c r="C200" s="3" t="s">
        <v>30</v>
      </c>
      <c r="D200" s="135" t="s">
        <v>240</v>
      </c>
      <c r="E200" s="8">
        <v>1.0</v>
      </c>
      <c r="F200" s="165" t="s">
        <v>234</v>
      </c>
      <c r="G200" s="137">
        <v>9.48132749</v>
      </c>
      <c r="H200" s="137">
        <v>0.13954226</v>
      </c>
      <c r="I200" s="137">
        <v>3.56095791</v>
      </c>
      <c r="J200" s="120">
        <f t="shared" si="1"/>
        <v>67.94592183</v>
      </c>
      <c r="K200" s="121">
        <v>-0.52</v>
      </c>
      <c r="L200" s="121">
        <v>-1.42</v>
      </c>
      <c r="M200" s="122">
        <f t="shared" si="2"/>
        <v>0.9</v>
      </c>
      <c r="N200" s="120">
        <v>52.2</v>
      </c>
      <c r="O200" s="120">
        <v>3.9566199</v>
      </c>
      <c r="P200" s="123">
        <v>3.238178441205961</v>
      </c>
      <c r="Q200" s="120">
        <v>0.14285714285714285</v>
      </c>
      <c r="R200" s="120">
        <v>0.8184204000000002</v>
      </c>
      <c r="S200" s="15"/>
      <c r="T200" s="161"/>
      <c r="AA200" s="15"/>
      <c r="AB200" s="15"/>
      <c r="AC200" s="15"/>
      <c r="AD200" s="15"/>
      <c r="AE200" s="15"/>
    </row>
    <row r="201" ht="15.0" customHeight="1">
      <c r="A201" s="134" t="s">
        <v>244</v>
      </c>
      <c r="B201" s="3" t="s">
        <v>239</v>
      </c>
      <c r="C201" s="3" t="s">
        <v>30</v>
      </c>
      <c r="D201" s="135" t="s">
        <v>240</v>
      </c>
      <c r="E201" s="8">
        <v>2.0</v>
      </c>
      <c r="F201" s="165" t="s">
        <v>234</v>
      </c>
      <c r="G201" s="137">
        <v>5.60426607</v>
      </c>
      <c r="H201" s="137">
        <v>0.08328328</v>
      </c>
      <c r="I201" s="137">
        <v>3.86360495</v>
      </c>
      <c r="J201" s="120">
        <f t="shared" si="1"/>
        <v>67.29161087</v>
      </c>
      <c r="K201" s="121">
        <v>-0.507</v>
      </c>
      <c r="L201" s="121">
        <v>-1.47</v>
      </c>
      <c r="M201" s="122">
        <f t="shared" si="2"/>
        <v>0.963</v>
      </c>
      <c r="N201" s="120">
        <v>44.5</v>
      </c>
      <c r="O201" s="120">
        <v>4.012050830737279</v>
      </c>
      <c r="P201" s="123">
        <v>4.045795588466986</v>
      </c>
      <c r="Q201" s="120">
        <v>0.0</v>
      </c>
      <c r="R201" s="120">
        <v>1.0084108500000002</v>
      </c>
      <c r="S201" s="15"/>
      <c r="T201" s="161"/>
      <c r="AA201" s="15"/>
      <c r="AB201" s="15"/>
      <c r="AC201" s="15"/>
      <c r="AD201" s="15"/>
      <c r="AE201" s="15"/>
    </row>
    <row r="202" ht="15.0" customHeight="1">
      <c r="A202" s="134" t="s">
        <v>244</v>
      </c>
      <c r="B202" s="3" t="s">
        <v>239</v>
      </c>
      <c r="C202" s="3" t="s">
        <v>30</v>
      </c>
      <c r="D202" s="135" t="s">
        <v>240</v>
      </c>
      <c r="E202" s="8">
        <v>3.0</v>
      </c>
      <c r="F202" s="165" t="s">
        <v>234</v>
      </c>
      <c r="G202" s="137">
        <v>4.50395273</v>
      </c>
      <c r="H202" s="137">
        <v>0.05087259</v>
      </c>
      <c r="I202" s="137">
        <v>1.85485619</v>
      </c>
      <c r="J202" s="120">
        <f t="shared" si="1"/>
        <v>88.53397733</v>
      </c>
      <c r="K202" s="121">
        <v>-0.42</v>
      </c>
      <c r="L202" s="121">
        <v>-1.43</v>
      </c>
      <c r="M202" s="122">
        <f t="shared" si="2"/>
        <v>1.01</v>
      </c>
      <c r="N202" s="120">
        <v>47.5</v>
      </c>
      <c r="O202" s="120">
        <v>1.8364912772277229</v>
      </c>
      <c r="P202" s="123">
        <v>1.7445790209078496</v>
      </c>
      <c r="Q202" s="120">
        <v>0.0</v>
      </c>
      <c r="R202" s="120">
        <v>0.9499522500000003</v>
      </c>
      <c r="S202" s="15"/>
      <c r="T202" s="161"/>
      <c r="AA202" s="15"/>
      <c r="AB202" s="15"/>
      <c r="AC202" s="15"/>
      <c r="AD202" s="15"/>
      <c r="AE202" s="15"/>
    </row>
    <row r="203" ht="15.0" customHeight="1">
      <c r="A203" s="134" t="s">
        <v>244</v>
      </c>
      <c r="B203" s="3" t="s">
        <v>239</v>
      </c>
      <c r="C203" s="3" t="s">
        <v>30</v>
      </c>
      <c r="D203" s="135" t="s">
        <v>240</v>
      </c>
      <c r="E203" s="8">
        <v>4.0</v>
      </c>
      <c r="F203" s="165" t="s">
        <v>234</v>
      </c>
      <c r="G203" s="137">
        <v>6.91161325</v>
      </c>
      <c r="H203" s="137">
        <v>0.11126474</v>
      </c>
      <c r="I203" s="137">
        <v>3.24521022</v>
      </c>
      <c r="J203" s="120">
        <f t="shared" si="1"/>
        <v>62.1186303</v>
      </c>
      <c r="K203" s="121">
        <v>-0.503</v>
      </c>
      <c r="L203" s="121">
        <v>-1.42</v>
      </c>
      <c r="M203" s="122">
        <f t="shared" si="2"/>
        <v>0.917</v>
      </c>
      <c r="N203" s="120">
        <v>53.3</v>
      </c>
      <c r="O203" s="120">
        <v>3.538942442748092</v>
      </c>
      <c r="P203" s="123">
        <v>2.94806309474178</v>
      </c>
      <c r="Q203" s="120">
        <v>0.14285714285714285</v>
      </c>
      <c r="R203" s="120">
        <v>0.8330350500000002</v>
      </c>
      <c r="S203" s="15"/>
      <c r="T203" s="161"/>
      <c r="AA203" s="15"/>
      <c r="AB203" s="15"/>
      <c r="AC203" s="15"/>
      <c r="AD203" s="15"/>
      <c r="AE203" s="15"/>
    </row>
    <row r="204" ht="15.0" customHeight="1">
      <c r="A204" s="134" t="s">
        <v>244</v>
      </c>
      <c r="B204" s="3" t="s">
        <v>239</v>
      </c>
      <c r="C204" s="3" t="s">
        <v>30</v>
      </c>
      <c r="D204" s="135" t="s">
        <v>240</v>
      </c>
      <c r="E204" s="8">
        <v>5.0</v>
      </c>
      <c r="F204" s="165" t="s">
        <v>234</v>
      </c>
      <c r="G204" s="137">
        <v>3.53623477</v>
      </c>
      <c r="H204" s="137">
        <v>0.05464551</v>
      </c>
      <c r="I204" s="137">
        <v>2.28880838</v>
      </c>
      <c r="J204" s="120">
        <f t="shared" si="1"/>
        <v>64.71226584</v>
      </c>
      <c r="K204" s="121">
        <v>-0.836</v>
      </c>
      <c r="L204" s="121">
        <v>-1.507</v>
      </c>
      <c r="M204" s="122">
        <f t="shared" si="2"/>
        <v>0.671</v>
      </c>
      <c r="N204" s="120">
        <v>52.2</v>
      </c>
      <c r="O204" s="120">
        <v>3.4110408047690015</v>
      </c>
      <c r="P204" s="123">
        <v>3.5394328923166283</v>
      </c>
      <c r="Q204" s="120">
        <v>0.0</v>
      </c>
      <c r="R204" s="120">
        <v>1.03764015</v>
      </c>
      <c r="S204" s="15"/>
      <c r="T204" s="161"/>
      <c r="AA204" s="15"/>
      <c r="AB204" s="15"/>
      <c r="AC204" s="15"/>
      <c r="AD204" s="15"/>
      <c r="AE204" s="15"/>
    </row>
    <row r="205" ht="15.0" customHeight="1">
      <c r="A205" s="134" t="s">
        <v>244</v>
      </c>
      <c r="B205" s="3" t="s">
        <v>239</v>
      </c>
      <c r="C205" s="3" t="s">
        <v>30</v>
      </c>
      <c r="D205" s="135" t="s">
        <v>240</v>
      </c>
      <c r="E205" s="8">
        <v>6.0</v>
      </c>
      <c r="F205" s="165" t="s">
        <v>234</v>
      </c>
      <c r="G205" s="137">
        <v>8.97118911</v>
      </c>
      <c r="H205" s="137">
        <v>0.10696003</v>
      </c>
      <c r="I205" s="137">
        <v>3.93449122</v>
      </c>
      <c r="J205" s="120">
        <f t="shared" si="1"/>
        <v>83.87422021</v>
      </c>
      <c r="K205" s="121">
        <v>-0.438</v>
      </c>
      <c r="L205" s="121">
        <v>-1.435</v>
      </c>
      <c r="M205" s="122">
        <f t="shared" si="2"/>
        <v>0.997</v>
      </c>
      <c r="N205" s="120">
        <v>50.1</v>
      </c>
      <c r="O205" s="120">
        <v>3.946330210631895</v>
      </c>
      <c r="P205" s="123">
        <v>4.4985903153992925</v>
      </c>
      <c r="Q205" s="120">
        <v>0.0</v>
      </c>
      <c r="R205" s="120">
        <v>1.1399427000000004</v>
      </c>
      <c r="S205" s="15"/>
      <c r="T205" s="161"/>
      <c r="AA205" s="15"/>
      <c r="AB205" s="15"/>
      <c r="AC205" s="15"/>
      <c r="AD205" s="15"/>
      <c r="AE205" s="15"/>
    </row>
    <row r="206" ht="15.0" customHeight="1">
      <c r="A206" s="134" t="s">
        <v>249</v>
      </c>
      <c r="B206" s="3" t="s">
        <v>250</v>
      </c>
      <c r="C206" s="3" t="s">
        <v>42</v>
      </c>
      <c r="D206" s="3" t="s">
        <v>251</v>
      </c>
      <c r="E206" s="8">
        <v>1.0</v>
      </c>
      <c r="F206" s="165" t="s">
        <v>234</v>
      </c>
      <c r="G206" s="137">
        <v>3.20292386</v>
      </c>
      <c r="H206" s="137">
        <v>0.05487775</v>
      </c>
      <c r="I206" s="137">
        <v>1.64788099</v>
      </c>
      <c r="J206" s="120">
        <f t="shared" si="1"/>
        <v>58.3647081</v>
      </c>
      <c r="K206" s="121">
        <v>-0.515</v>
      </c>
      <c r="L206" s="121">
        <v>-1.4</v>
      </c>
      <c r="M206" s="122">
        <f t="shared" si="2"/>
        <v>0.885</v>
      </c>
      <c r="N206" s="120">
        <v>40.2</v>
      </c>
      <c r="O206" s="120">
        <v>1.8620124180790962</v>
      </c>
      <c r="P206" s="123">
        <v>2.1498001230844936</v>
      </c>
      <c r="Q206" s="120">
        <v>0.0</v>
      </c>
      <c r="R206" s="120">
        <v>1.1545573500000001</v>
      </c>
      <c r="S206" s="15"/>
      <c r="T206" s="161"/>
      <c r="AA206" s="15"/>
      <c r="AB206" s="15"/>
      <c r="AC206" s="15"/>
      <c r="AD206" s="15"/>
      <c r="AE206" s="15"/>
    </row>
    <row r="207" ht="15.0" customHeight="1">
      <c r="A207" s="134" t="s">
        <v>249</v>
      </c>
      <c r="B207" s="3" t="s">
        <v>250</v>
      </c>
      <c r="C207" s="3" t="s">
        <v>42</v>
      </c>
      <c r="D207" s="3" t="s">
        <v>251</v>
      </c>
      <c r="E207" s="8">
        <v>2.0</v>
      </c>
      <c r="F207" s="165" t="s">
        <v>234</v>
      </c>
      <c r="G207" s="137">
        <v>2.4043877</v>
      </c>
      <c r="H207" s="137">
        <v>0.03249638</v>
      </c>
      <c r="I207" s="137">
        <v>1.701193</v>
      </c>
      <c r="J207" s="120">
        <f t="shared" si="1"/>
        <v>73.98940128</v>
      </c>
      <c r="K207" s="121">
        <v>-0.402</v>
      </c>
      <c r="L207" s="121">
        <v>-1.2</v>
      </c>
      <c r="M207" s="122">
        <f t="shared" si="2"/>
        <v>0.798</v>
      </c>
      <c r="N207" s="120">
        <v>35.0</v>
      </c>
      <c r="O207" s="120">
        <v>2.1318208020050124</v>
      </c>
      <c r="P207" s="123">
        <v>2.18090704188158</v>
      </c>
      <c r="Q207" s="120">
        <v>0.0</v>
      </c>
      <c r="R207" s="120">
        <v>1.0230255000000004</v>
      </c>
      <c r="S207" s="15"/>
      <c r="T207" s="161"/>
      <c r="AA207" s="15"/>
      <c r="AB207" s="15"/>
      <c r="AC207" s="15"/>
      <c r="AD207" s="15"/>
      <c r="AE207" s="15"/>
    </row>
    <row r="208" ht="15.0" customHeight="1">
      <c r="A208" s="134" t="s">
        <v>249</v>
      </c>
      <c r="B208" s="3" t="s">
        <v>250</v>
      </c>
      <c r="C208" s="3" t="s">
        <v>42</v>
      </c>
      <c r="D208" s="3" t="s">
        <v>251</v>
      </c>
      <c r="E208" s="8">
        <v>3.0</v>
      </c>
      <c r="F208" s="165" t="s">
        <v>234</v>
      </c>
      <c r="G208" s="137">
        <v>3.03291467</v>
      </c>
      <c r="H208" s="137">
        <v>0.04845238</v>
      </c>
      <c r="I208" s="137">
        <v>1.7865949</v>
      </c>
      <c r="J208" s="120">
        <f t="shared" si="1"/>
        <v>62.59578312</v>
      </c>
      <c r="K208" s="121">
        <v>-0.315</v>
      </c>
      <c r="L208" s="121">
        <v>-1.45</v>
      </c>
      <c r="M208" s="122">
        <f t="shared" si="2"/>
        <v>1.135</v>
      </c>
      <c r="N208" s="120">
        <v>42.0</v>
      </c>
      <c r="O208" s="120">
        <v>1.574092422907489</v>
      </c>
      <c r="P208" s="123">
        <v>1.7023559273049256</v>
      </c>
      <c r="Q208" s="120">
        <v>0.0</v>
      </c>
      <c r="R208" s="120">
        <v>1.0814841000000002</v>
      </c>
      <c r="S208" s="15"/>
      <c r="T208" s="161"/>
      <c r="AA208" s="15"/>
      <c r="AB208" s="15"/>
      <c r="AC208" s="15"/>
      <c r="AD208" s="15"/>
      <c r="AE208" s="15"/>
    </row>
    <row r="209" ht="15.0" customHeight="1">
      <c r="A209" s="134" t="s">
        <v>249</v>
      </c>
      <c r="B209" s="3" t="s">
        <v>250</v>
      </c>
      <c r="C209" s="3" t="s">
        <v>42</v>
      </c>
      <c r="D209" s="3" t="s">
        <v>251</v>
      </c>
      <c r="E209" s="8">
        <v>4.0</v>
      </c>
      <c r="F209" s="165" t="s">
        <v>234</v>
      </c>
      <c r="G209" s="137">
        <v>6.24615359</v>
      </c>
      <c r="H209" s="137">
        <v>0.06572943</v>
      </c>
      <c r="I209" s="137">
        <v>2.47210743</v>
      </c>
      <c r="J209" s="120">
        <f t="shared" si="1"/>
        <v>95.02826344</v>
      </c>
      <c r="K209" s="121">
        <v>-0.378</v>
      </c>
      <c r="L209" s="121">
        <v>-1.416</v>
      </c>
      <c r="M209" s="122">
        <f t="shared" si="2"/>
        <v>1.038</v>
      </c>
      <c r="N209" s="120">
        <v>44.8</v>
      </c>
      <c r="O209" s="120">
        <v>2.381606387283237</v>
      </c>
      <c r="P209" s="123">
        <v>2.471250408941537</v>
      </c>
      <c r="Q209" s="120">
        <v>0.0</v>
      </c>
      <c r="R209" s="120">
        <v>1.03764015</v>
      </c>
      <c r="S209" s="15"/>
      <c r="T209" s="161"/>
      <c r="AA209" s="15"/>
      <c r="AB209" s="15"/>
      <c r="AC209" s="15"/>
      <c r="AD209" s="15"/>
      <c r="AE209" s="15"/>
    </row>
    <row r="210" ht="15.0" customHeight="1">
      <c r="A210" s="134" t="s">
        <v>249</v>
      </c>
      <c r="B210" s="3" t="s">
        <v>250</v>
      </c>
      <c r="C210" s="3" t="s">
        <v>42</v>
      </c>
      <c r="D210" s="3" t="s">
        <v>251</v>
      </c>
      <c r="E210" s="8">
        <v>5.0</v>
      </c>
      <c r="F210" s="165" t="s">
        <v>234</v>
      </c>
      <c r="G210" s="137">
        <v>4.09387505</v>
      </c>
      <c r="H210" s="137">
        <v>0.05827258</v>
      </c>
      <c r="I210" s="137">
        <v>2.43426449</v>
      </c>
      <c r="J210" s="120">
        <f t="shared" si="1"/>
        <v>70.25388356</v>
      </c>
      <c r="K210" s="121">
        <v>-0.382</v>
      </c>
      <c r="L210" s="121">
        <v>-1.428</v>
      </c>
      <c r="M210" s="122">
        <f t="shared" si="2"/>
        <v>1.046</v>
      </c>
      <c r="N210" s="120">
        <v>41.2</v>
      </c>
      <c r="O210" s="120">
        <v>2.3272127055449334</v>
      </c>
      <c r="P210" s="123">
        <v>2.7889347317015662</v>
      </c>
      <c r="Q210" s="120">
        <v>0.0</v>
      </c>
      <c r="R210" s="120">
        <v>1.1984013000000002</v>
      </c>
      <c r="S210" s="15"/>
      <c r="T210" s="161"/>
      <c r="AA210" s="15"/>
      <c r="AB210" s="15"/>
      <c r="AC210" s="15"/>
      <c r="AD210" s="15"/>
      <c r="AE210" s="15"/>
    </row>
    <row r="211" ht="15.0" customHeight="1">
      <c r="A211" s="134" t="s">
        <v>249</v>
      </c>
      <c r="B211" s="3" t="s">
        <v>250</v>
      </c>
      <c r="C211" s="3" t="s">
        <v>42</v>
      </c>
      <c r="D211" s="3" t="s">
        <v>251</v>
      </c>
      <c r="E211" s="8">
        <v>6.0</v>
      </c>
      <c r="F211" s="165" t="s">
        <v>234</v>
      </c>
      <c r="G211" s="137">
        <v>7.24938216</v>
      </c>
      <c r="H211" s="137">
        <v>0.08178942</v>
      </c>
      <c r="I211" s="137">
        <v>2.9759954</v>
      </c>
      <c r="J211" s="120">
        <f t="shared" si="1"/>
        <v>88.63471779</v>
      </c>
      <c r="K211" s="121">
        <v>-0.34</v>
      </c>
      <c r="L211" s="121">
        <v>-1.469</v>
      </c>
      <c r="M211" s="122">
        <f t="shared" si="2"/>
        <v>1.129</v>
      </c>
      <c r="N211" s="120">
        <v>50.2</v>
      </c>
      <c r="O211" s="120">
        <v>2.6359569530558016</v>
      </c>
      <c r="P211" s="123">
        <v>3.158934239286112</v>
      </c>
      <c r="Q211" s="120">
        <v>0.14285714285714285</v>
      </c>
      <c r="R211" s="120">
        <v>1.1984013000000002</v>
      </c>
      <c r="S211" s="15"/>
      <c r="T211" s="161"/>
      <c r="AA211" s="15"/>
      <c r="AB211" s="15"/>
      <c r="AC211" s="15"/>
      <c r="AD211" s="15"/>
      <c r="AE211" s="15"/>
    </row>
    <row r="212" ht="15.0" customHeight="1">
      <c r="A212" s="134" t="s">
        <v>256</v>
      </c>
      <c r="B212" s="3" t="s">
        <v>257</v>
      </c>
      <c r="C212" s="3" t="s">
        <v>54</v>
      </c>
      <c r="D212" s="135" t="s">
        <v>240</v>
      </c>
      <c r="E212" s="8">
        <v>1.0</v>
      </c>
      <c r="F212" s="165" t="s">
        <v>234</v>
      </c>
      <c r="G212" s="137">
        <v>6.72970191</v>
      </c>
      <c r="H212" s="137">
        <v>0.08898405</v>
      </c>
      <c r="I212" s="137">
        <v>2.64996994</v>
      </c>
      <c r="J212" s="120">
        <f t="shared" si="1"/>
        <v>75.62818179</v>
      </c>
      <c r="K212" s="121">
        <v>-0.522</v>
      </c>
      <c r="L212" s="121">
        <v>-1.414</v>
      </c>
      <c r="M212" s="122">
        <f t="shared" si="2"/>
        <v>0.892</v>
      </c>
      <c r="N212" s="120">
        <v>42.9</v>
      </c>
      <c r="O212" s="120">
        <v>2.9708183183856507</v>
      </c>
      <c r="P212" s="123">
        <v>2.86555301582846</v>
      </c>
      <c r="Q212" s="120">
        <v>0.0</v>
      </c>
      <c r="R212" s="120">
        <v>0.9645669000000001</v>
      </c>
      <c r="S212" s="15"/>
      <c r="T212" s="161"/>
      <c r="AA212" s="15"/>
      <c r="AB212" s="15"/>
      <c r="AC212" s="15"/>
      <c r="AD212" s="15"/>
      <c r="AE212" s="15"/>
    </row>
    <row r="213" ht="15.0" customHeight="1">
      <c r="A213" s="134" t="s">
        <v>256</v>
      </c>
      <c r="B213" s="3" t="s">
        <v>257</v>
      </c>
      <c r="C213" s="3" t="s">
        <v>54</v>
      </c>
      <c r="D213" s="135" t="s">
        <v>240</v>
      </c>
      <c r="E213" s="8">
        <v>2.0</v>
      </c>
      <c r="F213" s="165" t="s">
        <v>234</v>
      </c>
      <c r="G213" s="137">
        <v>2.19233276</v>
      </c>
      <c r="H213" s="137">
        <v>0.03656611</v>
      </c>
      <c r="I213" s="137">
        <v>1.97993884</v>
      </c>
      <c r="J213" s="120">
        <f t="shared" si="1"/>
        <v>59.95531819</v>
      </c>
      <c r="K213" s="121">
        <v>-0.463</v>
      </c>
      <c r="L213" s="121">
        <v>-1.37</v>
      </c>
      <c r="M213" s="122">
        <f t="shared" si="2"/>
        <v>0.907</v>
      </c>
      <c r="N213" s="120">
        <v>49.3</v>
      </c>
      <c r="O213" s="120">
        <v>2.1829535170893055</v>
      </c>
      <c r="P213" s="123">
        <v>2.137507808441458</v>
      </c>
      <c r="Q213" s="120">
        <v>0.0</v>
      </c>
      <c r="R213" s="120">
        <v>0.9791815500000003</v>
      </c>
      <c r="S213" s="15"/>
      <c r="T213" s="161"/>
      <c r="AA213" s="15"/>
      <c r="AB213" s="15"/>
      <c r="AC213" s="15"/>
      <c r="AD213" s="15"/>
      <c r="AE213" s="15"/>
    </row>
    <row r="214" ht="15.0" customHeight="1">
      <c r="A214" s="134" t="s">
        <v>256</v>
      </c>
      <c r="B214" s="3" t="s">
        <v>257</v>
      </c>
      <c r="C214" s="3" t="s">
        <v>54</v>
      </c>
      <c r="D214" s="135" t="s">
        <v>240</v>
      </c>
      <c r="E214" s="8">
        <v>3.0</v>
      </c>
      <c r="F214" s="165" t="s">
        <v>234</v>
      </c>
      <c r="G214" s="137">
        <v>7.23920454</v>
      </c>
      <c r="H214" s="137">
        <v>0.07875493</v>
      </c>
      <c r="I214" s="137">
        <v>2.60074896</v>
      </c>
      <c r="J214" s="120">
        <f t="shared" si="1"/>
        <v>91.92065233</v>
      </c>
      <c r="K214" s="121">
        <v>-0.472</v>
      </c>
      <c r="L214" s="121">
        <v>-1.396</v>
      </c>
      <c r="M214" s="122">
        <f t="shared" si="2"/>
        <v>0.924</v>
      </c>
      <c r="N214" s="120">
        <v>45.0</v>
      </c>
      <c r="O214" s="120">
        <v>2.8146633766233773</v>
      </c>
      <c r="P214" s="123">
        <v>2.8383370880846504</v>
      </c>
      <c r="Q214" s="120">
        <v>0.0</v>
      </c>
      <c r="R214" s="120">
        <v>1.0084108500000002</v>
      </c>
      <c r="S214" s="15"/>
      <c r="T214" s="161"/>
      <c r="AA214" s="15"/>
      <c r="AB214" s="15"/>
      <c r="AC214" s="15"/>
      <c r="AD214" s="15"/>
      <c r="AE214" s="15"/>
    </row>
    <row r="215" ht="15.0" customHeight="1">
      <c r="A215" s="134" t="s">
        <v>256</v>
      </c>
      <c r="B215" s="3" t="s">
        <v>257</v>
      </c>
      <c r="C215" s="3" t="s">
        <v>54</v>
      </c>
      <c r="D215" s="135" t="s">
        <v>240</v>
      </c>
      <c r="E215" s="8">
        <v>4.0</v>
      </c>
      <c r="F215" s="165" t="s">
        <v>234</v>
      </c>
      <c r="G215" s="137">
        <v>6.89492782</v>
      </c>
      <c r="H215" s="137">
        <v>0.1009392</v>
      </c>
      <c r="I215" s="137">
        <v>3.47914023</v>
      </c>
      <c r="J215" s="120">
        <f t="shared" si="1"/>
        <v>68.30773198</v>
      </c>
      <c r="K215" s="121">
        <v>-0.501</v>
      </c>
      <c r="L215" s="121">
        <v>-1.35</v>
      </c>
      <c r="M215" s="122">
        <f t="shared" si="2"/>
        <v>0.849</v>
      </c>
      <c r="N215" s="120">
        <v>50.6</v>
      </c>
      <c r="O215" s="120">
        <v>4.097927243816254</v>
      </c>
      <c r="P215" s="123">
        <v>3.832945433205711</v>
      </c>
      <c r="Q215" s="120">
        <v>0.14285714285714285</v>
      </c>
      <c r="R215" s="120">
        <v>0.9353376000000002</v>
      </c>
      <c r="S215" s="15"/>
      <c r="T215" s="161"/>
      <c r="AA215" s="15"/>
      <c r="AB215" s="15"/>
      <c r="AC215" s="15"/>
      <c r="AD215" s="15"/>
      <c r="AE215" s="15"/>
    </row>
    <row r="216" ht="15.0" customHeight="1">
      <c r="A216" s="134" t="s">
        <v>256</v>
      </c>
      <c r="B216" s="3" t="s">
        <v>257</v>
      </c>
      <c r="C216" s="3" t="s">
        <v>54</v>
      </c>
      <c r="D216" s="135" t="s">
        <v>240</v>
      </c>
      <c r="E216" s="8">
        <v>5.0</v>
      </c>
      <c r="F216" s="165" t="s">
        <v>234</v>
      </c>
      <c r="G216" s="137">
        <v>6.85830613</v>
      </c>
      <c r="H216" s="137">
        <v>0.08078911</v>
      </c>
      <c r="I216" s="137">
        <v>3.23479664</v>
      </c>
      <c r="J216" s="120">
        <f t="shared" si="1"/>
        <v>84.8914678</v>
      </c>
      <c r="K216" s="121">
        <v>-0.482</v>
      </c>
      <c r="L216" s="121">
        <v>-1.411</v>
      </c>
      <c r="M216" s="122">
        <f t="shared" si="2"/>
        <v>0.929</v>
      </c>
      <c r="N216" s="120">
        <v>41.5</v>
      </c>
      <c r="O216" s="120">
        <v>3.4820200645855754</v>
      </c>
      <c r="P216" s="123">
        <v>3.562195317582692</v>
      </c>
      <c r="Q216" s="120">
        <v>0.0</v>
      </c>
      <c r="R216" s="120">
        <v>1.0230255000000004</v>
      </c>
      <c r="S216" s="15"/>
      <c r="T216" s="161"/>
      <c r="AA216" s="15"/>
      <c r="AB216" s="15"/>
      <c r="AC216" s="15"/>
      <c r="AD216" s="15"/>
      <c r="AE216" s="15"/>
    </row>
    <row r="217" ht="15.0" customHeight="1">
      <c r="A217" s="134" t="s">
        <v>256</v>
      </c>
      <c r="B217" s="3" t="s">
        <v>257</v>
      </c>
      <c r="C217" s="3" t="s">
        <v>54</v>
      </c>
      <c r="D217" s="135" t="s">
        <v>240</v>
      </c>
      <c r="E217" s="8">
        <v>6.0</v>
      </c>
      <c r="F217" s="165" t="s">
        <v>234</v>
      </c>
      <c r="G217" s="137">
        <v>13.6120014</v>
      </c>
      <c r="H217" s="137">
        <v>0.15040004</v>
      </c>
      <c r="I217" s="137">
        <v>4.75625997</v>
      </c>
      <c r="J217" s="120">
        <f t="shared" si="1"/>
        <v>90.50530439</v>
      </c>
      <c r="K217" s="121">
        <v>-0.53</v>
      </c>
      <c r="L217" s="121">
        <v>-1.107</v>
      </c>
      <c r="M217" s="122">
        <f t="shared" si="2"/>
        <v>0.577</v>
      </c>
      <c r="N217" s="120">
        <v>49.7</v>
      </c>
      <c r="O217" s="120">
        <v>8.243084870017332</v>
      </c>
      <c r="P217" s="123">
        <v>8.914765221874314</v>
      </c>
      <c r="Q217" s="120">
        <v>0.0</v>
      </c>
      <c r="R217" s="120">
        <v>1.0814841000000002</v>
      </c>
      <c r="S217" s="15"/>
      <c r="T217" s="161"/>
      <c r="AA217" s="15"/>
      <c r="AB217" s="15"/>
      <c r="AC217" s="15"/>
      <c r="AD217" s="15"/>
      <c r="AE217" s="15"/>
    </row>
    <row r="218" ht="15.0" customHeight="1">
      <c r="A218" s="134" t="s">
        <v>249</v>
      </c>
      <c r="B218" s="3" t="s">
        <v>258</v>
      </c>
      <c r="C218" s="3" t="s">
        <v>65</v>
      </c>
      <c r="D218" s="3" t="s">
        <v>251</v>
      </c>
      <c r="E218" s="8">
        <v>1.0</v>
      </c>
      <c r="F218" s="165" t="s">
        <v>234</v>
      </c>
      <c r="G218" s="137">
        <v>6.37219859</v>
      </c>
      <c r="H218" s="137">
        <v>0.08403736</v>
      </c>
      <c r="I218" s="137">
        <v>2.70781739</v>
      </c>
      <c r="J218" s="120">
        <f t="shared" si="1"/>
        <v>75.8257826</v>
      </c>
      <c r="K218" s="121">
        <v>-0.37</v>
      </c>
      <c r="L218" s="121">
        <v>-1.27</v>
      </c>
      <c r="M218" s="122">
        <f t="shared" si="2"/>
        <v>0.9</v>
      </c>
      <c r="N218" s="120">
        <v>40.2</v>
      </c>
      <c r="O218" s="120">
        <v>3.008685988888889</v>
      </c>
      <c r="P218" s="123">
        <v>3.4297296296261717</v>
      </c>
      <c r="Q218" s="120">
        <v>0.0</v>
      </c>
      <c r="R218" s="120">
        <v>1.1399427000000004</v>
      </c>
      <c r="S218" s="15"/>
      <c r="T218" s="161"/>
      <c r="AA218" s="15"/>
      <c r="AB218" s="15"/>
      <c r="AC218" s="15"/>
      <c r="AD218" s="15"/>
      <c r="AE218" s="15"/>
    </row>
    <row r="219" ht="15.0" customHeight="1">
      <c r="A219" s="134" t="s">
        <v>249</v>
      </c>
      <c r="B219" s="3" t="s">
        <v>258</v>
      </c>
      <c r="C219" s="3" t="s">
        <v>65</v>
      </c>
      <c r="D219" s="3" t="s">
        <v>251</v>
      </c>
      <c r="E219" s="8">
        <v>2.0</v>
      </c>
      <c r="F219" s="165" t="s">
        <v>234</v>
      </c>
      <c r="G219" s="137">
        <v>3.10212475</v>
      </c>
      <c r="H219" s="137">
        <v>0.0444765</v>
      </c>
      <c r="I219" s="137">
        <v>2.38156258</v>
      </c>
      <c r="J219" s="120">
        <f t="shared" si="1"/>
        <v>69.74750149</v>
      </c>
      <c r="K219" s="121">
        <v>-0.408</v>
      </c>
      <c r="L219" s="121">
        <v>-1.52</v>
      </c>
      <c r="M219" s="122">
        <f t="shared" si="2"/>
        <v>1.112</v>
      </c>
      <c r="N219" s="120">
        <v>61.2</v>
      </c>
      <c r="O219" s="120">
        <v>2.1416929676258993</v>
      </c>
      <c r="P219" s="123">
        <v>2.0658061465347144</v>
      </c>
      <c r="Q219" s="120">
        <v>0.0</v>
      </c>
      <c r="R219" s="120">
        <v>0.9645669000000001</v>
      </c>
      <c r="S219" s="15"/>
      <c r="T219" s="161"/>
      <c r="AA219" s="15"/>
      <c r="AB219" s="15"/>
      <c r="AC219" s="15"/>
      <c r="AD219" s="15"/>
      <c r="AE219" s="15"/>
    </row>
    <row r="220" ht="15.0" customHeight="1">
      <c r="A220" s="134" t="s">
        <v>249</v>
      </c>
      <c r="B220" s="3" t="s">
        <v>258</v>
      </c>
      <c r="C220" s="3" t="s">
        <v>65</v>
      </c>
      <c r="D220" s="3" t="s">
        <v>251</v>
      </c>
      <c r="E220" s="8">
        <v>3.0</v>
      </c>
      <c r="F220" s="165" t="s">
        <v>234</v>
      </c>
      <c r="G220" s="137">
        <v>7.48923293</v>
      </c>
      <c r="H220" s="137">
        <v>0.07771835</v>
      </c>
      <c r="I220" s="137">
        <v>2.70369173</v>
      </c>
      <c r="J220" s="120">
        <f t="shared" si="1"/>
        <v>96.36376647</v>
      </c>
      <c r="K220" s="121">
        <v>-0.537</v>
      </c>
      <c r="L220" s="121">
        <v>-1.56</v>
      </c>
      <c r="M220" s="122">
        <f t="shared" si="2"/>
        <v>1.023</v>
      </c>
      <c r="N220" s="120">
        <v>32.5</v>
      </c>
      <c r="O220" s="120">
        <v>2.6429049169110455</v>
      </c>
      <c r="P220" s="123">
        <v>3.3217612095783258</v>
      </c>
      <c r="Q220" s="120">
        <v>0.14285714285714285</v>
      </c>
      <c r="R220" s="120">
        <v>1.2568599000000003</v>
      </c>
      <c r="S220" s="15"/>
      <c r="T220" s="161"/>
      <c r="AA220" s="15"/>
      <c r="AB220" s="15"/>
      <c r="AC220" s="15"/>
      <c r="AD220" s="15"/>
      <c r="AE220" s="15"/>
    </row>
    <row r="221" ht="15.0" customHeight="1">
      <c r="A221" s="134" t="s">
        <v>249</v>
      </c>
      <c r="B221" s="3" t="s">
        <v>258</v>
      </c>
      <c r="C221" s="3" t="s">
        <v>65</v>
      </c>
      <c r="D221" s="3" t="s">
        <v>251</v>
      </c>
      <c r="E221" s="8">
        <v>4.0</v>
      </c>
      <c r="F221" s="165" t="s">
        <v>234</v>
      </c>
      <c r="G221" s="137">
        <v>5.13024967</v>
      </c>
      <c r="H221" s="137">
        <v>0.05696661</v>
      </c>
      <c r="I221" s="137">
        <v>2.27019988</v>
      </c>
      <c r="J221" s="120">
        <f t="shared" si="1"/>
        <v>90.0571347</v>
      </c>
      <c r="K221" s="121">
        <v>-0.506</v>
      </c>
      <c r="L221" s="121">
        <v>-1.53</v>
      </c>
      <c r="M221" s="122">
        <f t="shared" si="2"/>
        <v>1.024</v>
      </c>
      <c r="N221" s="120">
        <v>43.0</v>
      </c>
      <c r="O221" s="120">
        <v>2.2169920703124997</v>
      </c>
      <c r="P221" s="123">
        <v>2.494843363350229</v>
      </c>
      <c r="Q221" s="120">
        <v>0.0</v>
      </c>
      <c r="R221" s="120">
        <v>1.1253280500000002</v>
      </c>
      <c r="S221" s="15"/>
      <c r="T221" s="161"/>
      <c r="AA221" s="15"/>
      <c r="AB221" s="15"/>
      <c r="AC221" s="15"/>
      <c r="AD221" s="15"/>
      <c r="AE221" s="15"/>
    </row>
    <row r="222" ht="15.0" customHeight="1">
      <c r="A222" s="134" t="s">
        <v>249</v>
      </c>
      <c r="B222" s="3" t="s">
        <v>258</v>
      </c>
      <c r="C222" s="3" t="s">
        <v>65</v>
      </c>
      <c r="D222" s="3" t="s">
        <v>251</v>
      </c>
      <c r="E222" s="8">
        <v>5.0</v>
      </c>
      <c r="F222" s="165" t="s">
        <v>234</v>
      </c>
      <c r="G222" s="137">
        <v>1.82861197</v>
      </c>
      <c r="H222" s="137">
        <v>0.03227301</v>
      </c>
      <c r="I222" s="137">
        <v>1.51062269</v>
      </c>
      <c r="J222" s="120">
        <f t="shared" si="1"/>
        <v>56.66071959</v>
      </c>
      <c r="K222" s="121">
        <v>-0.842</v>
      </c>
      <c r="L222" s="121">
        <v>-1.419</v>
      </c>
      <c r="M222" s="122">
        <f t="shared" si="2"/>
        <v>0.577</v>
      </c>
      <c r="N222" s="120">
        <v>44.2</v>
      </c>
      <c r="O222" s="120">
        <v>2.6180635875216636</v>
      </c>
      <c r="P222" s="123">
        <v>2.869656225703012</v>
      </c>
      <c r="Q222" s="120">
        <v>0.0</v>
      </c>
      <c r="R222" s="120">
        <v>1.0960987500000003</v>
      </c>
      <c r="S222" s="15"/>
      <c r="T222" s="161"/>
      <c r="AA222" s="15"/>
      <c r="AB222" s="15"/>
      <c r="AC222" s="15"/>
      <c r="AD222" s="15"/>
      <c r="AE222" s="15"/>
    </row>
    <row r="223" ht="15.0" customHeight="1">
      <c r="A223" s="134" t="s">
        <v>249</v>
      </c>
      <c r="B223" s="3" t="s">
        <v>258</v>
      </c>
      <c r="C223" s="3" t="s">
        <v>65</v>
      </c>
      <c r="D223" s="3" t="s">
        <v>251</v>
      </c>
      <c r="E223" s="8">
        <v>6.0</v>
      </c>
      <c r="F223" s="165" t="s">
        <v>234</v>
      </c>
      <c r="G223" s="137">
        <v>8.43657079</v>
      </c>
      <c r="H223" s="137">
        <v>0.0908845</v>
      </c>
      <c r="I223" s="137">
        <v>3.46316151</v>
      </c>
      <c r="J223" s="120">
        <f t="shared" si="1"/>
        <v>92.8273885</v>
      </c>
      <c r="K223" s="121">
        <v>-0.4</v>
      </c>
      <c r="L223" s="121">
        <v>-1.443</v>
      </c>
      <c r="M223" s="122">
        <f t="shared" si="2"/>
        <v>1.043</v>
      </c>
      <c r="N223" s="120">
        <v>42.7</v>
      </c>
      <c r="O223" s="120">
        <v>3.3203849568552246</v>
      </c>
      <c r="P223" s="123">
        <v>4.076206176815154</v>
      </c>
      <c r="Q223" s="120">
        <v>0.0</v>
      </c>
      <c r="R223" s="120">
        <v>1.2276306000000001</v>
      </c>
      <c r="S223" s="15"/>
      <c r="T223" s="161"/>
      <c r="AA223" s="15"/>
      <c r="AB223" s="15"/>
      <c r="AC223" s="15"/>
      <c r="AD223" s="15"/>
      <c r="AE223" s="15"/>
    </row>
    <row r="224" ht="15.0" customHeight="1">
      <c r="A224" s="134" t="s">
        <v>256</v>
      </c>
      <c r="B224" s="3" t="s">
        <v>239</v>
      </c>
      <c r="C224" s="3" t="s">
        <v>73</v>
      </c>
      <c r="D224" s="135" t="s">
        <v>240</v>
      </c>
      <c r="E224" s="8">
        <v>1.0</v>
      </c>
      <c r="F224" s="165" t="s">
        <v>234</v>
      </c>
      <c r="G224" s="137">
        <v>8.79984702</v>
      </c>
      <c r="H224" s="137">
        <v>0.11728596</v>
      </c>
      <c r="I224" s="137">
        <v>3.12130863</v>
      </c>
      <c r="J224" s="120">
        <f t="shared" si="1"/>
        <v>75.02898915</v>
      </c>
      <c r="K224" s="121">
        <v>-0.465</v>
      </c>
      <c r="L224" s="121">
        <v>-1.446</v>
      </c>
      <c r="M224" s="122">
        <f t="shared" si="2"/>
        <v>0.981</v>
      </c>
      <c r="N224" s="120">
        <v>48.7</v>
      </c>
      <c r="O224" s="120">
        <v>3.1817621100917437</v>
      </c>
      <c r="P224" s="123">
        <v>3.301524113179914</v>
      </c>
      <c r="Q224" s="120">
        <v>0.14285714285714285</v>
      </c>
      <c r="R224" s="120">
        <v>1.03764015</v>
      </c>
      <c r="S224" s="15"/>
      <c r="T224" s="161"/>
      <c r="AA224" s="15"/>
      <c r="AB224" s="15"/>
      <c r="AC224" s="15"/>
      <c r="AD224" s="15"/>
      <c r="AE224" s="15"/>
    </row>
    <row r="225" ht="15.0" customHeight="1">
      <c r="A225" s="134" t="s">
        <v>256</v>
      </c>
      <c r="B225" s="3" t="s">
        <v>239</v>
      </c>
      <c r="C225" s="3" t="s">
        <v>73</v>
      </c>
      <c r="D225" s="135" t="s">
        <v>240</v>
      </c>
      <c r="E225" s="8">
        <v>2.0</v>
      </c>
      <c r="F225" s="165" t="s">
        <v>234</v>
      </c>
      <c r="G225" s="137">
        <v>4.32597176</v>
      </c>
      <c r="H225" s="137">
        <v>0.05408333</v>
      </c>
      <c r="I225" s="137">
        <v>2.8477145</v>
      </c>
      <c r="J225" s="120">
        <f t="shared" si="1"/>
        <v>79.98715612</v>
      </c>
      <c r="K225" s="121">
        <v>-0.607</v>
      </c>
      <c r="L225" s="121">
        <v>-1.34</v>
      </c>
      <c r="M225" s="122">
        <f t="shared" si="2"/>
        <v>0.733</v>
      </c>
      <c r="N225" s="120">
        <v>46.2</v>
      </c>
      <c r="O225" s="120">
        <v>3.8850129604365615</v>
      </c>
      <c r="P225" s="123">
        <v>4.371914058992804</v>
      </c>
      <c r="Q225" s="120">
        <v>0.14285714285714285</v>
      </c>
      <c r="R225" s="120">
        <v>1.1253280500000002</v>
      </c>
      <c r="S225" s="15"/>
      <c r="T225" s="161"/>
      <c r="AA225" s="15"/>
      <c r="AB225" s="15"/>
      <c r="AC225" s="15"/>
      <c r="AD225" s="15"/>
      <c r="AE225" s="15"/>
    </row>
    <row r="226" ht="15.0" customHeight="1">
      <c r="A226" s="134" t="s">
        <v>256</v>
      </c>
      <c r="B226" s="3" t="s">
        <v>239</v>
      </c>
      <c r="C226" s="3" t="s">
        <v>73</v>
      </c>
      <c r="D226" s="135" t="s">
        <v>240</v>
      </c>
      <c r="E226" s="8">
        <v>3.0</v>
      </c>
      <c r="F226" s="165" t="s">
        <v>234</v>
      </c>
      <c r="G226" s="137">
        <v>7.76277903</v>
      </c>
      <c r="H226" s="137">
        <v>0.08825384</v>
      </c>
      <c r="I226" s="137">
        <v>3.02838857</v>
      </c>
      <c r="J226" s="120">
        <f t="shared" si="1"/>
        <v>87.95967439</v>
      </c>
      <c r="K226" s="121">
        <v>-0.454</v>
      </c>
      <c r="L226" s="121">
        <v>-1.39</v>
      </c>
      <c r="M226" s="122">
        <f t="shared" si="2"/>
        <v>0.936</v>
      </c>
      <c r="N226" s="120">
        <v>47.0</v>
      </c>
      <c r="O226" s="120">
        <v>3.235457873931624</v>
      </c>
      <c r="P226" s="123">
        <v>3.357240993625092</v>
      </c>
      <c r="Q226" s="120">
        <v>0.0</v>
      </c>
      <c r="R226" s="120">
        <v>1.03764015</v>
      </c>
      <c r="S226" s="15"/>
      <c r="T226" s="161"/>
      <c r="AA226" s="15"/>
      <c r="AB226" s="15"/>
      <c r="AC226" s="15"/>
      <c r="AD226" s="15"/>
      <c r="AE226" s="15"/>
    </row>
    <row r="227" ht="15.0" customHeight="1">
      <c r="A227" s="134" t="s">
        <v>256</v>
      </c>
      <c r="B227" s="3" t="s">
        <v>239</v>
      </c>
      <c r="C227" s="3" t="s">
        <v>73</v>
      </c>
      <c r="D227" s="135" t="s">
        <v>240</v>
      </c>
      <c r="E227" s="8">
        <v>4.0</v>
      </c>
      <c r="F227" s="165" t="s">
        <v>234</v>
      </c>
      <c r="G227" s="137">
        <v>5.52022231</v>
      </c>
      <c r="H227" s="137">
        <v>0.09474846</v>
      </c>
      <c r="I227" s="137">
        <v>3.22700745</v>
      </c>
      <c r="J227" s="120">
        <f t="shared" si="1"/>
        <v>58.26186843</v>
      </c>
      <c r="K227" s="121">
        <v>-0.556</v>
      </c>
      <c r="L227" s="121">
        <v>-1.466</v>
      </c>
      <c r="M227" s="122">
        <f t="shared" si="2"/>
        <v>0.91</v>
      </c>
      <c r="N227" s="120">
        <v>49.0</v>
      </c>
      <c r="O227" s="120">
        <v>3.5461620329670334</v>
      </c>
      <c r="P227" s="123">
        <v>3.368684602081608</v>
      </c>
      <c r="Q227" s="120">
        <v>0.0</v>
      </c>
      <c r="R227" s="120">
        <v>0.9499522500000003</v>
      </c>
      <c r="S227" s="15"/>
      <c r="T227" s="161"/>
      <c r="AA227" s="15"/>
      <c r="AB227" s="15"/>
      <c r="AC227" s="15"/>
      <c r="AD227" s="15"/>
      <c r="AE227" s="15"/>
    </row>
    <row r="228" ht="15.0" customHeight="1">
      <c r="A228" s="134" t="s">
        <v>256</v>
      </c>
      <c r="B228" s="3" t="s">
        <v>239</v>
      </c>
      <c r="C228" s="3" t="s">
        <v>73</v>
      </c>
      <c r="D228" s="135" t="s">
        <v>240</v>
      </c>
      <c r="E228" s="8">
        <v>5.0</v>
      </c>
      <c r="F228" s="165" t="s">
        <v>234</v>
      </c>
      <c r="G228" s="137">
        <v>5.48857348</v>
      </c>
      <c r="H228" s="137">
        <v>0.07239157</v>
      </c>
      <c r="I228" s="137">
        <v>2.98385316</v>
      </c>
      <c r="J228" s="120">
        <f t="shared" si="1"/>
        <v>75.81785393</v>
      </c>
      <c r="K228" s="121">
        <v>-0.514</v>
      </c>
      <c r="L228" s="121">
        <v>-1.35</v>
      </c>
      <c r="M228" s="122">
        <f t="shared" si="2"/>
        <v>0.836</v>
      </c>
      <c r="N228" s="120">
        <v>40.2</v>
      </c>
      <c r="O228" s="120">
        <v>3.569202344497607</v>
      </c>
      <c r="P228" s="123">
        <v>3.494897083948802</v>
      </c>
      <c r="Q228" s="120">
        <v>0.0</v>
      </c>
      <c r="R228" s="120">
        <v>0.9791815500000003</v>
      </c>
      <c r="S228" s="15"/>
      <c r="T228" s="161"/>
      <c r="AA228" s="15"/>
      <c r="AB228" s="15"/>
      <c r="AC228" s="15"/>
      <c r="AD228" s="15"/>
      <c r="AE228" s="15"/>
    </row>
    <row r="229" ht="15.0" customHeight="1">
      <c r="A229" s="134" t="s">
        <v>256</v>
      </c>
      <c r="B229" s="3" t="s">
        <v>239</v>
      </c>
      <c r="C229" s="3" t="s">
        <v>73</v>
      </c>
      <c r="D229" s="135" t="s">
        <v>240</v>
      </c>
      <c r="E229" s="8">
        <v>6.0</v>
      </c>
      <c r="F229" s="165" t="s">
        <v>234</v>
      </c>
      <c r="G229" s="137">
        <v>4.72992745</v>
      </c>
      <c r="H229" s="137">
        <v>0.09301211</v>
      </c>
      <c r="I229" s="137">
        <v>3.32802454</v>
      </c>
      <c r="J229" s="120">
        <f t="shared" si="1"/>
        <v>50.85281314</v>
      </c>
      <c r="K229" s="121">
        <v>-0.437</v>
      </c>
      <c r="L229" s="121">
        <v>-1.35</v>
      </c>
      <c r="M229" s="122">
        <f t="shared" si="2"/>
        <v>0.913</v>
      </c>
      <c r="N229" s="120">
        <v>40.9</v>
      </c>
      <c r="O229" s="120">
        <v>3.6451528368017523</v>
      </c>
      <c r="P229" s="123">
        <v>4.2085379996028145</v>
      </c>
      <c r="Q229" s="120">
        <v>0.0</v>
      </c>
      <c r="R229" s="120">
        <v>1.1545573500000001</v>
      </c>
      <c r="S229" s="15"/>
      <c r="T229" s="161"/>
      <c r="AA229" s="15"/>
      <c r="AB229" s="15"/>
      <c r="AC229" s="15"/>
      <c r="AD229" s="15"/>
      <c r="AE229" s="15"/>
    </row>
    <row r="230" ht="15.0" customHeight="1">
      <c r="A230" s="134" t="s">
        <v>244</v>
      </c>
      <c r="B230" s="3" t="s">
        <v>258</v>
      </c>
      <c r="C230" s="3" t="s">
        <v>80</v>
      </c>
      <c r="D230" s="3" t="s">
        <v>251</v>
      </c>
      <c r="E230" s="8">
        <v>1.0</v>
      </c>
      <c r="F230" s="165" t="s">
        <v>234</v>
      </c>
      <c r="G230" s="137">
        <v>5.28004686</v>
      </c>
      <c r="H230" s="137">
        <v>0.07005585</v>
      </c>
      <c r="I230" s="137">
        <v>2.14655955</v>
      </c>
      <c r="J230" s="120">
        <f t="shared" si="1"/>
        <v>75.36910708</v>
      </c>
      <c r="K230" s="121">
        <v>-0.8</v>
      </c>
      <c r="L230" s="121">
        <v>-1.461</v>
      </c>
      <c r="M230" s="122">
        <f t="shared" si="2"/>
        <v>0.661</v>
      </c>
      <c r="N230" s="120">
        <v>40.4</v>
      </c>
      <c r="O230" s="120">
        <v>3.24744258698941</v>
      </c>
      <c r="P230" s="123">
        <v>3.8917394179234726</v>
      </c>
      <c r="Q230" s="120">
        <v>0.0</v>
      </c>
      <c r="R230" s="120">
        <v>1.1984013000000002</v>
      </c>
      <c r="S230" s="15"/>
      <c r="T230" s="161"/>
      <c r="AA230" s="15"/>
      <c r="AB230" s="15"/>
      <c r="AC230" s="15"/>
      <c r="AD230" s="15"/>
      <c r="AE230" s="15"/>
    </row>
    <row r="231" ht="15.0" customHeight="1">
      <c r="A231" s="134" t="s">
        <v>244</v>
      </c>
      <c r="B231" s="3" t="s">
        <v>258</v>
      </c>
      <c r="C231" s="3" t="s">
        <v>80</v>
      </c>
      <c r="D231" s="3" t="s">
        <v>251</v>
      </c>
      <c r="E231" s="8">
        <v>2.0</v>
      </c>
      <c r="F231" s="165" t="s">
        <v>234</v>
      </c>
      <c r="G231" s="137">
        <v>3.47324966</v>
      </c>
      <c r="H231" s="137">
        <v>0.04677231</v>
      </c>
      <c r="I231" s="137">
        <v>2.53561299</v>
      </c>
      <c r="J231" s="120">
        <f t="shared" si="1"/>
        <v>74.25867271</v>
      </c>
      <c r="K231" s="121">
        <v>-0.41</v>
      </c>
      <c r="L231" s="121">
        <v>-1.41</v>
      </c>
      <c r="M231" s="122">
        <f t="shared" si="2"/>
        <v>1</v>
      </c>
      <c r="N231" s="120">
        <v>45.8</v>
      </c>
      <c r="O231" s="120">
        <v>2.53561299</v>
      </c>
      <c r="P231" s="123">
        <v>2.4828254577483353</v>
      </c>
      <c r="Q231" s="120">
        <v>0.0</v>
      </c>
      <c r="R231" s="120">
        <v>0.9791815500000003</v>
      </c>
      <c r="S231" s="15"/>
      <c r="T231" s="161"/>
      <c r="AA231" s="15"/>
      <c r="AB231" s="15"/>
      <c r="AC231" s="15"/>
      <c r="AD231" s="15"/>
      <c r="AE231" s="15"/>
    </row>
    <row r="232" ht="15.0" customHeight="1">
      <c r="A232" s="134" t="s">
        <v>244</v>
      </c>
      <c r="B232" s="3" t="s">
        <v>258</v>
      </c>
      <c r="C232" s="3" t="s">
        <v>80</v>
      </c>
      <c r="D232" s="3" t="s">
        <v>251</v>
      </c>
      <c r="E232" s="8">
        <v>3.0</v>
      </c>
      <c r="F232" s="165" t="s">
        <v>234</v>
      </c>
      <c r="G232" s="137">
        <v>7.19236989</v>
      </c>
      <c r="H232" s="137">
        <v>0.09558426</v>
      </c>
      <c r="I232" s="137">
        <v>3.22412675</v>
      </c>
      <c r="J232" s="120">
        <f t="shared" si="1"/>
        <v>75.24638356</v>
      </c>
      <c r="K232" s="121">
        <v>-0.35</v>
      </c>
      <c r="L232" s="121">
        <v>-1.392</v>
      </c>
      <c r="M232" s="122">
        <f t="shared" si="2"/>
        <v>1.042</v>
      </c>
      <c r="N232" s="120">
        <v>47.0</v>
      </c>
      <c r="O232" s="120">
        <v>3.0941715451055667</v>
      </c>
      <c r="P232" s="123">
        <v>3.7984996704208744</v>
      </c>
      <c r="Q232" s="120">
        <v>0.0</v>
      </c>
      <c r="R232" s="120">
        <v>1.2276306000000001</v>
      </c>
      <c r="S232" s="15"/>
      <c r="T232" s="161"/>
      <c r="AA232" s="15"/>
      <c r="AB232" s="15"/>
      <c r="AC232" s="15"/>
      <c r="AD232" s="15"/>
      <c r="AE232" s="15"/>
    </row>
    <row r="233" ht="15.0" customHeight="1">
      <c r="A233" s="134" t="s">
        <v>244</v>
      </c>
      <c r="B233" s="3" t="s">
        <v>258</v>
      </c>
      <c r="C233" s="3" t="s">
        <v>80</v>
      </c>
      <c r="D233" s="3" t="s">
        <v>251</v>
      </c>
      <c r="E233" s="8">
        <v>4.0</v>
      </c>
      <c r="F233" s="165" t="s">
        <v>234</v>
      </c>
      <c r="G233" s="137">
        <v>3.23999261</v>
      </c>
      <c r="H233" s="137">
        <v>0.04210463</v>
      </c>
      <c r="I233" s="137">
        <v>1.48631764</v>
      </c>
      <c r="J233" s="120">
        <f t="shared" si="1"/>
        <v>76.95098164</v>
      </c>
      <c r="K233" s="121">
        <v>-0.398</v>
      </c>
      <c r="L233" s="121">
        <v>-1.41</v>
      </c>
      <c r="M233" s="122">
        <f t="shared" si="2"/>
        <v>1.012</v>
      </c>
      <c r="N233" s="120">
        <v>42.1</v>
      </c>
      <c r="O233" s="120">
        <v>1.4686933201581027</v>
      </c>
      <c r="P233" s="123">
        <v>1.695690667684441</v>
      </c>
      <c r="Q233" s="120">
        <v>0.0</v>
      </c>
      <c r="R233" s="120">
        <v>1.1545573500000001</v>
      </c>
      <c r="S233" s="15"/>
      <c r="T233" s="161"/>
      <c r="AA233" s="15"/>
      <c r="AB233" s="15"/>
      <c r="AC233" s="15"/>
      <c r="AD233" s="15"/>
      <c r="AE233" s="15"/>
    </row>
    <row r="234" ht="15.0" customHeight="1">
      <c r="A234" s="134" t="s">
        <v>244</v>
      </c>
      <c r="B234" s="3" t="s">
        <v>258</v>
      </c>
      <c r="C234" s="3" t="s">
        <v>80</v>
      </c>
      <c r="D234" s="3" t="s">
        <v>251</v>
      </c>
      <c r="E234" s="8">
        <v>5.0</v>
      </c>
      <c r="F234" s="165" t="s">
        <v>234</v>
      </c>
      <c r="G234" s="137">
        <v>1.35978782</v>
      </c>
      <c r="H234" s="137">
        <v>0.03374445</v>
      </c>
      <c r="I234" s="137">
        <v>1.62534946</v>
      </c>
      <c r="J234" s="120">
        <f t="shared" si="1"/>
        <v>40.29663604</v>
      </c>
      <c r="K234" s="121">
        <v>-0.634</v>
      </c>
      <c r="L234" s="121">
        <v>-1.356</v>
      </c>
      <c r="M234" s="122">
        <f t="shared" si="2"/>
        <v>0.722</v>
      </c>
      <c r="N234" s="120">
        <v>41.0</v>
      </c>
      <c r="O234" s="120">
        <v>2.2511765373961214</v>
      </c>
      <c r="P234" s="123">
        <v>2.1714103740289112</v>
      </c>
      <c r="Q234" s="120">
        <v>0.0</v>
      </c>
      <c r="R234" s="120">
        <v>0.9645669000000001</v>
      </c>
      <c r="S234" s="15"/>
      <c r="T234" s="161"/>
      <c r="AA234" s="15"/>
      <c r="AB234" s="15"/>
      <c r="AC234" s="15"/>
      <c r="AD234" s="15"/>
      <c r="AE234" s="15"/>
    </row>
    <row r="235" ht="15.0" customHeight="1">
      <c r="A235" s="134" t="s">
        <v>244</v>
      </c>
      <c r="B235" s="3" t="s">
        <v>258</v>
      </c>
      <c r="C235" s="3" t="s">
        <v>80</v>
      </c>
      <c r="D235" s="3" t="s">
        <v>251</v>
      </c>
      <c r="E235" s="8">
        <v>6.0</v>
      </c>
      <c r="F235" s="165" t="s">
        <v>234</v>
      </c>
      <c r="G235" s="137">
        <v>6.16990136</v>
      </c>
      <c r="H235" s="137">
        <v>0.10833436</v>
      </c>
      <c r="I235" s="137">
        <v>3.03194453</v>
      </c>
      <c r="J235" s="120">
        <f t="shared" si="1"/>
        <v>56.9523959</v>
      </c>
      <c r="K235" s="121">
        <v>-0.491</v>
      </c>
      <c r="L235" s="121">
        <v>-1.426</v>
      </c>
      <c r="M235" s="122">
        <f t="shared" si="2"/>
        <v>0.935</v>
      </c>
      <c r="N235" s="120">
        <v>43.6</v>
      </c>
      <c r="O235" s="120">
        <v>3.2427214224598933</v>
      </c>
      <c r="P235" s="123">
        <v>3.554342897756512</v>
      </c>
      <c r="Q235" s="120">
        <v>0.0</v>
      </c>
      <c r="R235" s="120">
        <v>1.0960987500000003</v>
      </c>
      <c r="S235" s="15"/>
      <c r="T235" s="161"/>
      <c r="AA235" s="15"/>
      <c r="AB235" s="15"/>
      <c r="AC235" s="15"/>
      <c r="AD235" s="15"/>
      <c r="AE235" s="15"/>
    </row>
    <row r="236" ht="15.0" customHeight="1">
      <c r="A236" s="134" t="s">
        <v>256</v>
      </c>
      <c r="B236" s="3" t="s">
        <v>250</v>
      </c>
      <c r="C236" s="3" t="s">
        <v>94</v>
      </c>
      <c r="D236" s="3" t="s">
        <v>251</v>
      </c>
      <c r="E236" s="8">
        <v>1.0</v>
      </c>
      <c r="F236" s="165" t="s">
        <v>234</v>
      </c>
      <c r="G236" s="137">
        <v>3.17030307</v>
      </c>
      <c r="H236" s="137">
        <v>0.05549812</v>
      </c>
      <c r="I236" s="137">
        <v>1.99822462</v>
      </c>
      <c r="J236" s="120">
        <f t="shared" si="1"/>
        <v>57.12451287</v>
      </c>
      <c r="K236" s="121">
        <v>-0.315</v>
      </c>
      <c r="L236" s="121">
        <v>-1.31</v>
      </c>
      <c r="M236" s="122">
        <f t="shared" si="2"/>
        <v>0.995</v>
      </c>
      <c r="N236" s="120">
        <v>43.6</v>
      </c>
      <c r="O236" s="120">
        <v>2.0082659497487434</v>
      </c>
      <c r="P236" s="123">
        <v>2.259958005112152</v>
      </c>
      <c r="Q236" s="120">
        <v>0.0</v>
      </c>
      <c r="R236" s="120">
        <v>1.1253280500000002</v>
      </c>
      <c r="S236" s="15"/>
      <c r="T236" s="161"/>
      <c r="AA236" s="15"/>
      <c r="AB236" s="15"/>
      <c r="AC236" s="15"/>
      <c r="AD236" s="15"/>
      <c r="AE236" s="15"/>
    </row>
    <row r="237" ht="15.0" customHeight="1">
      <c r="A237" s="134" t="s">
        <v>256</v>
      </c>
      <c r="B237" s="3" t="s">
        <v>250</v>
      </c>
      <c r="C237" s="3" t="s">
        <v>94</v>
      </c>
      <c r="D237" s="3" t="s">
        <v>251</v>
      </c>
      <c r="E237" s="8">
        <v>2.0</v>
      </c>
      <c r="F237" s="165" t="s">
        <v>234</v>
      </c>
      <c r="G237" s="137">
        <v>3.56704675</v>
      </c>
      <c r="H237" s="137">
        <v>0.05042096</v>
      </c>
      <c r="I237" s="137">
        <v>2.59866633</v>
      </c>
      <c r="J237" s="120">
        <f t="shared" si="1"/>
        <v>70.74531604</v>
      </c>
      <c r="K237" s="121">
        <v>-0.31</v>
      </c>
      <c r="L237" s="121">
        <v>-1.38</v>
      </c>
      <c r="M237" s="122">
        <f t="shared" si="2"/>
        <v>1.07</v>
      </c>
      <c r="N237" s="120">
        <v>36.8</v>
      </c>
      <c r="O237" s="120">
        <v>2.4286601214953274</v>
      </c>
      <c r="P237" s="123">
        <v>2.413593199833595</v>
      </c>
      <c r="Q237" s="120">
        <v>0.0</v>
      </c>
      <c r="R237" s="120">
        <v>0.9937962000000001</v>
      </c>
      <c r="S237" s="15"/>
      <c r="T237" s="161"/>
      <c r="AA237" s="15"/>
      <c r="AB237" s="15"/>
      <c r="AC237" s="15"/>
      <c r="AD237" s="15"/>
      <c r="AE237" s="15"/>
    </row>
    <row r="238" ht="15.0" customHeight="1">
      <c r="A238" s="134" t="s">
        <v>256</v>
      </c>
      <c r="B238" s="3" t="s">
        <v>250</v>
      </c>
      <c r="C238" s="3" t="s">
        <v>94</v>
      </c>
      <c r="D238" s="3" t="s">
        <v>251</v>
      </c>
      <c r="E238" s="8">
        <v>3.0</v>
      </c>
      <c r="F238" s="165" t="s">
        <v>234</v>
      </c>
      <c r="G238" s="137">
        <v>8.04459155</v>
      </c>
      <c r="H238" s="137">
        <v>0.11116483</v>
      </c>
      <c r="I238" s="137">
        <v>3.60539999</v>
      </c>
      <c r="J238" s="120">
        <f t="shared" si="1"/>
        <v>72.366337</v>
      </c>
      <c r="K238" s="121">
        <v>-0.32</v>
      </c>
      <c r="L238" s="121">
        <v>-1.422</v>
      </c>
      <c r="M238" s="122">
        <f t="shared" si="2"/>
        <v>1.102</v>
      </c>
      <c r="N238" s="120">
        <v>43.4</v>
      </c>
      <c r="O238" s="120">
        <v>3.271687831215971</v>
      </c>
      <c r="P238" s="123">
        <v>3.538278369623557</v>
      </c>
      <c r="Q238" s="120">
        <v>0.0</v>
      </c>
      <c r="R238" s="120">
        <v>1.0814841000000002</v>
      </c>
      <c r="S238" s="15"/>
      <c r="T238" s="161"/>
      <c r="AA238" s="15"/>
      <c r="AB238" s="15"/>
      <c r="AC238" s="15"/>
      <c r="AD238" s="15"/>
      <c r="AE238" s="15"/>
    </row>
    <row r="239" ht="15.0" customHeight="1">
      <c r="A239" s="134" t="s">
        <v>256</v>
      </c>
      <c r="B239" s="3" t="s">
        <v>250</v>
      </c>
      <c r="C239" s="3" t="s">
        <v>94</v>
      </c>
      <c r="D239" s="3" t="s">
        <v>251</v>
      </c>
      <c r="E239" s="8">
        <v>4.0</v>
      </c>
      <c r="F239" s="165" t="s">
        <v>234</v>
      </c>
      <c r="G239" s="137">
        <v>3.75227282</v>
      </c>
      <c r="H239" s="137">
        <v>0.04621938</v>
      </c>
      <c r="I239" s="137">
        <v>1.71275416</v>
      </c>
      <c r="J239" s="120">
        <f t="shared" si="1"/>
        <v>81.18397131</v>
      </c>
      <c r="K239" s="121">
        <v>-0.38</v>
      </c>
      <c r="L239" s="121">
        <v>-1.312</v>
      </c>
      <c r="M239" s="122">
        <f t="shared" si="2"/>
        <v>0.932</v>
      </c>
      <c r="N239" s="120">
        <v>47.4</v>
      </c>
      <c r="O239" s="120">
        <v>1.8377190557939913</v>
      </c>
      <c r="P239" s="123">
        <v>1.9337486975106957</v>
      </c>
      <c r="Q239" s="120">
        <v>0.0</v>
      </c>
      <c r="R239" s="120">
        <v>1.0522548000000003</v>
      </c>
      <c r="S239" s="15"/>
      <c r="T239" s="161"/>
      <c r="AA239" s="15"/>
      <c r="AB239" s="15"/>
      <c r="AC239" s="15"/>
      <c r="AD239" s="15"/>
      <c r="AE239" s="15"/>
    </row>
    <row r="240" ht="15.0" customHeight="1">
      <c r="A240" s="134" t="s">
        <v>256</v>
      </c>
      <c r="B240" s="3" t="s">
        <v>250</v>
      </c>
      <c r="C240" s="3" t="s">
        <v>94</v>
      </c>
      <c r="D240" s="3" t="s">
        <v>251</v>
      </c>
      <c r="E240" s="8">
        <v>5.0</v>
      </c>
      <c r="F240" s="165" t="s">
        <v>234</v>
      </c>
      <c r="G240" s="137">
        <v>6.47362106</v>
      </c>
      <c r="H240" s="137">
        <v>0.08230672</v>
      </c>
      <c r="I240" s="137">
        <v>3.27140122</v>
      </c>
      <c r="J240" s="120">
        <f t="shared" si="1"/>
        <v>78.65239995</v>
      </c>
      <c r="K240" s="121">
        <v>-0.517</v>
      </c>
      <c r="L240" s="121">
        <v>-1.47</v>
      </c>
      <c r="M240" s="122">
        <f t="shared" si="2"/>
        <v>0.953</v>
      </c>
      <c r="N240" s="120">
        <v>34.5</v>
      </c>
      <c r="O240" s="120">
        <v>3.4327400000000003</v>
      </c>
      <c r="P240" s="123">
        <v>3.0602659121010007</v>
      </c>
      <c r="Q240" s="120">
        <v>0.0</v>
      </c>
      <c r="R240" s="120">
        <v>0.8914936500000001</v>
      </c>
      <c r="S240" s="15"/>
      <c r="T240" s="161"/>
      <c r="AA240" s="15"/>
      <c r="AB240" s="15"/>
      <c r="AC240" s="15"/>
      <c r="AD240" s="15"/>
      <c r="AE240" s="15"/>
    </row>
    <row r="241" ht="15.0" customHeight="1">
      <c r="A241" s="134" t="s">
        <v>256</v>
      </c>
      <c r="B241" s="3" t="s">
        <v>250</v>
      </c>
      <c r="C241" s="3" t="s">
        <v>94</v>
      </c>
      <c r="D241" s="3" t="s">
        <v>251</v>
      </c>
      <c r="E241" s="8">
        <v>6.0</v>
      </c>
      <c r="F241" s="165" t="s">
        <v>234</v>
      </c>
      <c r="G241" s="137">
        <v>6.42695211</v>
      </c>
      <c r="H241" s="137">
        <v>0.12010264</v>
      </c>
      <c r="I241" s="137">
        <v>3.68220088</v>
      </c>
      <c r="J241" s="120">
        <f t="shared" si="1"/>
        <v>53.51216351</v>
      </c>
      <c r="K241" s="121">
        <v>-0.34</v>
      </c>
      <c r="L241" s="121">
        <v>-1.002</v>
      </c>
      <c r="M241" s="122">
        <f t="shared" si="2"/>
        <v>0.662</v>
      </c>
      <c r="N241" s="120">
        <v>34.5</v>
      </c>
      <c r="O241" s="120">
        <v>5.562236978851964</v>
      </c>
      <c r="P241" s="123">
        <v>6.096760999723417</v>
      </c>
      <c r="Q241" s="120">
        <v>0.0</v>
      </c>
      <c r="R241" s="120">
        <v>1.0960987500000003</v>
      </c>
      <c r="S241" s="15"/>
      <c r="T241" s="161"/>
      <c r="AA241" s="15"/>
      <c r="AB241" s="15"/>
      <c r="AC241" s="15"/>
      <c r="AD241" s="15"/>
      <c r="AE241" s="15"/>
    </row>
    <row r="242" ht="15.0" customHeight="1">
      <c r="A242" s="134" t="s">
        <v>249</v>
      </c>
      <c r="B242" s="3" t="s">
        <v>239</v>
      </c>
      <c r="C242" s="3" t="s">
        <v>101</v>
      </c>
      <c r="D242" s="135" t="s">
        <v>240</v>
      </c>
      <c r="E242" s="8">
        <v>1.0</v>
      </c>
      <c r="F242" s="165" t="s">
        <v>234</v>
      </c>
      <c r="G242" s="137">
        <v>8.2565027</v>
      </c>
      <c r="H242" s="137">
        <v>0.12522638</v>
      </c>
      <c r="I242" s="137">
        <v>3.97306805</v>
      </c>
      <c r="J242" s="120">
        <f t="shared" si="1"/>
        <v>65.932615</v>
      </c>
      <c r="K242" s="121">
        <v>-0.426</v>
      </c>
      <c r="L242" s="121">
        <v>-1.443</v>
      </c>
      <c r="M242" s="122">
        <f t="shared" si="2"/>
        <v>1.017</v>
      </c>
      <c r="N242" s="120">
        <v>44.4</v>
      </c>
      <c r="O242" s="120">
        <v>3.9066549164208455</v>
      </c>
      <c r="P242" s="123">
        <v>2.968908502262036</v>
      </c>
      <c r="Q242" s="120">
        <v>0.0</v>
      </c>
      <c r="R242" s="120">
        <v>0.7599618000000001</v>
      </c>
      <c r="S242" s="15"/>
      <c r="T242" s="161"/>
      <c r="AA242" s="15"/>
      <c r="AB242" s="15"/>
      <c r="AC242" s="15"/>
      <c r="AD242" s="15"/>
      <c r="AE242" s="15"/>
    </row>
    <row r="243" ht="15.0" customHeight="1">
      <c r="A243" s="134" t="s">
        <v>249</v>
      </c>
      <c r="B243" s="3" t="s">
        <v>239</v>
      </c>
      <c r="C243" s="3" t="s">
        <v>101</v>
      </c>
      <c r="D243" s="135" t="s">
        <v>240</v>
      </c>
      <c r="E243" s="8">
        <v>2.0</v>
      </c>
      <c r="F243" s="165" t="s">
        <v>234</v>
      </c>
      <c r="G243" s="137">
        <v>4.69871017</v>
      </c>
      <c r="H243" s="137">
        <v>0.07324114</v>
      </c>
      <c r="I243" s="137">
        <v>3.54086764</v>
      </c>
      <c r="J243" s="120">
        <f t="shared" si="1"/>
        <v>64.15397371</v>
      </c>
      <c r="K243" s="121">
        <v>-0.445</v>
      </c>
      <c r="L243" s="121">
        <v>-1.35</v>
      </c>
      <c r="M243" s="122">
        <f t="shared" si="2"/>
        <v>0.905</v>
      </c>
      <c r="N243" s="120">
        <v>44.9</v>
      </c>
      <c r="O243" s="120">
        <v>3.9125609281767955</v>
      </c>
      <c r="P243" s="123">
        <v>3.773926765552615</v>
      </c>
      <c r="Q243" s="120">
        <v>0.0</v>
      </c>
      <c r="R243" s="120">
        <v>0.9645669000000001</v>
      </c>
      <c r="S243" s="15"/>
      <c r="T243" s="161"/>
      <c r="AA243" s="15"/>
      <c r="AB243" s="15"/>
      <c r="AC243" s="15"/>
      <c r="AD243" s="15"/>
      <c r="AE243" s="15"/>
    </row>
    <row r="244" ht="15.0" customHeight="1">
      <c r="A244" s="134" t="s">
        <v>249</v>
      </c>
      <c r="B244" s="3" t="s">
        <v>239</v>
      </c>
      <c r="C244" s="3" t="s">
        <v>101</v>
      </c>
      <c r="D244" s="135" t="s">
        <v>240</v>
      </c>
      <c r="E244" s="8">
        <v>3.0</v>
      </c>
      <c r="F244" s="165" t="s">
        <v>234</v>
      </c>
      <c r="G244" s="137">
        <v>2.63878364</v>
      </c>
      <c r="H244" s="137">
        <v>0.03772557</v>
      </c>
      <c r="I244" s="137">
        <v>1.53459934</v>
      </c>
      <c r="J244" s="120">
        <f t="shared" si="1"/>
        <v>69.94681962</v>
      </c>
      <c r="K244" s="121">
        <v>-0.581</v>
      </c>
      <c r="L244" s="121">
        <v>-1.452</v>
      </c>
      <c r="M244" s="122">
        <f t="shared" si="2"/>
        <v>0.871</v>
      </c>
      <c r="N244" s="120">
        <v>41.3</v>
      </c>
      <c r="O244" s="120">
        <v>1.7618821354764638</v>
      </c>
      <c r="P244" s="123">
        <v>1.8024503525868778</v>
      </c>
      <c r="Q244" s="120">
        <v>0.0</v>
      </c>
      <c r="R244" s="120">
        <v>1.0230255000000004</v>
      </c>
      <c r="S244" s="15"/>
      <c r="T244" s="161"/>
      <c r="AA244" s="15"/>
      <c r="AB244" s="15"/>
      <c r="AC244" s="15"/>
      <c r="AD244" s="15"/>
      <c r="AE244" s="15"/>
    </row>
    <row r="245" ht="15.0" customHeight="1">
      <c r="A245" s="134" t="s">
        <v>249</v>
      </c>
      <c r="B245" s="3" t="s">
        <v>239</v>
      </c>
      <c r="C245" s="3" t="s">
        <v>101</v>
      </c>
      <c r="D245" s="135" t="s">
        <v>240</v>
      </c>
      <c r="E245" s="8">
        <v>4.0</v>
      </c>
      <c r="F245" s="165" t="s">
        <v>234</v>
      </c>
      <c r="G245" s="137">
        <v>3.40946168</v>
      </c>
      <c r="H245" s="137">
        <v>0.03328406</v>
      </c>
      <c r="I245" s="137">
        <v>1.35603062</v>
      </c>
      <c r="J245" s="120">
        <f t="shared" si="1"/>
        <v>102.4352702</v>
      </c>
      <c r="K245" s="121">
        <v>-0.578</v>
      </c>
      <c r="L245" s="121">
        <v>-1.45</v>
      </c>
      <c r="M245" s="122">
        <f t="shared" si="2"/>
        <v>0.872</v>
      </c>
      <c r="N245" s="120">
        <v>39.1</v>
      </c>
      <c r="O245" s="120">
        <v>1.5550809862385322</v>
      </c>
      <c r="P245" s="123">
        <v>1.5908875034871681</v>
      </c>
      <c r="Q245" s="120">
        <v>0.0</v>
      </c>
      <c r="R245" s="120">
        <v>1.0230255000000004</v>
      </c>
      <c r="S245" s="15"/>
      <c r="T245" s="161"/>
      <c r="AA245" s="15"/>
      <c r="AB245" s="15"/>
      <c r="AC245" s="15"/>
      <c r="AD245" s="15"/>
      <c r="AE245" s="15"/>
    </row>
    <row r="246" ht="15.0" customHeight="1">
      <c r="A246" s="134" t="s">
        <v>249</v>
      </c>
      <c r="B246" s="3" t="s">
        <v>239</v>
      </c>
      <c r="C246" s="3" t="s">
        <v>101</v>
      </c>
      <c r="D246" s="135" t="s">
        <v>240</v>
      </c>
      <c r="E246" s="8">
        <v>5.0</v>
      </c>
      <c r="F246" s="165" t="s">
        <v>234</v>
      </c>
      <c r="G246" s="137">
        <v>3.07289176</v>
      </c>
      <c r="H246" s="137">
        <v>0.04361313</v>
      </c>
      <c r="I246" s="137">
        <v>1.95682668</v>
      </c>
      <c r="J246" s="120">
        <f t="shared" si="1"/>
        <v>70.45795062</v>
      </c>
      <c r="K246" s="121">
        <v>-0.466</v>
      </c>
      <c r="L246" s="121">
        <v>-1.45</v>
      </c>
      <c r="M246" s="122">
        <f t="shared" si="2"/>
        <v>0.984</v>
      </c>
      <c r="N246" s="120">
        <v>36.3</v>
      </c>
      <c r="O246" s="120">
        <v>1.988645</v>
      </c>
      <c r="P246" s="123">
        <v>2.3541314025892506</v>
      </c>
      <c r="Q246" s="120">
        <v>0.0</v>
      </c>
      <c r="R246" s="120">
        <v>1.1837866500000003</v>
      </c>
      <c r="S246" s="15"/>
      <c r="T246" s="161"/>
      <c r="AA246" s="15"/>
      <c r="AB246" s="15"/>
      <c r="AC246" s="15"/>
      <c r="AD246" s="15"/>
      <c r="AE246" s="15"/>
    </row>
    <row r="247" ht="15.0" customHeight="1">
      <c r="A247" s="134" t="s">
        <v>249</v>
      </c>
      <c r="B247" s="3" t="s">
        <v>239</v>
      </c>
      <c r="C247" s="3" t="s">
        <v>101</v>
      </c>
      <c r="D247" s="135" t="s">
        <v>240</v>
      </c>
      <c r="E247" s="8">
        <v>6.0</v>
      </c>
      <c r="F247" s="165" t="s">
        <v>234</v>
      </c>
      <c r="G247" s="137">
        <v>3.54722326</v>
      </c>
      <c r="H247" s="137">
        <v>0.08984978</v>
      </c>
      <c r="I247" s="137">
        <v>2.7547759</v>
      </c>
      <c r="J247" s="120">
        <f t="shared" si="1"/>
        <v>39.47948743</v>
      </c>
      <c r="K247" s="121">
        <v>-0.348</v>
      </c>
      <c r="L247" s="121">
        <v>-1.523</v>
      </c>
      <c r="M247" s="122">
        <f t="shared" si="2"/>
        <v>1.175</v>
      </c>
      <c r="N247" s="120">
        <v>40.9</v>
      </c>
      <c r="O247" s="120">
        <v>2.344490127659575</v>
      </c>
      <c r="P247" s="123">
        <v>2.5355287956708006</v>
      </c>
      <c r="Q247" s="120">
        <v>0.0</v>
      </c>
      <c r="R247" s="120">
        <v>1.0814841000000002</v>
      </c>
      <c r="S247" s="15"/>
      <c r="T247" s="161"/>
      <c r="AA247" s="15"/>
      <c r="AB247" s="15"/>
      <c r="AC247" s="15"/>
      <c r="AD247" s="15"/>
      <c r="AE247" s="15"/>
    </row>
    <row r="248" ht="15.0" customHeight="1">
      <c r="A248" s="134" t="s">
        <v>256</v>
      </c>
      <c r="B248" s="3" t="s">
        <v>258</v>
      </c>
      <c r="C248" s="3" t="s">
        <v>108</v>
      </c>
      <c r="D248" s="3" t="s">
        <v>251</v>
      </c>
      <c r="E248" s="8">
        <v>1.0</v>
      </c>
      <c r="F248" s="165" t="s">
        <v>234</v>
      </c>
      <c r="G248" s="137">
        <v>5.43338014</v>
      </c>
      <c r="H248" s="137">
        <v>0.14975551</v>
      </c>
      <c r="I248" s="137">
        <v>4.3147828</v>
      </c>
      <c r="J248" s="120">
        <f t="shared" si="1"/>
        <v>36.28167097</v>
      </c>
      <c r="K248" s="121">
        <v>-0.33</v>
      </c>
      <c r="L248" s="121">
        <v>-1.481</v>
      </c>
      <c r="M248" s="122">
        <f t="shared" si="2"/>
        <v>1.151</v>
      </c>
      <c r="N248" s="120">
        <v>47.4</v>
      </c>
      <c r="O248" s="120">
        <v>3.748725282363162</v>
      </c>
      <c r="P248" s="123">
        <v>3.67068263250855</v>
      </c>
      <c r="Q248" s="120">
        <v>0.0</v>
      </c>
      <c r="R248" s="120">
        <v>0.9791815500000003</v>
      </c>
      <c r="S248" s="15"/>
      <c r="T248" s="161"/>
      <c r="AA248" s="15"/>
      <c r="AB248" s="15"/>
      <c r="AC248" s="15"/>
      <c r="AD248" s="15"/>
      <c r="AE248" s="15"/>
    </row>
    <row r="249" ht="15.0" customHeight="1">
      <c r="A249" s="134" t="s">
        <v>256</v>
      </c>
      <c r="B249" s="3" t="s">
        <v>258</v>
      </c>
      <c r="C249" s="3" t="s">
        <v>108</v>
      </c>
      <c r="D249" s="3" t="s">
        <v>251</v>
      </c>
      <c r="E249" s="8">
        <v>2.0</v>
      </c>
      <c r="F249" s="165" t="s">
        <v>234</v>
      </c>
      <c r="G249" s="137">
        <v>0.96598274</v>
      </c>
      <c r="H249" s="137">
        <v>0.01988061</v>
      </c>
      <c r="I249" s="137">
        <v>1.27886073</v>
      </c>
      <c r="J249" s="120">
        <f t="shared" si="1"/>
        <v>48.58919017</v>
      </c>
      <c r="K249" s="121">
        <v>-0.275</v>
      </c>
      <c r="L249" s="121">
        <v>-1.27</v>
      </c>
      <c r="M249" s="122">
        <f t="shared" si="2"/>
        <v>0.995</v>
      </c>
      <c r="N249" s="120">
        <v>63.0</v>
      </c>
      <c r="O249" s="120">
        <v>1.2852871658291456</v>
      </c>
      <c r="P249" s="123">
        <v>1.070689258450841</v>
      </c>
      <c r="Q249" s="120">
        <v>0.0</v>
      </c>
      <c r="R249" s="120">
        <v>0.8330350500000002</v>
      </c>
      <c r="S249" s="15"/>
      <c r="T249" s="161"/>
      <c r="AA249" s="15"/>
      <c r="AB249" s="15"/>
      <c r="AC249" s="15"/>
      <c r="AD249" s="15"/>
      <c r="AE249" s="15"/>
    </row>
    <row r="250" ht="15.0" customHeight="1">
      <c r="A250" s="134" t="s">
        <v>256</v>
      </c>
      <c r="B250" s="3" t="s">
        <v>258</v>
      </c>
      <c r="C250" s="3" t="s">
        <v>108</v>
      </c>
      <c r="D250" s="3" t="s">
        <v>251</v>
      </c>
      <c r="E250" s="8">
        <v>3.0</v>
      </c>
      <c r="F250" s="165" t="s">
        <v>234</v>
      </c>
      <c r="G250" s="137">
        <v>4.936579</v>
      </c>
      <c r="H250" s="137">
        <v>0.06567314</v>
      </c>
      <c r="I250" s="137">
        <v>2.62018816</v>
      </c>
      <c r="J250" s="120">
        <f t="shared" si="1"/>
        <v>75.1689199</v>
      </c>
      <c r="K250" s="121">
        <v>-0.34</v>
      </c>
      <c r="L250" s="121">
        <v>-1.39</v>
      </c>
      <c r="M250" s="122">
        <f t="shared" si="2"/>
        <v>1.05</v>
      </c>
      <c r="N250" s="120">
        <v>42.0</v>
      </c>
      <c r="O250" s="120">
        <v>2.495417295238096</v>
      </c>
      <c r="P250" s="123">
        <v>3.063450631403521</v>
      </c>
      <c r="Q250" s="120">
        <v>0.0</v>
      </c>
      <c r="R250" s="120">
        <v>1.2276306000000001</v>
      </c>
      <c r="S250" s="15"/>
      <c r="T250" s="161"/>
      <c r="AA250" s="15"/>
      <c r="AB250" s="15"/>
      <c r="AC250" s="15"/>
      <c r="AD250" s="15"/>
      <c r="AE250" s="15"/>
    </row>
    <row r="251" ht="15.0" customHeight="1">
      <c r="A251" s="134" t="s">
        <v>256</v>
      </c>
      <c r="B251" s="3" t="s">
        <v>258</v>
      </c>
      <c r="C251" s="3" t="s">
        <v>108</v>
      </c>
      <c r="D251" s="3" t="s">
        <v>251</v>
      </c>
      <c r="E251" s="8">
        <v>4.0</v>
      </c>
      <c r="F251" s="165" t="s">
        <v>234</v>
      </c>
      <c r="G251" s="137">
        <v>7.24464923</v>
      </c>
      <c r="H251" s="137">
        <v>0.07049519</v>
      </c>
      <c r="I251" s="137">
        <v>2.72405151</v>
      </c>
      <c r="J251" s="120">
        <f t="shared" si="1"/>
        <v>102.7679935</v>
      </c>
      <c r="K251" s="121">
        <v>-0.52</v>
      </c>
      <c r="L251" s="121">
        <v>-1.348</v>
      </c>
      <c r="M251" s="122">
        <f t="shared" si="2"/>
        <v>0.828</v>
      </c>
      <c r="N251" s="120">
        <v>42.7</v>
      </c>
      <c r="O251" s="120">
        <v>3.289917282608695</v>
      </c>
      <c r="P251" s="123">
        <v>3.942641148370728</v>
      </c>
      <c r="Q251" s="120">
        <v>0.0</v>
      </c>
      <c r="R251" s="120">
        <v>1.1984013000000002</v>
      </c>
      <c r="S251" s="15"/>
      <c r="T251" s="161"/>
      <c r="AA251" s="15"/>
      <c r="AB251" s="15"/>
      <c r="AC251" s="15"/>
      <c r="AD251" s="15"/>
      <c r="AE251" s="15"/>
    </row>
    <row r="252" ht="15.0" customHeight="1">
      <c r="A252" s="134" t="s">
        <v>256</v>
      </c>
      <c r="B252" s="3" t="s">
        <v>258</v>
      </c>
      <c r="C252" s="3" t="s">
        <v>108</v>
      </c>
      <c r="D252" s="3" t="s">
        <v>251</v>
      </c>
      <c r="E252" s="8">
        <v>5.0</v>
      </c>
      <c r="F252" s="165" t="s">
        <v>234</v>
      </c>
      <c r="G252" s="137">
        <v>3.3797114</v>
      </c>
      <c r="H252" s="137">
        <v>0.04449769</v>
      </c>
      <c r="I252" s="137">
        <v>2.09384921</v>
      </c>
      <c r="J252" s="120">
        <f t="shared" si="1"/>
        <v>75.95251349</v>
      </c>
      <c r="K252" s="121">
        <v>-0.483</v>
      </c>
      <c r="L252" s="121">
        <v>-1.25</v>
      </c>
      <c r="M252" s="122">
        <f t="shared" si="2"/>
        <v>0.767</v>
      </c>
      <c r="N252" s="120">
        <v>42.7</v>
      </c>
      <c r="O252" s="120">
        <v>2.72992074315515</v>
      </c>
      <c r="P252" s="123">
        <v>2.992262714171432</v>
      </c>
      <c r="Q252" s="120">
        <v>0.0</v>
      </c>
      <c r="R252" s="120">
        <v>1.0960987500000003</v>
      </c>
      <c r="S252" s="15"/>
      <c r="T252" s="161"/>
      <c r="AA252" s="15"/>
      <c r="AB252" s="15"/>
      <c r="AC252" s="15"/>
      <c r="AD252" s="15"/>
      <c r="AE252" s="15"/>
    </row>
    <row r="253" ht="15.0" customHeight="1">
      <c r="A253" s="134" t="s">
        <v>256</v>
      </c>
      <c r="B253" s="3" t="s">
        <v>258</v>
      </c>
      <c r="C253" s="3" t="s">
        <v>108</v>
      </c>
      <c r="D253" s="3" t="s">
        <v>251</v>
      </c>
      <c r="E253" s="8">
        <v>6.0</v>
      </c>
      <c r="F253" s="165" t="s">
        <v>234</v>
      </c>
      <c r="G253" s="137">
        <v>1.36157702</v>
      </c>
      <c r="H253" s="137">
        <v>0.02854403</v>
      </c>
      <c r="I253" s="137">
        <v>1.19388666</v>
      </c>
      <c r="J253" s="120">
        <f t="shared" si="1"/>
        <v>47.70093851</v>
      </c>
      <c r="K253" s="121">
        <v>-0.507</v>
      </c>
      <c r="L253" s="121">
        <v>-1.543</v>
      </c>
      <c r="M253" s="122">
        <f t="shared" si="2"/>
        <v>1.036</v>
      </c>
      <c r="N253" s="120">
        <v>47.6</v>
      </c>
      <c r="O253" s="120">
        <v>1.152400250965251</v>
      </c>
      <c r="P253" s="123">
        <v>1.2968283272382366</v>
      </c>
      <c r="Q253" s="120">
        <v>0.0</v>
      </c>
      <c r="R253" s="120">
        <v>1.1253280500000002</v>
      </c>
      <c r="S253" s="15"/>
      <c r="T253" s="161"/>
      <c r="AA253" s="15"/>
      <c r="AB253" s="15"/>
      <c r="AC253" s="15"/>
      <c r="AD253" s="15"/>
      <c r="AE253" s="15"/>
    </row>
    <row r="254" ht="15.0" customHeight="1">
      <c r="A254" s="134" t="s">
        <v>244</v>
      </c>
      <c r="B254" s="3" t="s">
        <v>257</v>
      </c>
      <c r="C254" s="3" t="s">
        <v>115</v>
      </c>
      <c r="D254" s="135" t="s">
        <v>240</v>
      </c>
      <c r="E254" s="48">
        <v>1.0</v>
      </c>
      <c r="F254" s="165" t="s">
        <v>234</v>
      </c>
      <c r="G254" s="137">
        <v>2.60293758</v>
      </c>
      <c r="H254" s="137">
        <v>0.08135807</v>
      </c>
      <c r="I254" s="137">
        <v>2.87185929</v>
      </c>
      <c r="J254" s="120">
        <f t="shared" si="1"/>
        <v>31.99360039</v>
      </c>
      <c r="K254" s="121">
        <v>-0.637</v>
      </c>
      <c r="L254" s="121">
        <v>-1.52</v>
      </c>
      <c r="M254" s="122">
        <f t="shared" si="2"/>
        <v>0.883</v>
      </c>
      <c r="N254" s="120">
        <v>40.9</v>
      </c>
      <c r="O254" s="120">
        <v>3.2523887768969426</v>
      </c>
      <c r="P254" s="123">
        <v>3.2322116074028293</v>
      </c>
      <c r="Q254" s="120">
        <v>0.0</v>
      </c>
      <c r="R254" s="120">
        <v>0.9937962000000001</v>
      </c>
      <c r="S254" s="15"/>
      <c r="T254" s="161"/>
      <c r="AA254" s="15"/>
      <c r="AB254" s="15"/>
      <c r="AC254" s="15"/>
      <c r="AD254" s="15"/>
      <c r="AE254" s="15"/>
    </row>
    <row r="255" ht="15.0" customHeight="1">
      <c r="A255" s="134" t="s">
        <v>244</v>
      </c>
      <c r="B255" s="3" t="s">
        <v>257</v>
      </c>
      <c r="C255" s="3" t="s">
        <v>115</v>
      </c>
      <c r="D255" s="135" t="s">
        <v>240</v>
      </c>
      <c r="E255" s="48">
        <v>2.0</v>
      </c>
      <c r="F255" s="165" t="s">
        <v>234</v>
      </c>
      <c r="G255" s="137">
        <v>0.80433027</v>
      </c>
      <c r="H255" s="137">
        <v>0.03014276</v>
      </c>
      <c r="I255" s="137">
        <v>1.77305038</v>
      </c>
      <c r="J255" s="120">
        <f t="shared" si="1"/>
        <v>26.6840286</v>
      </c>
      <c r="K255" s="121">
        <v>-0.472</v>
      </c>
      <c r="L255" s="121">
        <v>-1.573</v>
      </c>
      <c r="M255" s="122">
        <f t="shared" si="2"/>
        <v>1.101</v>
      </c>
      <c r="N255" s="120">
        <v>36.4</v>
      </c>
      <c r="O255" s="120">
        <v>1.6103999818346957</v>
      </c>
      <c r="P255" s="123">
        <v>1.2944487651986243</v>
      </c>
      <c r="Q255" s="120">
        <v>0.0</v>
      </c>
      <c r="R255" s="120">
        <v>0.8038057500000002</v>
      </c>
      <c r="S255" s="15"/>
      <c r="T255" s="161"/>
      <c r="AA255" s="15"/>
      <c r="AB255" s="15"/>
      <c r="AC255" s="15"/>
      <c r="AD255" s="15"/>
      <c r="AE255" s="15"/>
    </row>
    <row r="256" ht="15.0" customHeight="1">
      <c r="A256" s="134" t="s">
        <v>244</v>
      </c>
      <c r="B256" s="3" t="s">
        <v>257</v>
      </c>
      <c r="C256" s="3" t="s">
        <v>115</v>
      </c>
      <c r="D256" s="135" t="s">
        <v>240</v>
      </c>
      <c r="E256" s="48">
        <v>3.0</v>
      </c>
      <c r="F256" s="165" t="s">
        <v>234</v>
      </c>
      <c r="G256" s="137">
        <v>6.18652158</v>
      </c>
      <c r="H256" s="137">
        <v>0.07542854</v>
      </c>
      <c r="I256" s="137">
        <v>2.78878248</v>
      </c>
      <c r="J256" s="120">
        <f t="shared" si="1"/>
        <v>82.0183127</v>
      </c>
      <c r="K256" s="121">
        <v>-0.4</v>
      </c>
      <c r="L256" s="121">
        <v>-1.48</v>
      </c>
      <c r="M256" s="122">
        <f t="shared" si="2"/>
        <v>1.08</v>
      </c>
      <c r="N256" s="120">
        <v>39.0</v>
      </c>
      <c r="O256" s="120">
        <v>2.582206</v>
      </c>
      <c r="P256" s="123">
        <v>2.2265441781561006</v>
      </c>
      <c r="Q256" s="120">
        <v>0.0</v>
      </c>
      <c r="R256" s="120">
        <v>0.8622643500000002</v>
      </c>
      <c r="S256" s="15"/>
      <c r="T256" s="161"/>
      <c r="AA256" s="15"/>
      <c r="AB256" s="15"/>
      <c r="AC256" s="15"/>
      <c r="AD256" s="15"/>
      <c r="AE256" s="15"/>
    </row>
    <row r="257" ht="15.0" customHeight="1">
      <c r="A257" s="134" t="s">
        <v>244</v>
      </c>
      <c r="B257" s="3" t="s">
        <v>257</v>
      </c>
      <c r="C257" s="3" t="s">
        <v>115</v>
      </c>
      <c r="D257" s="135" t="s">
        <v>240</v>
      </c>
      <c r="E257" s="48">
        <v>4.0</v>
      </c>
      <c r="F257" s="165" t="s">
        <v>234</v>
      </c>
      <c r="G257" s="137">
        <v>7.48178482</v>
      </c>
      <c r="H257" s="137">
        <v>0.11300288</v>
      </c>
      <c r="I257" s="137">
        <v>4.21764418</v>
      </c>
      <c r="J257" s="120">
        <f t="shared" si="1"/>
        <v>66.20879769</v>
      </c>
      <c r="K257" s="121">
        <v>-0.585</v>
      </c>
      <c r="L257" s="121">
        <v>-1.473</v>
      </c>
      <c r="M257" s="122">
        <f t="shared" si="2"/>
        <v>0.888</v>
      </c>
      <c r="N257" s="120">
        <v>42.2</v>
      </c>
      <c r="O257" s="120">
        <v>4.749599301801801</v>
      </c>
      <c r="P257" s="123">
        <v>4.928374931961517</v>
      </c>
      <c r="Q257" s="120">
        <v>0.0</v>
      </c>
      <c r="R257" s="120">
        <v>1.03764015</v>
      </c>
      <c r="S257" s="15"/>
      <c r="T257" s="161"/>
      <c r="AA257" s="15"/>
      <c r="AB257" s="15"/>
      <c r="AC257" s="15"/>
      <c r="AD257" s="15"/>
      <c r="AE257" s="15"/>
    </row>
    <row r="258" ht="15.0" customHeight="1">
      <c r="A258" s="134" t="s">
        <v>244</v>
      </c>
      <c r="B258" s="3" t="s">
        <v>257</v>
      </c>
      <c r="C258" s="3" t="s">
        <v>115</v>
      </c>
      <c r="D258" s="135" t="s">
        <v>240</v>
      </c>
      <c r="E258" s="48">
        <v>5.0</v>
      </c>
      <c r="F258" s="165" t="s">
        <v>234</v>
      </c>
      <c r="G258" s="137">
        <v>5.55078829</v>
      </c>
      <c r="H258" s="137">
        <v>0.08328612</v>
      </c>
      <c r="I258" s="137">
        <v>3.34622812</v>
      </c>
      <c r="J258" s="120">
        <f t="shared" si="1"/>
        <v>66.64721913</v>
      </c>
      <c r="K258" s="121">
        <v>-0.622</v>
      </c>
      <c r="L258" s="121">
        <v>-1.42</v>
      </c>
      <c r="M258" s="122">
        <f t="shared" si="2"/>
        <v>0.798</v>
      </c>
      <c r="N258" s="120">
        <v>39.8</v>
      </c>
      <c r="O258" s="120">
        <v>4.193268320802005</v>
      </c>
      <c r="P258" s="123">
        <v>4.47366986711646</v>
      </c>
      <c r="Q258" s="120">
        <v>0.0</v>
      </c>
      <c r="R258" s="120">
        <v>1.0668694500000002</v>
      </c>
      <c r="S258" s="15"/>
      <c r="T258" s="161"/>
      <c r="AA258" s="15"/>
      <c r="AB258" s="15"/>
      <c r="AC258" s="15"/>
      <c r="AD258" s="15"/>
      <c r="AE258" s="15"/>
    </row>
    <row r="259" ht="15.0" customHeight="1">
      <c r="A259" s="134" t="s">
        <v>244</v>
      </c>
      <c r="B259" s="3" t="s">
        <v>257</v>
      </c>
      <c r="C259" s="3" t="s">
        <v>115</v>
      </c>
      <c r="D259" s="135" t="s">
        <v>240</v>
      </c>
      <c r="E259" s="48">
        <v>6.0</v>
      </c>
      <c r="F259" s="165" t="s">
        <v>234</v>
      </c>
      <c r="G259" s="137">
        <v>9.3242294</v>
      </c>
      <c r="H259" s="137">
        <v>0.11055134</v>
      </c>
      <c r="I259" s="137">
        <v>3.71929245</v>
      </c>
      <c r="J259" s="120">
        <f t="shared" si="1"/>
        <v>84.34297947</v>
      </c>
      <c r="K259" s="121">
        <v>-0.435</v>
      </c>
      <c r="L259" s="121">
        <v>-1.478</v>
      </c>
      <c r="M259" s="122">
        <f t="shared" si="2"/>
        <v>1.043</v>
      </c>
      <c r="N259" s="120">
        <v>38.3</v>
      </c>
      <c r="O259" s="120">
        <v>3.565956327900288</v>
      </c>
      <c r="P259" s="123">
        <v>4.273446699098932</v>
      </c>
      <c r="Q259" s="120">
        <v>0.14285714285714285</v>
      </c>
      <c r="R259" s="120">
        <v>1.1984013000000002</v>
      </c>
      <c r="S259" s="15"/>
      <c r="T259" s="161"/>
      <c r="AA259" s="15"/>
      <c r="AB259" s="15"/>
      <c r="AC259" s="15"/>
      <c r="AD259" s="15"/>
      <c r="AE259" s="15"/>
    </row>
    <row r="260" ht="15.0" customHeight="1">
      <c r="A260" s="134" t="s">
        <v>238</v>
      </c>
      <c r="B260" s="3" t="s">
        <v>250</v>
      </c>
      <c r="C260" s="3" t="s">
        <v>122</v>
      </c>
      <c r="D260" s="3" t="s">
        <v>251</v>
      </c>
      <c r="E260" s="48">
        <v>1.0</v>
      </c>
      <c r="F260" s="165" t="s">
        <v>234</v>
      </c>
      <c r="G260" s="137">
        <v>8.18765599</v>
      </c>
      <c r="H260" s="137">
        <v>0.13461438</v>
      </c>
      <c r="I260" s="137">
        <v>4.04750768</v>
      </c>
      <c r="J260" s="120">
        <f t="shared" si="1"/>
        <v>60.82304127</v>
      </c>
      <c r="K260" s="121">
        <v>-0.508</v>
      </c>
      <c r="L260" s="121">
        <v>-1.46</v>
      </c>
      <c r="M260" s="122">
        <f t="shared" si="2"/>
        <v>0.952</v>
      </c>
      <c r="N260" s="120">
        <v>41.8</v>
      </c>
      <c r="O260" s="120">
        <v>4.251583697478992</v>
      </c>
      <c r="P260" s="123">
        <v>3.6038536456929586</v>
      </c>
      <c r="Q260" s="120">
        <v>0.0</v>
      </c>
      <c r="R260" s="120">
        <v>0.8476497000000002</v>
      </c>
      <c r="S260" s="15"/>
      <c r="T260" s="161"/>
      <c r="AA260" s="15"/>
      <c r="AB260" s="15"/>
      <c r="AC260" s="15"/>
      <c r="AD260" s="15"/>
      <c r="AE260" s="15"/>
    </row>
    <row r="261" ht="15.0" customHeight="1">
      <c r="A261" s="134" t="s">
        <v>238</v>
      </c>
      <c r="B261" s="3" t="s">
        <v>250</v>
      </c>
      <c r="C261" s="3" t="s">
        <v>122</v>
      </c>
      <c r="D261" s="3" t="s">
        <v>251</v>
      </c>
      <c r="E261" s="48">
        <v>2.0</v>
      </c>
      <c r="F261" s="165" t="s">
        <v>234</v>
      </c>
      <c r="G261" s="137">
        <v>1.0272584</v>
      </c>
      <c r="H261" s="137">
        <v>0.05181315</v>
      </c>
      <c r="I261" s="137">
        <v>2.79716324</v>
      </c>
      <c r="J261" s="120">
        <f t="shared" si="1"/>
        <v>19.82621014</v>
      </c>
      <c r="K261" s="121">
        <v>-0.255</v>
      </c>
      <c r="L261" s="121">
        <v>-0.98</v>
      </c>
      <c r="M261" s="122">
        <f t="shared" si="2"/>
        <v>0.725</v>
      </c>
      <c r="N261" s="120">
        <v>35.2</v>
      </c>
      <c r="O261" s="120">
        <v>3.8581561931034485</v>
      </c>
      <c r="P261" s="123">
        <v>2.988436927599585</v>
      </c>
      <c r="Q261" s="120">
        <v>0.0</v>
      </c>
      <c r="R261" s="120">
        <v>0.7745764500000002</v>
      </c>
      <c r="S261" s="15"/>
      <c r="T261" s="161"/>
      <c r="AA261" s="15"/>
      <c r="AB261" s="15"/>
      <c r="AC261" s="15"/>
      <c r="AD261" s="15"/>
      <c r="AE261" s="15"/>
    </row>
    <row r="262" ht="15.0" customHeight="1">
      <c r="A262" s="134" t="s">
        <v>238</v>
      </c>
      <c r="B262" s="3" t="s">
        <v>250</v>
      </c>
      <c r="C262" s="3" t="s">
        <v>122</v>
      </c>
      <c r="D262" s="3" t="s">
        <v>251</v>
      </c>
      <c r="E262" s="48">
        <v>3.0</v>
      </c>
      <c r="F262" s="165" t="s">
        <v>234</v>
      </c>
      <c r="G262" s="137">
        <v>6.23186097</v>
      </c>
      <c r="H262" s="137">
        <v>0.07612727</v>
      </c>
      <c r="I262" s="137">
        <v>2.91946145</v>
      </c>
      <c r="J262" s="120">
        <f t="shared" si="1"/>
        <v>81.86108565</v>
      </c>
      <c r="K262" s="121">
        <v>-0.401</v>
      </c>
      <c r="L262" s="121">
        <v>-1.352</v>
      </c>
      <c r="M262" s="122">
        <f t="shared" si="2"/>
        <v>0.951</v>
      </c>
      <c r="N262" s="120">
        <v>31.6</v>
      </c>
      <c r="O262" s="120">
        <v>3.0698858569926393</v>
      </c>
      <c r="P262" s="123">
        <v>3.3648980504923114</v>
      </c>
      <c r="Q262" s="120">
        <v>0.0</v>
      </c>
      <c r="R262" s="120">
        <v>1.0960987500000003</v>
      </c>
      <c r="S262" s="15"/>
      <c r="T262" s="161"/>
      <c r="AA262" s="15"/>
      <c r="AB262" s="15"/>
      <c r="AC262" s="15"/>
      <c r="AD262" s="15"/>
      <c r="AE262" s="15"/>
    </row>
    <row r="263" ht="15.0" customHeight="1">
      <c r="A263" s="134" t="s">
        <v>238</v>
      </c>
      <c r="B263" s="3" t="s">
        <v>250</v>
      </c>
      <c r="C263" s="3" t="s">
        <v>122</v>
      </c>
      <c r="D263" s="3" t="s">
        <v>251</v>
      </c>
      <c r="E263" s="48">
        <v>4.0</v>
      </c>
      <c r="F263" s="165" t="s">
        <v>234</v>
      </c>
      <c r="G263" s="137">
        <v>4.41835776</v>
      </c>
      <c r="H263" s="137">
        <v>0.08045949</v>
      </c>
      <c r="I263" s="137">
        <v>3.10107615</v>
      </c>
      <c r="J263" s="120">
        <f t="shared" si="1"/>
        <v>54.9140662</v>
      </c>
      <c r="K263" s="121">
        <v>-0.491</v>
      </c>
      <c r="L263" s="121">
        <v>-1.45</v>
      </c>
      <c r="M263" s="122">
        <f t="shared" si="2"/>
        <v>0.959</v>
      </c>
      <c r="N263" s="120">
        <v>40.1</v>
      </c>
      <c r="O263" s="120">
        <v>3.233656047966632</v>
      </c>
      <c r="P263" s="123">
        <v>3.6861826061904135</v>
      </c>
      <c r="Q263" s="120">
        <v>0.0</v>
      </c>
      <c r="R263" s="120">
        <v>1.1399427000000004</v>
      </c>
      <c r="S263" s="15"/>
      <c r="T263" s="161"/>
      <c r="AA263" s="15"/>
      <c r="AB263" s="15"/>
      <c r="AC263" s="15"/>
      <c r="AD263" s="15"/>
      <c r="AE263" s="15"/>
    </row>
    <row r="264" ht="15.0" customHeight="1">
      <c r="A264" s="134" t="s">
        <v>238</v>
      </c>
      <c r="B264" s="3" t="s">
        <v>250</v>
      </c>
      <c r="C264" s="3" t="s">
        <v>122</v>
      </c>
      <c r="D264" s="3" t="s">
        <v>251</v>
      </c>
      <c r="E264" s="48">
        <v>5.0</v>
      </c>
      <c r="F264" s="165" t="s">
        <v>234</v>
      </c>
      <c r="G264" s="137">
        <v>5.60640056</v>
      </c>
      <c r="H264" s="137">
        <v>0.07626646</v>
      </c>
      <c r="I264" s="137">
        <v>3.34622812</v>
      </c>
      <c r="J264" s="120">
        <f t="shared" si="1"/>
        <v>73.51069605</v>
      </c>
      <c r="K264" s="121">
        <v>-0.41</v>
      </c>
      <c r="L264" s="121">
        <v>-1.343</v>
      </c>
      <c r="M264" s="122">
        <f t="shared" si="2"/>
        <v>0.933</v>
      </c>
      <c r="N264" s="120">
        <v>44.6</v>
      </c>
      <c r="O264" s="120">
        <v>3.5865253161843516</v>
      </c>
      <c r="P264" s="123">
        <v>4.036017540337371</v>
      </c>
      <c r="Q264" s="120">
        <v>0.0</v>
      </c>
      <c r="R264" s="120">
        <v>1.1253280500000002</v>
      </c>
      <c r="S264" s="15"/>
      <c r="T264" s="161"/>
      <c r="AA264" s="15"/>
      <c r="AB264" s="15"/>
      <c r="AC264" s="15"/>
      <c r="AD264" s="15"/>
      <c r="AE264" s="15"/>
    </row>
    <row r="265" ht="15.0" customHeight="1">
      <c r="A265" s="134" t="s">
        <v>238</v>
      </c>
      <c r="B265" s="3" t="s">
        <v>250</v>
      </c>
      <c r="C265" s="3" t="s">
        <v>122</v>
      </c>
      <c r="D265" s="3" t="s">
        <v>251</v>
      </c>
      <c r="E265" s="48">
        <v>6.0</v>
      </c>
      <c r="F265" s="165" t="s">
        <v>234</v>
      </c>
      <c r="G265" s="137">
        <v>4.28812129</v>
      </c>
      <c r="H265" s="137">
        <v>0.06259013</v>
      </c>
      <c r="I265" s="137">
        <v>2.51172936</v>
      </c>
      <c r="J265" s="120">
        <f t="shared" si="1"/>
        <v>68.51114209</v>
      </c>
      <c r="K265" s="121">
        <v>-0.27</v>
      </c>
      <c r="L265" s="121">
        <v>-1.573</v>
      </c>
      <c r="M265" s="122">
        <f t="shared" si="2"/>
        <v>1.303</v>
      </c>
      <c r="N265" s="120">
        <v>34.9</v>
      </c>
      <c r="O265" s="120">
        <v>1.927651082118189</v>
      </c>
      <c r="P265" s="123">
        <v>2.3946154004186804</v>
      </c>
      <c r="Q265" s="120">
        <v>0.42857142857142855</v>
      </c>
      <c r="R265" s="120">
        <v>1.2422452500000003</v>
      </c>
      <c r="S265" s="15"/>
      <c r="T265" s="161"/>
      <c r="AA265" s="15"/>
      <c r="AB265" s="15"/>
      <c r="AC265" s="15"/>
      <c r="AD265" s="15"/>
      <c r="AE265" s="15"/>
    </row>
    <row r="266" ht="15.0" customHeight="1">
      <c r="A266" s="134" t="s">
        <v>238</v>
      </c>
      <c r="B266" s="3" t="s">
        <v>257</v>
      </c>
      <c r="C266" s="3" t="s">
        <v>129</v>
      </c>
      <c r="D266" s="135" t="s">
        <v>240</v>
      </c>
      <c r="E266" s="48">
        <v>1.0</v>
      </c>
      <c r="F266" s="165" t="s">
        <v>234</v>
      </c>
      <c r="G266" s="137">
        <v>2.79721076</v>
      </c>
      <c r="H266" s="137">
        <v>0.06904199</v>
      </c>
      <c r="I266" s="137">
        <v>2.19811979</v>
      </c>
      <c r="J266" s="120">
        <f t="shared" si="1"/>
        <v>40.51463117</v>
      </c>
      <c r="K266" s="121">
        <v>-0.743</v>
      </c>
      <c r="L266" s="121">
        <v>-1.368</v>
      </c>
      <c r="M266" s="122">
        <f t="shared" si="2"/>
        <v>0.625</v>
      </c>
      <c r="N266" s="120">
        <v>42.0</v>
      </c>
      <c r="O266" s="120">
        <v>3.516991663999999</v>
      </c>
      <c r="P266" s="123">
        <v>2.77557852000299</v>
      </c>
      <c r="Q266" s="120">
        <v>0.0</v>
      </c>
      <c r="R266" s="120">
        <v>0.7891911000000001</v>
      </c>
      <c r="S266" s="15"/>
      <c r="T266" s="161"/>
      <c r="AA266" s="15"/>
      <c r="AB266" s="15"/>
      <c r="AC266" s="15"/>
      <c r="AD266" s="15"/>
      <c r="AE266" s="15"/>
    </row>
    <row r="267" ht="15.0" customHeight="1">
      <c r="A267" s="134" t="s">
        <v>238</v>
      </c>
      <c r="B267" s="3" t="s">
        <v>257</v>
      </c>
      <c r="C267" s="3" t="s">
        <v>129</v>
      </c>
      <c r="D267" s="135" t="s">
        <v>240</v>
      </c>
      <c r="E267" s="48">
        <v>2.0</v>
      </c>
      <c r="F267" s="165" t="s">
        <v>234</v>
      </c>
      <c r="G267" s="137">
        <v>2.72181374</v>
      </c>
      <c r="H267" s="137">
        <v>0.05474558</v>
      </c>
      <c r="I267" s="137">
        <v>2.9435791</v>
      </c>
      <c r="J267" s="120">
        <f t="shared" si="1"/>
        <v>49.71750669</v>
      </c>
      <c r="K267" s="121">
        <v>-0.533</v>
      </c>
      <c r="L267" s="121">
        <v>-1.52</v>
      </c>
      <c r="M267" s="122">
        <f t="shared" si="2"/>
        <v>0.987</v>
      </c>
      <c r="N267" s="120">
        <v>43.2</v>
      </c>
      <c r="O267" s="120">
        <v>2.982349645390071</v>
      </c>
      <c r="P267" s="123">
        <v>3.0074337409050007</v>
      </c>
      <c r="Q267" s="120">
        <v>0.42857142857142855</v>
      </c>
      <c r="R267" s="120">
        <v>1.0084108500000002</v>
      </c>
      <c r="S267" s="15"/>
      <c r="T267" s="161"/>
      <c r="AA267" s="15"/>
      <c r="AB267" s="15"/>
      <c r="AC267" s="15"/>
      <c r="AD267" s="15"/>
      <c r="AE267" s="15"/>
    </row>
    <row r="268" ht="15.0" customHeight="1">
      <c r="A268" s="134" t="s">
        <v>238</v>
      </c>
      <c r="B268" s="3" t="s">
        <v>257</v>
      </c>
      <c r="C268" s="3" t="s">
        <v>129</v>
      </c>
      <c r="D268" s="135" t="s">
        <v>240</v>
      </c>
      <c r="E268" s="48">
        <v>3.0</v>
      </c>
      <c r="F268" s="165" t="s">
        <v>234</v>
      </c>
      <c r="G268" s="137">
        <v>2.96165029</v>
      </c>
      <c r="H268" s="137">
        <v>0.03809265</v>
      </c>
      <c r="I268" s="137">
        <v>1.65729023</v>
      </c>
      <c r="J268" s="120">
        <f t="shared" si="1"/>
        <v>77.74860216</v>
      </c>
      <c r="K268" s="121">
        <v>-0.602</v>
      </c>
      <c r="L268" s="121">
        <v>-1.305</v>
      </c>
      <c r="M268" s="122">
        <f t="shared" si="2"/>
        <v>0.703</v>
      </c>
      <c r="N268" s="120">
        <v>43.8</v>
      </c>
      <c r="O268" s="120">
        <v>2.3574540967283073</v>
      </c>
      <c r="P268" s="123">
        <v>2.411735656032526</v>
      </c>
      <c r="Q268" s="120">
        <v>0.0</v>
      </c>
      <c r="R268" s="120">
        <v>1.0230255000000004</v>
      </c>
      <c r="S268" s="15"/>
      <c r="T268" s="161"/>
      <c r="AA268" s="15"/>
      <c r="AB268" s="15"/>
      <c r="AC268" s="15"/>
      <c r="AD268" s="15"/>
      <c r="AE268" s="15"/>
    </row>
    <row r="269" ht="15.0" customHeight="1">
      <c r="A269" s="134" t="s">
        <v>238</v>
      </c>
      <c r="B269" s="3" t="s">
        <v>257</v>
      </c>
      <c r="C269" s="3" t="s">
        <v>129</v>
      </c>
      <c r="D269" s="135" t="s">
        <v>240</v>
      </c>
      <c r="E269" s="48">
        <v>4.0</v>
      </c>
      <c r="F269" s="165" t="s">
        <v>234</v>
      </c>
      <c r="G269" s="137">
        <v>7.64819436</v>
      </c>
      <c r="H269" s="137">
        <v>0.08952041</v>
      </c>
      <c r="I269" s="137">
        <v>3.22697667</v>
      </c>
      <c r="J269" s="120">
        <f t="shared" si="1"/>
        <v>85.43520254</v>
      </c>
      <c r="K269" s="121">
        <v>-0.619</v>
      </c>
      <c r="L269" s="121">
        <v>-1.418</v>
      </c>
      <c r="M269" s="122">
        <f t="shared" si="2"/>
        <v>0.799</v>
      </c>
      <c r="N269" s="120">
        <v>32.5</v>
      </c>
      <c r="O269" s="120">
        <v>4.0387692991239055</v>
      </c>
      <c r="P269" s="123">
        <v>3.9546883824085604</v>
      </c>
      <c r="Q269" s="120">
        <v>0.0</v>
      </c>
      <c r="R269" s="120">
        <v>0.9791815500000003</v>
      </c>
      <c r="S269" s="15"/>
      <c r="T269" s="161"/>
      <c r="AA269" s="15"/>
      <c r="AB269" s="15"/>
      <c r="AC269" s="15"/>
      <c r="AD269" s="15"/>
      <c r="AE269" s="15"/>
    </row>
    <row r="270" ht="15.0" customHeight="1">
      <c r="A270" s="134" t="s">
        <v>238</v>
      </c>
      <c r="B270" s="3" t="s">
        <v>257</v>
      </c>
      <c r="C270" s="3" t="s">
        <v>129</v>
      </c>
      <c r="D270" s="135" t="s">
        <v>240</v>
      </c>
      <c r="E270" s="48">
        <v>5.0</v>
      </c>
      <c r="F270" s="165" t="s">
        <v>234</v>
      </c>
      <c r="G270" s="137">
        <v>4.10318804</v>
      </c>
      <c r="H270" s="137">
        <v>0.05836902</v>
      </c>
      <c r="I270" s="137">
        <v>2.66631222</v>
      </c>
      <c r="J270" s="120">
        <f t="shared" si="1"/>
        <v>70.29736048</v>
      </c>
      <c r="K270" s="121">
        <v>-0.618</v>
      </c>
      <c r="L270" s="121">
        <v>-1.428</v>
      </c>
      <c r="M270" s="122">
        <f t="shared" si="2"/>
        <v>0.81</v>
      </c>
      <c r="N270" s="120">
        <v>34.8</v>
      </c>
      <c r="O270" s="120">
        <v>3.2917434814814817</v>
      </c>
      <c r="P270" s="123">
        <v>3.2232144843994344</v>
      </c>
      <c r="Q270" s="120">
        <v>0.0</v>
      </c>
      <c r="R270" s="120">
        <v>0.9791815500000003</v>
      </c>
      <c r="S270" s="15"/>
      <c r="T270" s="161"/>
      <c r="AA270" s="15"/>
      <c r="AB270" s="15"/>
      <c r="AC270" s="15"/>
      <c r="AD270" s="15"/>
      <c r="AE270" s="15"/>
    </row>
    <row r="271" ht="15.0" customHeight="1">
      <c r="A271" s="134" t="s">
        <v>238</v>
      </c>
      <c r="B271" s="3" t="s">
        <v>257</v>
      </c>
      <c r="C271" s="3" t="s">
        <v>129</v>
      </c>
      <c r="D271" s="135" t="s">
        <v>240</v>
      </c>
      <c r="E271" s="48">
        <v>6.0</v>
      </c>
      <c r="F271" s="165" t="s">
        <v>234</v>
      </c>
      <c r="G271" s="137">
        <v>8.27939664</v>
      </c>
      <c r="H271" s="137">
        <v>0.1112189</v>
      </c>
      <c r="I271" s="137">
        <v>3.89906033</v>
      </c>
      <c r="J271" s="120">
        <f t="shared" si="1"/>
        <v>74.44235323</v>
      </c>
      <c r="K271" s="121">
        <v>-0.656</v>
      </c>
      <c r="L271" s="121">
        <v>-1.728</v>
      </c>
      <c r="M271" s="122">
        <f t="shared" si="2"/>
        <v>1.072</v>
      </c>
      <c r="N271" s="120">
        <v>44.5</v>
      </c>
      <c r="O271" s="120">
        <v>3.6371831436567166</v>
      </c>
      <c r="P271" s="123">
        <v>4.465117324957181</v>
      </c>
      <c r="Q271" s="120">
        <v>0.0</v>
      </c>
      <c r="R271" s="120">
        <v>1.2276306000000001</v>
      </c>
      <c r="S271" s="15"/>
      <c r="T271" s="161"/>
      <c r="AA271" s="15"/>
      <c r="AB271" s="15"/>
      <c r="AC271" s="15"/>
      <c r="AD271" s="15"/>
      <c r="AE271" s="15"/>
    </row>
    <row r="272" ht="15.0" customHeight="1">
      <c r="A272" s="134" t="s">
        <v>238</v>
      </c>
      <c r="B272" s="3" t="s">
        <v>258</v>
      </c>
      <c r="C272" s="3" t="s">
        <v>136</v>
      </c>
      <c r="D272" s="3" t="s">
        <v>251</v>
      </c>
      <c r="E272" s="48">
        <v>1.0</v>
      </c>
      <c r="F272" s="165" t="s">
        <v>234</v>
      </c>
      <c r="G272" s="137">
        <v>5.56786322</v>
      </c>
      <c r="H272" s="137">
        <v>0.08734392</v>
      </c>
      <c r="I272" s="137">
        <v>2.7176588</v>
      </c>
      <c r="J272" s="120">
        <f t="shared" si="1"/>
        <v>63.74643158</v>
      </c>
      <c r="K272" s="121">
        <v>-0.477</v>
      </c>
      <c r="L272" s="121">
        <v>-1.453</v>
      </c>
      <c r="M272" s="122">
        <f t="shared" si="2"/>
        <v>0.976</v>
      </c>
      <c r="N272" s="120">
        <v>53.2</v>
      </c>
      <c r="O272" s="120">
        <v>2.784486475409836</v>
      </c>
      <c r="P272" s="123">
        <v>2.2788805349995083</v>
      </c>
      <c r="Q272" s="120">
        <v>0.0</v>
      </c>
      <c r="R272" s="120">
        <v>0.8184204000000002</v>
      </c>
      <c r="S272" s="15"/>
      <c r="T272" s="161"/>
      <c r="AA272" s="15"/>
      <c r="AB272" s="15"/>
      <c r="AC272" s="15"/>
      <c r="AD272" s="15"/>
      <c r="AE272" s="15"/>
    </row>
    <row r="273" ht="15.0" customHeight="1">
      <c r="A273" s="134" t="s">
        <v>238</v>
      </c>
      <c r="B273" s="3" t="s">
        <v>258</v>
      </c>
      <c r="C273" s="3" t="s">
        <v>136</v>
      </c>
      <c r="D273" s="3" t="s">
        <v>251</v>
      </c>
      <c r="E273" s="48">
        <v>2.0</v>
      </c>
      <c r="F273" s="165" t="s">
        <v>234</v>
      </c>
      <c r="G273" s="137">
        <v>4.32392144</v>
      </c>
      <c r="H273" s="137">
        <v>0.05351884</v>
      </c>
      <c r="I273" s="137">
        <v>2.98350475</v>
      </c>
      <c r="J273" s="120">
        <f t="shared" si="1"/>
        <v>80.79251045</v>
      </c>
      <c r="K273" s="121">
        <v>-0.722</v>
      </c>
      <c r="L273" s="121">
        <v>-1.356</v>
      </c>
      <c r="M273" s="122">
        <f t="shared" si="2"/>
        <v>0.634</v>
      </c>
      <c r="N273" s="120">
        <v>61.3</v>
      </c>
      <c r="O273" s="120">
        <v>4.705843454258674</v>
      </c>
      <c r="P273" s="123">
        <v>3.5762612620166405</v>
      </c>
      <c r="Q273" s="120">
        <v>0.0</v>
      </c>
      <c r="R273" s="120">
        <v>0.7599618000000001</v>
      </c>
      <c r="S273" s="15"/>
      <c r="T273" s="161"/>
      <c r="AA273" s="15"/>
      <c r="AB273" s="15"/>
      <c r="AC273" s="15"/>
      <c r="AD273" s="15"/>
      <c r="AE273" s="15"/>
    </row>
    <row r="274" ht="15.0" customHeight="1">
      <c r="A274" s="134" t="s">
        <v>238</v>
      </c>
      <c r="B274" s="3" t="s">
        <v>258</v>
      </c>
      <c r="C274" s="3" t="s">
        <v>136</v>
      </c>
      <c r="D274" s="3" t="s">
        <v>251</v>
      </c>
      <c r="E274" s="48">
        <v>3.0</v>
      </c>
      <c r="F274" s="165" t="s">
        <v>234</v>
      </c>
      <c r="G274" s="137">
        <v>2.07146279</v>
      </c>
      <c r="H274" s="137">
        <v>0.02459815</v>
      </c>
      <c r="I274" s="137">
        <v>1.05921446</v>
      </c>
      <c r="J274" s="120">
        <f t="shared" si="1"/>
        <v>84.2121375</v>
      </c>
      <c r="K274" s="121">
        <v>-0.48</v>
      </c>
      <c r="L274" s="121">
        <v>-1.507</v>
      </c>
      <c r="M274" s="122">
        <f t="shared" si="2"/>
        <v>1.027</v>
      </c>
      <c r="N274" s="120">
        <v>34.4</v>
      </c>
      <c r="O274" s="120">
        <v>1.0313675365141188</v>
      </c>
      <c r="P274" s="123">
        <v>1.1606268186987374</v>
      </c>
      <c r="Q274" s="120">
        <v>0.0</v>
      </c>
      <c r="R274" s="120">
        <v>1.1253280500000002</v>
      </c>
      <c r="S274" s="15"/>
      <c r="T274" s="161"/>
      <c r="AA274" s="15"/>
      <c r="AB274" s="15"/>
      <c r="AC274" s="15"/>
      <c r="AD274" s="15"/>
      <c r="AE274" s="15"/>
    </row>
    <row r="275" ht="15.0" customHeight="1">
      <c r="A275" s="134" t="s">
        <v>238</v>
      </c>
      <c r="B275" s="3" t="s">
        <v>258</v>
      </c>
      <c r="C275" s="3" t="s">
        <v>136</v>
      </c>
      <c r="D275" s="3" t="s">
        <v>251</v>
      </c>
      <c r="E275" s="48">
        <v>4.0</v>
      </c>
      <c r="F275" s="165" t="s">
        <v>234</v>
      </c>
      <c r="G275" s="137">
        <v>8.77469696</v>
      </c>
      <c r="H275" s="137">
        <v>0.10590107</v>
      </c>
      <c r="I275" s="137">
        <v>3.39717715</v>
      </c>
      <c r="J275" s="120">
        <f t="shared" si="1"/>
        <v>82.85749105</v>
      </c>
      <c r="K275" s="121">
        <v>-0.7</v>
      </c>
      <c r="L275" s="121">
        <v>-1.1391</v>
      </c>
      <c r="M275" s="122">
        <f t="shared" si="2"/>
        <v>0.4391</v>
      </c>
      <c r="N275" s="120">
        <v>56.0</v>
      </c>
      <c r="O275" s="120">
        <v>7.73668219084491</v>
      </c>
      <c r="P275" s="123">
        <v>7.462547557108484</v>
      </c>
      <c r="Q275" s="120">
        <v>0.0</v>
      </c>
      <c r="R275" s="120">
        <v>0.9645669000000001</v>
      </c>
      <c r="S275" s="15"/>
      <c r="T275" s="161"/>
      <c r="AA275" s="15"/>
      <c r="AB275" s="15"/>
      <c r="AC275" s="15"/>
      <c r="AD275" s="15"/>
      <c r="AE275" s="15"/>
    </row>
    <row r="276" ht="15.0" customHeight="1">
      <c r="A276" s="134" t="s">
        <v>238</v>
      </c>
      <c r="B276" s="3" t="s">
        <v>258</v>
      </c>
      <c r="C276" s="3" t="s">
        <v>136</v>
      </c>
      <c r="D276" s="3" t="s">
        <v>251</v>
      </c>
      <c r="E276" s="48">
        <v>5.0</v>
      </c>
      <c r="F276" s="165" t="s">
        <v>234</v>
      </c>
      <c r="G276" s="137">
        <v>3.97260709</v>
      </c>
      <c r="H276" s="137">
        <v>0.04193534</v>
      </c>
      <c r="I276" s="137">
        <v>2.09162417</v>
      </c>
      <c r="J276" s="120">
        <f t="shared" si="1"/>
        <v>94.73172484</v>
      </c>
      <c r="K276" s="121">
        <v>-0.443</v>
      </c>
      <c r="L276" s="121">
        <v>-1.317</v>
      </c>
      <c r="M276" s="122">
        <f t="shared" si="2"/>
        <v>0.874</v>
      </c>
      <c r="N276" s="120">
        <v>44.1</v>
      </c>
      <c r="O276" s="120">
        <v>2.39316266590389</v>
      </c>
      <c r="P276" s="123">
        <v>2.6231426066439227</v>
      </c>
      <c r="Q276" s="120">
        <v>0.0</v>
      </c>
      <c r="R276" s="120">
        <v>1.0960987500000003</v>
      </c>
      <c r="S276" s="15"/>
      <c r="T276" s="161"/>
      <c r="AA276" s="15"/>
      <c r="AB276" s="15"/>
      <c r="AC276" s="15"/>
      <c r="AD276" s="15"/>
      <c r="AE276" s="15"/>
    </row>
    <row r="277" ht="15.0" customHeight="1">
      <c r="A277" s="134" t="s">
        <v>238</v>
      </c>
      <c r="B277" s="3" t="s">
        <v>258</v>
      </c>
      <c r="C277" s="3" t="s">
        <v>136</v>
      </c>
      <c r="D277" s="3" t="s">
        <v>251</v>
      </c>
      <c r="E277" s="48">
        <v>6.0</v>
      </c>
      <c r="F277" s="165" t="s">
        <v>234</v>
      </c>
      <c r="G277" s="137">
        <v>2.82866562</v>
      </c>
      <c r="H277" s="137">
        <v>0.03480757</v>
      </c>
      <c r="I277" s="137">
        <v>1.3698227</v>
      </c>
      <c r="J277" s="120">
        <f t="shared" si="1"/>
        <v>81.26581718</v>
      </c>
      <c r="K277" s="121">
        <v>-0.43</v>
      </c>
      <c r="L277" s="121">
        <v>-1.1591</v>
      </c>
      <c r="M277" s="122">
        <f t="shared" si="2"/>
        <v>0.7291</v>
      </c>
      <c r="N277" s="120">
        <v>37.3</v>
      </c>
      <c r="O277" s="120">
        <v>1.8787857632697846</v>
      </c>
      <c r="P277" s="123">
        <v>2.16916591205849</v>
      </c>
      <c r="Q277" s="120">
        <v>0.0</v>
      </c>
      <c r="R277" s="120">
        <v>1.1545573500000001</v>
      </c>
      <c r="S277" s="15"/>
      <c r="T277" s="161"/>
      <c r="AA277" s="15"/>
      <c r="AB277" s="15"/>
      <c r="AC277" s="15"/>
      <c r="AD277" s="15"/>
      <c r="AE277" s="15"/>
    </row>
    <row r="278" ht="15.0" customHeight="1">
      <c r="A278" s="134" t="s">
        <v>249</v>
      </c>
      <c r="B278" s="3" t="s">
        <v>257</v>
      </c>
      <c r="C278" s="3" t="s">
        <v>143</v>
      </c>
      <c r="D278" s="135" t="s">
        <v>240</v>
      </c>
      <c r="E278" s="48">
        <v>1.0</v>
      </c>
      <c r="F278" s="165" t="s">
        <v>234</v>
      </c>
      <c r="G278" s="137">
        <v>1.52126751</v>
      </c>
      <c r="H278" s="137">
        <v>0.05457551</v>
      </c>
      <c r="I278" s="137">
        <v>1.87885622</v>
      </c>
      <c r="J278" s="120">
        <f t="shared" si="1"/>
        <v>27.87454501</v>
      </c>
      <c r="K278" s="121">
        <v>-0.43</v>
      </c>
      <c r="L278" s="121">
        <v>-1.41</v>
      </c>
      <c r="M278" s="122">
        <f t="shared" si="2"/>
        <v>0.98</v>
      </c>
      <c r="N278" s="120">
        <v>35.8</v>
      </c>
      <c r="O278" s="120">
        <v>1.917200224489796</v>
      </c>
      <c r="P278" s="123">
        <v>1.8212486669545873</v>
      </c>
      <c r="Q278" s="120">
        <v>0.0</v>
      </c>
      <c r="R278" s="120">
        <v>0.9499522500000003</v>
      </c>
      <c r="S278" s="15"/>
      <c r="T278" s="161"/>
      <c r="AA278" s="15"/>
      <c r="AB278" s="15"/>
      <c r="AC278" s="15"/>
      <c r="AD278" s="15"/>
      <c r="AE278" s="15"/>
    </row>
    <row r="279" ht="15.0" customHeight="1">
      <c r="A279" s="134" t="s">
        <v>249</v>
      </c>
      <c r="B279" s="3" t="s">
        <v>257</v>
      </c>
      <c r="C279" s="3" t="s">
        <v>143</v>
      </c>
      <c r="D279" s="135" t="s">
        <v>240</v>
      </c>
      <c r="E279" s="48">
        <v>2.0</v>
      </c>
      <c r="F279" s="165" t="s">
        <v>234</v>
      </c>
      <c r="G279" s="137">
        <v>1.24324065</v>
      </c>
      <c r="H279" s="137">
        <v>0.03120211</v>
      </c>
      <c r="I279" s="137">
        <v>1.69595924</v>
      </c>
      <c r="J279" s="120">
        <f t="shared" si="1"/>
        <v>39.8447621</v>
      </c>
      <c r="K279" s="121">
        <v>-0.468</v>
      </c>
      <c r="L279" s="121">
        <v>-1.408</v>
      </c>
      <c r="M279" s="122">
        <f t="shared" si="2"/>
        <v>0.94</v>
      </c>
      <c r="N279" s="120">
        <v>34.3</v>
      </c>
      <c r="O279" s="120">
        <v>1.8042119574468087</v>
      </c>
      <c r="P279" s="123">
        <v>1.6348114296018006</v>
      </c>
      <c r="Q279" s="120">
        <v>0.0</v>
      </c>
      <c r="R279" s="120">
        <v>0.9061083000000002</v>
      </c>
      <c r="S279" s="15"/>
      <c r="T279" s="161"/>
      <c r="AA279" s="15"/>
      <c r="AB279" s="15"/>
      <c r="AC279" s="15"/>
      <c r="AD279" s="15"/>
      <c r="AE279" s="15"/>
    </row>
    <row r="280" ht="15.0" customHeight="1">
      <c r="A280" s="134" t="s">
        <v>249</v>
      </c>
      <c r="B280" s="3" t="s">
        <v>257</v>
      </c>
      <c r="C280" s="3" t="s">
        <v>143</v>
      </c>
      <c r="D280" s="135" t="s">
        <v>240</v>
      </c>
      <c r="E280" s="48">
        <v>3.0</v>
      </c>
      <c r="F280" s="165" t="s">
        <v>234</v>
      </c>
      <c r="G280" s="137">
        <v>2.95161145</v>
      </c>
      <c r="H280" s="137">
        <v>0.0362725</v>
      </c>
      <c r="I280" s="137">
        <v>1.49974702</v>
      </c>
      <c r="J280" s="120">
        <f t="shared" si="1"/>
        <v>81.3732566</v>
      </c>
      <c r="K280" s="121">
        <v>-0.517</v>
      </c>
      <c r="L280" s="121">
        <v>-1.346</v>
      </c>
      <c r="M280" s="122">
        <f t="shared" si="2"/>
        <v>0.829</v>
      </c>
      <c r="N280" s="120">
        <v>49.4</v>
      </c>
      <c r="O280" s="120">
        <v>1.809103763570567</v>
      </c>
      <c r="P280" s="123">
        <v>1.8771987005969277</v>
      </c>
      <c r="Q280" s="120">
        <v>0.0</v>
      </c>
      <c r="R280" s="120">
        <v>1.03764015</v>
      </c>
      <c r="S280" s="15"/>
      <c r="T280" s="161"/>
      <c r="AA280" s="15"/>
      <c r="AB280" s="15"/>
      <c r="AC280" s="15"/>
      <c r="AD280" s="15"/>
      <c r="AE280" s="15"/>
    </row>
    <row r="281" ht="15.0" customHeight="1">
      <c r="A281" s="134" t="s">
        <v>249</v>
      </c>
      <c r="B281" s="3" t="s">
        <v>257</v>
      </c>
      <c r="C281" s="3" t="s">
        <v>143</v>
      </c>
      <c r="D281" s="135" t="s">
        <v>240</v>
      </c>
      <c r="E281" s="48">
        <v>4.0</v>
      </c>
      <c r="F281" s="165" t="s">
        <v>234</v>
      </c>
      <c r="G281" s="137">
        <v>7.38013738</v>
      </c>
      <c r="H281" s="137">
        <v>0.11775277</v>
      </c>
      <c r="I281" s="137">
        <v>3.49359548</v>
      </c>
      <c r="J281" s="120">
        <f t="shared" si="1"/>
        <v>62.67485156</v>
      </c>
      <c r="K281" s="121">
        <v>-0.552</v>
      </c>
      <c r="L281" s="121">
        <v>-1.57</v>
      </c>
      <c r="M281" s="122">
        <f t="shared" si="2"/>
        <v>1.018</v>
      </c>
      <c r="N281" s="120">
        <v>33.5</v>
      </c>
      <c r="O281" s="120">
        <v>3.4318226719056977</v>
      </c>
      <c r="P281" s="123">
        <v>3.3603774432017635</v>
      </c>
      <c r="Q281" s="120">
        <v>0.14285714285714285</v>
      </c>
      <c r="R281" s="120">
        <v>0.9791815500000003</v>
      </c>
      <c r="S281" s="15"/>
      <c r="T281" s="161"/>
      <c r="AA281" s="15"/>
      <c r="AB281" s="15"/>
      <c r="AC281" s="15"/>
      <c r="AD281" s="15"/>
      <c r="AE281" s="15"/>
    </row>
    <row r="282" ht="15.0" customHeight="1">
      <c r="A282" s="134" t="s">
        <v>249</v>
      </c>
      <c r="B282" s="3" t="s">
        <v>257</v>
      </c>
      <c r="C282" s="3" t="s">
        <v>143</v>
      </c>
      <c r="D282" s="135" t="s">
        <v>240</v>
      </c>
      <c r="E282" s="48">
        <v>5.0</v>
      </c>
      <c r="F282" s="165" t="s">
        <v>234</v>
      </c>
      <c r="G282" s="137">
        <v>3.64031314</v>
      </c>
      <c r="H282" s="137">
        <v>0.04037321</v>
      </c>
      <c r="I282" s="137">
        <v>2.03967114</v>
      </c>
      <c r="J282" s="120">
        <f t="shared" si="1"/>
        <v>90.16655203</v>
      </c>
      <c r="K282" s="121">
        <v>-0.498</v>
      </c>
      <c r="L282" s="121">
        <v>-1.55</v>
      </c>
      <c r="M282" s="122">
        <f t="shared" si="2"/>
        <v>1.052</v>
      </c>
      <c r="N282" s="120">
        <v>43.3</v>
      </c>
      <c r="O282" s="120">
        <v>1.9388508935361215</v>
      </c>
      <c r="P282" s="123">
        <v>2.0968364136301085</v>
      </c>
      <c r="Q282" s="120">
        <v>0.0</v>
      </c>
      <c r="R282" s="120">
        <v>1.0814841000000002</v>
      </c>
      <c r="S282" s="15"/>
      <c r="T282" s="161"/>
      <c r="AA282" s="15"/>
      <c r="AB282" s="15"/>
      <c r="AC282" s="15"/>
      <c r="AD282" s="15"/>
      <c r="AE282" s="15"/>
    </row>
    <row r="283" ht="15.0" customHeight="1">
      <c r="A283" s="134" t="s">
        <v>249</v>
      </c>
      <c r="B283" s="3" t="s">
        <v>257</v>
      </c>
      <c r="C283" s="3" t="s">
        <v>143</v>
      </c>
      <c r="D283" s="135" t="s">
        <v>240</v>
      </c>
      <c r="E283" s="48">
        <v>6.0</v>
      </c>
      <c r="F283" s="165" t="s">
        <v>234</v>
      </c>
      <c r="G283" s="137">
        <v>5.94815711</v>
      </c>
      <c r="H283" s="137">
        <v>0.08977568</v>
      </c>
      <c r="I283" s="137">
        <v>3.55967195</v>
      </c>
      <c r="J283" s="120">
        <f t="shared" si="1"/>
        <v>66.25577339</v>
      </c>
      <c r="K283" s="121">
        <v>-0.708</v>
      </c>
      <c r="L283" s="121">
        <v>-1.534</v>
      </c>
      <c r="M283" s="122">
        <f t="shared" si="2"/>
        <v>0.826</v>
      </c>
      <c r="N283" s="120">
        <v>33.9</v>
      </c>
      <c r="O283" s="120">
        <v>4.3095302058111375</v>
      </c>
      <c r="P283" s="123">
        <v>4.219812466697969</v>
      </c>
      <c r="Q283" s="120">
        <v>0.0</v>
      </c>
      <c r="R283" s="120">
        <v>0.9791815500000003</v>
      </c>
      <c r="S283" s="15"/>
      <c r="T283" s="161"/>
      <c r="AA283" s="15"/>
      <c r="AB283" s="15"/>
      <c r="AC283" s="15"/>
      <c r="AD283" s="15"/>
      <c r="AE283" s="15"/>
    </row>
    <row r="284" ht="15.0" customHeight="1">
      <c r="A284" s="134" t="s">
        <v>244</v>
      </c>
      <c r="B284" s="3" t="s">
        <v>250</v>
      </c>
      <c r="C284" s="3" t="s">
        <v>164</v>
      </c>
      <c r="D284" s="3" t="s">
        <v>251</v>
      </c>
      <c r="E284" s="48">
        <v>1.0</v>
      </c>
      <c r="F284" s="165" t="s">
        <v>234</v>
      </c>
      <c r="G284" s="137">
        <v>6.75313644</v>
      </c>
      <c r="H284" s="137">
        <v>0.08543185</v>
      </c>
      <c r="I284" s="137">
        <v>2.75584315</v>
      </c>
      <c r="J284" s="120">
        <f t="shared" si="1"/>
        <v>79.04705844</v>
      </c>
      <c r="K284" s="121">
        <v>-0.45</v>
      </c>
      <c r="L284" s="121">
        <v>-1.385</v>
      </c>
      <c r="M284" s="122">
        <f t="shared" si="2"/>
        <v>0.935</v>
      </c>
      <c r="N284" s="120">
        <v>40.3</v>
      </c>
      <c r="O284" s="120">
        <v>2.947425828877005</v>
      </c>
      <c r="P284" s="123">
        <v>2.455309022729848</v>
      </c>
      <c r="Q284" s="120">
        <v>0.0</v>
      </c>
      <c r="R284" s="120">
        <v>0.8330350500000002</v>
      </c>
      <c r="S284" s="15"/>
      <c r="T284" s="161"/>
      <c r="AA284" s="15"/>
      <c r="AB284" s="15"/>
      <c r="AC284" s="15"/>
      <c r="AD284" s="15"/>
      <c r="AE284" s="15"/>
    </row>
    <row r="285" ht="15.0" customHeight="1">
      <c r="A285" s="134" t="s">
        <v>244</v>
      </c>
      <c r="B285" s="3" t="s">
        <v>250</v>
      </c>
      <c r="C285" s="3" t="s">
        <v>164</v>
      </c>
      <c r="D285" s="3" t="s">
        <v>251</v>
      </c>
      <c r="E285" s="48">
        <v>2.0</v>
      </c>
      <c r="F285" s="165" t="s">
        <v>234</v>
      </c>
      <c r="G285" s="137">
        <v>4.0485491</v>
      </c>
      <c r="H285" s="137">
        <v>0.05621817</v>
      </c>
      <c r="I285" s="137">
        <v>3.00270969</v>
      </c>
      <c r="J285" s="120">
        <f t="shared" si="1"/>
        <v>72.01495709</v>
      </c>
      <c r="K285" s="121">
        <v>-0.36</v>
      </c>
      <c r="L285" s="121">
        <v>-1.55</v>
      </c>
      <c r="M285" s="122">
        <f t="shared" si="2"/>
        <v>1.19</v>
      </c>
      <c r="N285" s="120">
        <v>41.7</v>
      </c>
      <c r="O285" s="120">
        <v>2.523285453781513</v>
      </c>
      <c r="P285" s="123">
        <v>2.7657700317830995</v>
      </c>
      <c r="Q285" s="120">
        <v>0.14285714285714285</v>
      </c>
      <c r="R285" s="120">
        <v>1.0960987500000003</v>
      </c>
      <c r="S285" s="15"/>
      <c r="T285" s="161"/>
      <c r="AA285" s="15"/>
      <c r="AB285" s="15"/>
      <c r="AC285" s="15"/>
      <c r="AD285" s="15"/>
      <c r="AE285" s="15"/>
    </row>
    <row r="286" ht="15.0" customHeight="1">
      <c r="A286" s="134" t="s">
        <v>244</v>
      </c>
      <c r="B286" s="3" t="s">
        <v>250</v>
      </c>
      <c r="C286" s="3" t="s">
        <v>164</v>
      </c>
      <c r="D286" s="3" t="s">
        <v>251</v>
      </c>
      <c r="E286" s="48">
        <v>3.0</v>
      </c>
      <c r="F286" s="165" t="s">
        <v>234</v>
      </c>
      <c r="G286" s="137">
        <v>7.62899525</v>
      </c>
      <c r="H286" s="137">
        <v>0.10289732</v>
      </c>
      <c r="I286" s="137">
        <v>3.56487881</v>
      </c>
      <c r="J286" s="120">
        <f t="shared" si="1"/>
        <v>74.14182653</v>
      </c>
      <c r="K286" s="121">
        <v>-0.31</v>
      </c>
      <c r="L286" s="121">
        <v>-1.527</v>
      </c>
      <c r="M286" s="122">
        <f t="shared" si="2"/>
        <v>1.217</v>
      </c>
      <c r="N286" s="120">
        <v>30.0</v>
      </c>
      <c r="O286" s="120">
        <v>2.9292348479868533</v>
      </c>
      <c r="P286" s="123">
        <v>2.8682527187657825</v>
      </c>
      <c r="Q286" s="120">
        <v>0.0</v>
      </c>
      <c r="R286" s="120">
        <v>0.9791815500000003</v>
      </c>
      <c r="S286" s="15"/>
      <c r="T286" s="161"/>
      <c r="AA286" s="15"/>
      <c r="AB286" s="15"/>
      <c r="AC286" s="15"/>
      <c r="AD286" s="15"/>
      <c r="AE286" s="15"/>
    </row>
    <row r="287" ht="15.0" customHeight="1">
      <c r="A287" s="134" t="s">
        <v>244</v>
      </c>
      <c r="B287" s="3" t="s">
        <v>250</v>
      </c>
      <c r="C287" s="3" t="s">
        <v>164</v>
      </c>
      <c r="D287" s="3" t="s">
        <v>251</v>
      </c>
      <c r="E287" s="48">
        <v>4.0</v>
      </c>
      <c r="F287" s="165" t="s">
        <v>234</v>
      </c>
      <c r="G287" s="137">
        <v>4.59261823</v>
      </c>
      <c r="H287" s="137">
        <v>0.05122332</v>
      </c>
      <c r="I287" s="137">
        <v>2.00982508</v>
      </c>
      <c r="J287" s="120">
        <f t="shared" si="1"/>
        <v>89.65873805</v>
      </c>
      <c r="K287" s="121">
        <v>-0.32</v>
      </c>
      <c r="L287" s="121">
        <v>-1.548</v>
      </c>
      <c r="M287" s="122">
        <f t="shared" si="2"/>
        <v>1.228</v>
      </c>
      <c r="N287" s="120">
        <v>49.9</v>
      </c>
      <c r="O287" s="120">
        <v>1.6366653745928341</v>
      </c>
      <c r="P287" s="123">
        <v>1.7700275796426943</v>
      </c>
      <c r="Q287" s="120">
        <v>0.0</v>
      </c>
      <c r="R287" s="120">
        <v>1.0814841000000002</v>
      </c>
      <c r="S287" s="15"/>
      <c r="T287" s="161"/>
      <c r="AA287" s="15"/>
      <c r="AB287" s="15"/>
      <c r="AC287" s="15"/>
      <c r="AD287" s="15"/>
      <c r="AE287" s="15"/>
    </row>
    <row r="288" ht="15.0" customHeight="1">
      <c r="A288" s="134" t="s">
        <v>244</v>
      </c>
      <c r="B288" s="3" t="s">
        <v>250</v>
      </c>
      <c r="C288" s="3" t="s">
        <v>164</v>
      </c>
      <c r="D288" s="3" t="s">
        <v>251</v>
      </c>
      <c r="E288" s="48">
        <v>5.0</v>
      </c>
      <c r="F288" s="165" t="s">
        <v>234</v>
      </c>
      <c r="G288" s="137">
        <v>6.39596762</v>
      </c>
      <c r="H288" s="137">
        <v>0.06554808</v>
      </c>
      <c r="I288" s="137">
        <v>3.11815917</v>
      </c>
      <c r="J288" s="120">
        <f t="shared" si="1"/>
        <v>97.57673482</v>
      </c>
      <c r="K288" s="121">
        <v>-0.487</v>
      </c>
      <c r="L288" s="121">
        <v>-1.365</v>
      </c>
      <c r="M288" s="122">
        <f t="shared" si="2"/>
        <v>0.878</v>
      </c>
      <c r="N288" s="120">
        <v>36.2</v>
      </c>
      <c r="O288" s="120">
        <v>3.5514341343963554</v>
      </c>
      <c r="P288" s="123">
        <v>3.99652844916369</v>
      </c>
      <c r="Q288" s="120">
        <v>0.0</v>
      </c>
      <c r="R288" s="120">
        <v>1.1253280500000002</v>
      </c>
      <c r="S288" s="15"/>
      <c r="T288" s="161"/>
      <c r="AA288" s="15"/>
      <c r="AB288" s="15"/>
      <c r="AC288" s="15"/>
      <c r="AD288" s="15"/>
      <c r="AE288" s="15"/>
    </row>
    <row r="289" ht="15.0" customHeight="1">
      <c r="A289" s="153" t="s">
        <v>244</v>
      </c>
      <c r="B289" s="154" t="s">
        <v>250</v>
      </c>
      <c r="C289" s="154" t="s">
        <v>164</v>
      </c>
      <c r="D289" s="154" t="s">
        <v>251</v>
      </c>
      <c r="E289" s="155">
        <v>6.0</v>
      </c>
      <c r="F289" s="166" t="s">
        <v>234</v>
      </c>
      <c r="G289" s="157">
        <v>1.46847335</v>
      </c>
      <c r="H289" s="157">
        <v>0.03712075</v>
      </c>
      <c r="I289" s="157">
        <v>1.25707664</v>
      </c>
      <c r="J289" s="120">
        <f t="shared" si="1"/>
        <v>39.55936639</v>
      </c>
      <c r="K289" s="121">
        <v>-0.491</v>
      </c>
      <c r="L289" s="121">
        <v>-1.483</v>
      </c>
      <c r="M289" s="122">
        <f t="shared" si="2"/>
        <v>0.992</v>
      </c>
      <c r="N289" s="120">
        <v>43.3</v>
      </c>
      <c r="O289" s="120">
        <v>1.2672143548387096</v>
      </c>
      <c r="P289" s="123">
        <v>1.3519522817788792</v>
      </c>
      <c r="Q289" s="120">
        <v>0.14285714285714285</v>
      </c>
      <c r="R289" s="120">
        <v>1.0668694500000002</v>
      </c>
      <c r="S289" s="15"/>
      <c r="T289" s="161"/>
      <c r="AA289" s="15"/>
      <c r="AB289" s="15"/>
      <c r="AC289" s="15"/>
      <c r="AD289" s="15"/>
      <c r="AE289" s="15"/>
    </row>
    <row r="290" ht="15.0" customHeight="1">
      <c r="A290" s="115" t="s">
        <v>238</v>
      </c>
      <c r="B290" s="116" t="s">
        <v>239</v>
      </c>
      <c r="C290" s="116" t="s">
        <v>5</v>
      </c>
      <c r="D290" s="116" t="s">
        <v>240</v>
      </c>
      <c r="E290" s="117">
        <v>1.0</v>
      </c>
      <c r="F290" s="167" t="s">
        <v>235</v>
      </c>
      <c r="G290" s="119">
        <v>11.2565194</v>
      </c>
      <c r="H290" s="119">
        <v>0.25087935</v>
      </c>
      <c r="I290" s="119">
        <v>6.21926502</v>
      </c>
      <c r="J290" s="120">
        <f t="shared" si="1"/>
        <v>44.86825799</v>
      </c>
      <c r="K290" s="121">
        <v>-0.208</v>
      </c>
      <c r="L290" s="121">
        <v>-0.64</v>
      </c>
      <c r="M290" s="122">
        <f t="shared" si="2"/>
        <v>0.432</v>
      </c>
      <c r="N290" s="120">
        <v>46.8</v>
      </c>
      <c r="O290" s="120">
        <v>14.396446805555554</v>
      </c>
      <c r="P290" s="123">
        <v>10.099153502726999</v>
      </c>
      <c r="Q290" s="120">
        <v>0.0</v>
      </c>
      <c r="R290" s="120">
        <v>0.7015032000000001</v>
      </c>
      <c r="S290" s="15"/>
      <c r="T290" s="161"/>
      <c r="AA290" s="15"/>
      <c r="AB290" s="15"/>
      <c r="AC290" s="15"/>
      <c r="AD290" s="15"/>
      <c r="AE290" s="15"/>
    </row>
    <row r="291" ht="15.0" customHeight="1">
      <c r="A291" s="134" t="s">
        <v>238</v>
      </c>
      <c r="B291" s="135" t="s">
        <v>239</v>
      </c>
      <c r="C291" s="135" t="s">
        <v>5</v>
      </c>
      <c r="D291" s="135" t="s">
        <v>240</v>
      </c>
      <c r="E291" s="8">
        <v>2.0</v>
      </c>
      <c r="F291" s="168" t="s">
        <v>235</v>
      </c>
      <c r="G291" s="137">
        <v>12.4318573</v>
      </c>
      <c r="H291" s="137">
        <v>0.17385257</v>
      </c>
      <c r="I291" s="137">
        <v>5.39537884</v>
      </c>
      <c r="J291" s="120">
        <f t="shared" si="1"/>
        <v>71.50804443</v>
      </c>
      <c r="K291" s="121">
        <v>-0.168</v>
      </c>
      <c r="L291" s="121">
        <v>-0.68</v>
      </c>
      <c r="M291" s="122">
        <f t="shared" si="2"/>
        <v>0.512</v>
      </c>
      <c r="N291" s="120">
        <v>42.1</v>
      </c>
      <c r="O291" s="120">
        <v>10.537849296875</v>
      </c>
      <c r="P291" s="123">
        <v>10.7804885458602</v>
      </c>
      <c r="Q291" s="120">
        <v>0.6</v>
      </c>
      <c r="R291" s="120">
        <v>1.0230255000000004</v>
      </c>
      <c r="S291" s="15"/>
      <c r="T291" s="161"/>
      <c r="AA291" s="15"/>
      <c r="AB291" s="15"/>
      <c r="AC291" s="15"/>
      <c r="AD291" s="15"/>
      <c r="AE291" s="15"/>
    </row>
    <row r="292" ht="15.0" customHeight="1">
      <c r="A292" s="134" t="s">
        <v>238</v>
      </c>
      <c r="B292" s="135" t="s">
        <v>239</v>
      </c>
      <c r="C292" s="135" t="s">
        <v>5</v>
      </c>
      <c r="D292" s="135" t="s">
        <v>240</v>
      </c>
      <c r="E292" s="8">
        <v>3.0</v>
      </c>
      <c r="F292" s="168" t="s">
        <v>235</v>
      </c>
      <c r="G292" s="137">
        <v>13.8752963</v>
      </c>
      <c r="H292" s="137">
        <v>0.21597435</v>
      </c>
      <c r="I292" s="137">
        <v>7.49490643</v>
      </c>
      <c r="J292" s="120">
        <f t="shared" si="1"/>
        <v>64.24511198</v>
      </c>
      <c r="K292" s="121">
        <v>-0.25</v>
      </c>
      <c r="L292" s="121">
        <v>-0.75</v>
      </c>
      <c r="M292" s="122">
        <f t="shared" si="2"/>
        <v>0.5</v>
      </c>
      <c r="N292" s="120">
        <v>48.8</v>
      </c>
      <c r="O292" s="120">
        <v>14.98981286</v>
      </c>
      <c r="P292" s="123">
        <v>15.773102533036733</v>
      </c>
      <c r="Q292" s="120">
        <v>0.8</v>
      </c>
      <c r="R292" s="120">
        <v>1.0522548000000003</v>
      </c>
      <c r="S292" s="15"/>
      <c r="T292" s="161"/>
      <c r="AA292" s="15"/>
      <c r="AB292" s="15"/>
      <c r="AC292" s="15"/>
      <c r="AD292" s="15"/>
      <c r="AE292" s="15"/>
    </row>
    <row r="293" ht="15.0" customHeight="1">
      <c r="A293" s="134" t="s">
        <v>238</v>
      </c>
      <c r="B293" s="135" t="s">
        <v>239</v>
      </c>
      <c r="C293" s="135" t="s">
        <v>5</v>
      </c>
      <c r="D293" s="135" t="s">
        <v>240</v>
      </c>
      <c r="E293" s="8">
        <v>4.0</v>
      </c>
      <c r="F293" s="168" t="s">
        <v>235</v>
      </c>
      <c r="G293" s="137">
        <v>9.43943163</v>
      </c>
      <c r="H293" s="137">
        <v>0.12772574</v>
      </c>
      <c r="I293" s="137">
        <v>3.15990233</v>
      </c>
      <c r="J293" s="120">
        <f t="shared" si="1"/>
        <v>73.90391028</v>
      </c>
      <c r="K293" s="121"/>
      <c r="L293" s="121">
        <v>-0.652</v>
      </c>
      <c r="M293" s="122"/>
      <c r="N293" s="120">
        <v>44.2</v>
      </c>
      <c r="O293" s="120">
        <v>6.899350065502183</v>
      </c>
      <c r="P293" s="123">
        <v>6.251558358957073</v>
      </c>
      <c r="Q293" s="120">
        <v>0.4</v>
      </c>
      <c r="R293" s="120">
        <v>0.9061083000000002</v>
      </c>
      <c r="S293" s="15"/>
      <c r="T293" s="161"/>
      <c r="AA293" s="15"/>
      <c r="AB293" s="15"/>
      <c r="AC293" s="15"/>
      <c r="AD293" s="15"/>
      <c r="AE293" s="15"/>
    </row>
    <row r="294" ht="15.0" customHeight="1">
      <c r="A294" s="134" t="s">
        <v>238</v>
      </c>
      <c r="B294" s="135" t="s">
        <v>239</v>
      </c>
      <c r="C294" s="135" t="s">
        <v>5</v>
      </c>
      <c r="D294" s="135" t="s">
        <v>240</v>
      </c>
      <c r="E294" s="8">
        <v>5.0</v>
      </c>
      <c r="F294" s="168" t="s">
        <v>235</v>
      </c>
      <c r="G294" s="137">
        <v>9.88215639</v>
      </c>
      <c r="H294" s="137">
        <v>0.14518716</v>
      </c>
      <c r="I294" s="137">
        <v>6.28338239</v>
      </c>
      <c r="J294" s="120">
        <f t="shared" si="1"/>
        <v>68.06494727</v>
      </c>
      <c r="K294" s="121">
        <v>-0.15</v>
      </c>
      <c r="L294" s="121">
        <v>-0.759</v>
      </c>
      <c r="M294" s="122">
        <f>K294-L294</f>
        <v>0.609</v>
      </c>
      <c r="N294" s="120">
        <v>47.5</v>
      </c>
      <c r="O294" s="120">
        <v>10.317540870279146</v>
      </c>
      <c r="P294" s="123">
        <v>9.04723492078951</v>
      </c>
      <c r="Q294" s="120">
        <v>0.7</v>
      </c>
      <c r="R294" s="120">
        <v>0.8768790000000003</v>
      </c>
      <c r="S294" s="15"/>
      <c r="T294" s="161"/>
      <c r="AA294" s="15"/>
      <c r="AB294" s="15"/>
      <c r="AC294" s="15"/>
      <c r="AD294" s="15"/>
      <c r="AE294" s="15"/>
    </row>
    <row r="295" ht="15.0" customHeight="1">
      <c r="A295" s="134" t="s">
        <v>238</v>
      </c>
      <c r="B295" s="135" t="s">
        <v>239</v>
      </c>
      <c r="C295" s="135" t="s">
        <v>5</v>
      </c>
      <c r="D295" s="135" t="s">
        <v>240</v>
      </c>
      <c r="E295" s="8">
        <v>6.0</v>
      </c>
      <c r="F295" s="168" t="s">
        <v>235</v>
      </c>
      <c r="G295" s="137">
        <v>8.58016138</v>
      </c>
      <c r="H295" s="137">
        <v>0.1023457</v>
      </c>
      <c r="I295" s="137">
        <v>3.13310825</v>
      </c>
      <c r="J295" s="120">
        <f t="shared" si="1"/>
        <v>83.835094</v>
      </c>
      <c r="K295" s="121"/>
      <c r="L295" s="121">
        <v>-0.73</v>
      </c>
      <c r="M295" s="122"/>
      <c r="N295" s="120">
        <v>20.3</v>
      </c>
      <c r="O295" s="120">
        <v>5.845351212686566</v>
      </c>
      <c r="P295" s="123">
        <v>5.894515584933792</v>
      </c>
      <c r="Q295" s="120">
        <v>0.0</v>
      </c>
      <c r="R295" s="120">
        <v>1.0084108500000002</v>
      </c>
      <c r="S295" s="15"/>
      <c r="T295" s="161"/>
      <c r="AA295" s="15"/>
      <c r="AB295" s="15"/>
      <c r="AC295" s="15"/>
      <c r="AD295" s="15"/>
      <c r="AE295" s="15"/>
    </row>
    <row r="296" ht="15.0" customHeight="1">
      <c r="A296" s="134" t="s">
        <v>244</v>
      </c>
      <c r="B296" s="3" t="s">
        <v>239</v>
      </c>
      <c r="C296" s="3" t="s">
        <v>30</v>
      </c>
      <c r="D296" s="135" t="s">
        <v>240</v>
      </c>
      <c r="E296" s="8">
        <v>1.0</v>
      </c>
      <c r="F296" s="168" t="s">
        <v>235</v>
      </c>
      <c r="G296" s="137">
        <v>13.7054388</v>
      </c>
      <c r="H296" s="137">
        <v>0.29875014</v>
      </c>
      <c r="I296" s="137">
        <v>7.43254797</v>
      </c>
      <c r="J296" s="120">
        <f t="shared" si="1"/>
        <v>45.87592428</v>
      </c>
      <c r="K296" s="121">
        <v>-0.192</v>
      </c>
      <c r="L296" s="121">
        <v>-0.601</v>
      </c>
      <c r="M296" s="122">
        <f t="shared" ref="M296:M298" si="3">K296-L296</f>
        <v>0.409</v>
      </c>
      <c r="N296" s="120">
        <v>49.0</v>
      </c>
      <c r="O296" s="120">
        <v>18.17248892420538</v>
      </c>
      <c r="P296" s="123">
        <v>14.872735654343739</v>
      </c>
      <c r="Q296" s="120">
        <v>1.9</v>
      </c>
      <c r="R296" s="120">
        <v>0.8184204000000002</v>
      </c>
      <c r="S296" s="15"/>
      <c r="T296" s="161"/>
      <c r="AA296" s="15"/>
      <c r="AB296" s="15"/>
      <c r="AC296" s="15"/>
      <c r="AD296" s="15"/>
      <c r="AE296" s="15"/>
    </row>
    <row r="297" ht="15.0" customHeight="1">
      <c r="A297" s="134" t="s">
        <v>244</v>
      </c>
      <c r="B297" s="3" t="s">
        <v>239</v>
      </c>
      <c r="C297" s="3" t="s">
        <v>30</v>
      </c>
      <c r="D297" s="135" t="s">
        <v>240</v>
      </c>
      <c r="E297" s="8">
        <v>2.0</v>
      </c>
      <c r="F297" s="168" t="s">
        <v>235</v>
      </c>
      <c r="G297" s="137">
        <v>12.3931168</v>
      </c>
      <c r="H297" s="137">
        <v>0.2323288</v>
      </c>
      <c r="I297" s="137">
        <v>7.10185385</v>
      </c>
      <c r="J297" s="120">
        <f t="shared" si="1"/>
        <v>53.34300698</v>
      </c>
      <c r="K297" s="121">
        <v>-0.084</v>
      </c>
      <c r="L297" s="121">
        <v>-0.693</v>
      </c>
      <c r="M297" s="122">
        <f t="shared" si="3"/>
        <v>0.609</v>
      </c>
      <c r="N297" s="120">
        <v>42.4</v>
      </c>
      <c r="O297" s="120">
        <v>11.661500574712644</v>
      </c>
      <c r="P297" s="123">
        <v>11.759583706821468</v>
      </c>
      <c r="Q297" s="120">
        <v>0.2</v>
      </c>
      <c r="R297" s="120">
        <v>1.0084108500000002</v>
      </c>
      <c r="S297" s="15"/>
      <c r="T297" s="161"/>
      <c r="AA297" s="15"/>
      <c r="AB297" s="15"/>
      <c r="AC297" s="15"/>
      <c r="AD297" s="15"/>
      <c r="AE297" s="15"/>
    </row>
    <row r="298" ht="15.0" customHeight="1">
      <c r="A298" s="134" t="s">
        <v>244</v>
      </c>
      <c r="B298" s="3" t="s">
        <v>239</v>
      </c>
      <c r="C298" s="3" t="s">
        <v>30</v>
      </c>
      <c r="D298" s="135" t="s">
        <v>240</v>
      </c>
      <c r="E298" s="8">
        <v>3.0</v>
      </c>
      <c r="F298" s="168" t="s">
        <v>235</v>
      </c>
      <c r="G298" s="137">
        <v>14.5822714</v>
      </c>
      <c r="H298" s="137">
        <v>0.19046194</v>
      </c>
      <c r="I298" s="137">
        <v>7.43786465</v>
      </c>
      <c r="J298" s="120">
        <f t="shared" si="1"/>
        <v>76.56265288</v>
      </c>
      <c r="K298" s="121">
        <v>-0.1</v>
      </c>
      <c r="L298" s="121">
        <v>-0.64</v>
      </c>
      <c r="M298" s="122">
        <f t="shared" si="3"/>
        <v>0.54</v>
      </c>
      <c r="N298" s="120">
        <v>38.3</v>
      </c>
      <c r="O298" s="120">
        <v>13.773823425925924</v>
      </c>
      <c r="P298" s="123">
        <v>13.084474554561044</v>
      </c>
      <c r="Q298" s="120">
        <v>0.0</v>
      </c>
      <c r="R298" s="120">
        <v>0.9499522500000003</v>
      </c>
      <c r="S298" s="15"/>
      <c r="T298" s="161"/>
      <c r="AA298" s="15"/>
      <c r="AB298" s="15"/>
      <c r="AC298" s="15"/>
      <c r="AD298" s="15"/>
      <c r="AE298" s="15"/>
    </row>
    <row r="299" ht="15.0" customHeight="1">
      <c r="A299" s="134" t="s">
        <v>244</v>
      </c>
      <c r="B299" s="3" t="s">
        <v>239</v>
      </c>
      <c r="C299" s="3" t="s">
        <v>30</v>
      </c>
      <c r="D299" s="135" t="s">
        <v>240</v>
      </c>
      <c r="E299" s="8">
        <v>4.0</v>
      </c>
      <c r="F299" s="168" t="s">
        <v>235</v>
      </c>
      <c r="G299" s="137">
        <v>13.6084163</v>
      </c>
      <c r="H299" s="137">
        <v>0.23435881</v>
      </c>
      <c r="I299" s="137">
        <v>4.79953264</v>
      </c>
      <c r="J299" s="120">
        <f t="shared" si="1"/>
        <v>58.0665873</v>
      </c>
      <c r="K299" s="121"/>
      <c r="L299" s="121">
        <v>-0.65</v>
      </c>
      <c r="M299" s="122"/>
      <c r="N299" s="120">
        <v>50.7</v>
      </c>
      <c r="O299" s="120">
        <v>8.974611791544344</v>
      </c>
      <c r="P299" s="123">
        <v>7.476725409516657</v>
      </c>
      <c r="Q299" s="120">
        <v>0.4</v>
      </c>
      <c r="R299" s="120">
        <v>0.8330350500000002</v>
      </c>
      <c r="S299" s="15"/>
      <c r="T299" s="161"/>
      <c r="AA299" s="15"/>
      <c r="AB299" s="15"/>
      <c r="AC299" s="15"/>
      <c r="AD299" s="15"/>
      <c r="AE299" s="15"/>
    </row>
    <row r="300" ht="15.0" customHeight="1">
      <c r="A300" s="134" t="s">
        <v>244</v>
      </c>
      <c r="B300" s="3" t="s">
        <v>239</v>
      </c>
      <c r="C300" s="3" t="s">
        <v>30</v>
      </c>
      <c r="D300" s="135" t="s">
        <v>240</v>
      </c>
      <c r="E300" s="8">
        <v>5.0</v>
      </c>
      <c r="F300" s="168" t="s">
        <v>235</v>
      </c>
      <c r="G300" s="137">
        <v>11.4217379</v>
      </c>
      <c r="H300" s="137">
        <v>0.17987548</v>
      </c>
      <c r="I300" s="137">
        <v>7.27161701</v>
      </c>
      <c r="J300" s="120">
        <f t="shared" si="1"/>
        <v>63.49802597</v>
      </c>
      <c r="K300" s="121">
        <v>-0.175</v>
      </c>
      <c r="L300" s="121">
        <v>-0.535</v>
      </c>
      <c r="M300" s="122">
        <f>K300-L300</f>
        <v>0.36</v>
      </c>
      <c r="N300" s="120">
        <v>43.1</v>
      </c>
      <c r="O300" s="120">
        <v>20.198936138888886</v>
      </c>
      <c r="P300" s="123">
        <v>20.959227124997085</v>
      </c>
      <c r="Q300" s="120">
        <v>0.3</v>
      </c>
      <c r="R300" s="120">
        <v>1.03764015</v>
      </c>
      <c r="S300" s="15"/>
      <c r="T300" s="161"/>
      <c r="AA300" s="15"/>
      <c r="AB300" s="15"/>
      <c r="AC300" s="15"/>
      <c r="AD300" s="15"/>
      <c r="AE300" s="15"/>
    </row>
    <row r="301" ht="15.0" customHeight="1">
      <c r="A301" s="134" t="s">
        <v>244</v>
      </c>
      <c r="B301" s="3" t="s">
        <v>239</v>
      </c>
      <c r="C301" s="3" t="s">
        <v>30</v>
      </c>
      <c r="D301" s="135" t="s">
        <v>240</v>
      </c>
      <c r="E301" s="8">
        <v>6.0</v>
      </c>
      <c r="F301" s="168" t="s">
        <v>235</v>
      </c>
      <c r="G301" s="137">
        <v>15.0963683</v>
      </c>
      <c r="H301" s="137">
        <v>0.24305539</v>
      </c>
      <c r="I301" s="137">
        <v>5.54438163</v>
      </c>
      <c r="J301" s="120">
        <f t="shared" si="1"/>
        <v>62.11081474</v>
      </c>
      <c r="K301" s="121"/>
      <c r="L301" s="121">
        <v>-0.717</v>
      </c>
      <c r="M301" s="122"/>
      <c r="N301" s="120">
        <v>42.3</v>
      </c>
      <c r="O301" s="120">
        <v>9.213150152046396</v>
      </c>
      <c r="P301" s="123">
        <v>10.503161387839805</v>
      </c>
      <c r="Q301" s="120">
        <v>0.5</v>
      </c>
      <c r="R301" s="120">
        <v>1.1399427000000004</v>
      </c>
      <c r="S301" s="15"/>
      <c r="T301" s="161"/>
      <c r="AA301" s="15"/>
      <c r="AB301" s="15"/>
      <c r="AC301" s="15"/>
      <c r="AD301" s="15"/>
      <c r="AE301" s="15"/>
    </row>
    <row r="302" ht="15.0" customHeight="1">
      <c r="A302" s="134" t="s">
        <v>249</v>
      </c>
      <c r="B302" s="3" t="s">
        <v>250</v>
      </c>
      <c r="C302" s="3" t="s">
        <v>42</v>
      </c>
      <c r="D302" s="3" t="s">
        <v>251</v>
      </c>
      <c r="E302" s="8">
        <v>1.0</v>
      </c>
      <c r="F302" s="168" t="s">
        <v>235</v>
      </c>
      <c r="G302" s="137">
        <v>13.9539788</v>
      </c>
      <c r="H302" s="137">
        <v>0.2382478</v>
      </c>
      <c r="I302" s="137">
        <v>6.2041013</v>
      </c>
      <c r="J302" s="120">
        <f t="shared" si="1"/>
        <v>58.56918217</v>
      </c>
      <c r="K302" s="121">
        <v>-0.159</v>
      </c>
      <c r="L302" s="121">
        <v>-0.641</v>
      </c>
      <c r="M302" s="122">
        <f t="shared" ref="M302:M304" si="4">K302-L302</f>
        <v>0.482</v>
      </c>
      <c r="N302" s="120">
        <v>36.1</v>
      </c>
      <c r="O302" s="120">
        <v>12.871579460580913</v>
      </c>
      <c r="P302" s="123">
        <v>14.86097667232273</v>
      </c>
      <c r="Q302" s="120">
        <v>0.6</v>
      </c>
      <c r="R302" s="120">
        <v>1.1545573500000001</v>
      </c>
      <c r="S302" s="15"/>
      <c r="T302" s="161"/>
      <c r="AA302" s="15"/>
      <c r="AB302" s="15"/>
      <c r="AC302" s="15"/>
      <c r="AD302" s="15"/>
      <c r="AE302" s="15"/>
    </row>
    <row r="303" ht="15.0" customHeight="1">
      <c r="A303" s="134" t="s">
        <v>249</v>
      </c>
      <c r="B303" s="3" t="s">
        <v>250</v>
      </c>
      <c r="C303" s="3" t="s">
        <v>42</v>
      </c>
      <c r="D303" s="3" t="s">
        <v>251</v>
      </c>
      <c r="E303" s="8">
        <v>2.0</v>
      </c>
      <c r="F303" s="168" t="s">
        <v>235</v>
      </c>
      <c r="G303" s="137">
        <v>14.4288223</v>
      </c>
      <c r="H303" s="137">
        <v>0.18835928</v>
      </c>
      <c r="I303" s="137">
        <v>6.25300559</v>
      </c>
      <c r="J303" s="120">
        <f t="shared" si="1"/>
        <v>76.60266221</v>
      </c>
      <c r="K303" s="121">
        <v>-0.18</v>
      </c>
      <c r="L303" s="121">
        <v>-0.702</v>
      </c>
      <c r="M303" s="122">
        <f t="shared" si="4"/>
        <v>0.522</v>
      </c>
      <c r="N303" s="120">
        <v>48.9</v>
      </c>
      <c r="O303" s="120">
        <v>11.978937911877393</v>
      </c>
      <c r="P303" s="123">
        <v>12.25475894676733</v>
      </c>
      <c r="Q303" s="120">
        <v>0.5</v>
      </c>
      <c r="R303" s="120">
        <v>1.0230255000000004</v>
      </c>
      <c r="S303" s="15"/>
      <c r="T303" s="161"/>
      <c r="AA303" s="15"/>
      <c r="AB303" s="15"/>
      <c r="AC303" s="15"/>
      <c r="AD303" s="15"/>
      <c r="AE303" s="15"/>
    </row>
    <row r="304" ht="15.0" customHeight="1">
      <c r="A304" s="134" t="s">
        <v>249</v>
      </c>
      <c r="B304" s="3" t="s">
        <v>250</v>
      </c>
      <c r="C304" s="3" t="s">
        <v>42</v>
      </c>
      <c r="D304" s="3" t="s">
        <v>251</v>
      </c>
      <c r="E304" s="8">
        <v>3.0</v>
      </c>
      <c r="F304" s="168" t="s">
        <v>235</v>
      </c>
      <c r="G304" s="137">
        <v>9.06857187</v>
      </c>
      <c r="H304" s="137">
        <v>0.1335752</v>
      </c>
      <c r="I304" s="137">
        <v>5.56701738</v>
      </c>
      <c r="J304" s="120">
        <f t="shared" si="1"/>
        <v>67.89113451</v>
      </c>
      <c r="K304" s="121">
        <v>-0.087</v>
      </c>
      <c r="L304" s="121">
        <v>-0.67</v>
      </c>
      <c r="M304" s="122">
        <f t="shared" si="4"/>
        <v>0.583</v>
      </c>
      <c r="N304" s="120">
        <v>42.4</v>
      </c>
      <c r="O304" s="120">
        <v>9.548914888507717</v>
      </c>
      <c r="P304" s="123">
        <v>10.326999624174372</v>
      </c>
      <c r="Q304" s="120">
        <v>0.4</v>
      </c>
      <c r="R304" s="120">
        <v>1.0814841000000002</v>
      </c>
      <c r="S304" s="15"/>
      <c r="T304" s="161"/>
      <c r="AA304" s="15"/>
      <c r="AB304" s="15"/>
      <c r="AC304" s="15"/>
      <c r="AD304" s="15"/>
      <c r="AE304" s="15"/>
    </row>
    <row r="305" ht="15.0" customHeight="1">
      <c r="A305" s="134" t="s">
        <v>249</v>
      </c>
      <c r="B305" s="3" t="s">
        <v>250</v>
      </c>
      <c r="C305" s="3" t="s">
        <v>42</v>
      </c>
      <c r="D305" s="3" t="s">
        <v>251</v>
      </c>
      <c r="E305" s="8">
        <v>4.0</v>
      </c>
      <c r="F305" s="168" t="s">
        <v>235</v>
      </c>
      <c r="G305" s="137">
        <v>10.2824345</v>
      </c>
      <c r="H305" s="137">
        <v>0.19136771</v>
      </c>
      <c r="I305" s="137">
        <v>4.23695419</v>
      </c>
      <c r="J305" s="120">
        <f t="shared" si="1"/>
        <v>53.73129302</v>
      </c>
      <c r="K305" s="121"/>
      <c r="L305" s="121">
        <v>-0.546</v>
      </c>
      <c r="M305" s="122"/>
      <c r="N305" s="120">
        <v>41.7</v>
      </c>
      <c r="O305" s="120">
        <v>10.296364981773996</v>
      </c>
      <c r="P305" s="123">
        <v>10.683921704142717</v>
      </c>
      <c r="Q305" s="120">
        <v>1.0</v>
      </c>
      <c r="R305" s="120">
        <v>1.03764015</v>
      </c>
      <c r="S305" s="15"/>
      <c r="T305" s="161"/>
      <c r="AA305" s="15"/>
      <c r="AB305" s="15"/>
      <c r="AC305" s="15"/>
      <c r="AD305" s="15"/>
      <c r="AE305" s="15"/>
    </row>
    <row r="306" ht="15.0" customHeight="1">
      <c r="A306" s="134" t="s">
        <v>249</v>
      </c>
      <c r="B306" s="3" t="s">
        <v>250</v>
      </c>
      <c r="C306" s="3" t="s">
        <v>42</v>
      </c>
      <c r="D306" s="3" t="s">
        <v>251</v>
      </c>
      <c r="E306" s="8">
        <v>5.0</v>
      </c>
      <c r="F306" s="168" t="s">
        <v>235</v>
      </c>
      <c r="G306" s="137">
        <v>14.3230454</v>
      </c>
      <c r="H306" s="137">
        <v>0.20792333</v>
      </c>
      <c r="I306" s="137">
        <v>7.91030615</v>
      </c>
      <c r="J306" s="120">
        <f t="shared" si="1"/>
        <v>68.88618704</v>
      </c>
      <c r="K306" s="121">
        <v>-0.112</v>
      </c>
      <c r="L306" s="121">
        <v>-0.56</v>
      </c>
      <c r="M306" s="122">
        <f>K306-L306</f>
        <v>0.448</v>
      </c>
      <c r="N306" s="120">
        <v>41.4</v>
      </c>
      <c r="O306" s="120">
        <v>17.65693337053571</v>
      </c>
      <c r="P306" s="123">
        <v>21.160091905263386</v>
      </c>
      <c r="Q306" s="120">
        <v>0.6</v>
      </c>
      <c r="R306" s="120">
        <v>1.1984013000000002</v>
      </c>
      <c r="S306" s="15"/>
      <c r="T306" s="161"/>
      <c r="AA306" s="15"/>
      <c r="AB306" s="15"/>
      <c r="AC306" s="15"/>
      <c r="AD306" s="15"/>
      <c r="AE306" s="15"/>
    </row>
    <row r="307" ht="15.0" customHeight="1">
      <c r="A307" s="134" t="s">
        <v>249</v>
      </c>
      <c r="B307" s="3" t="s">
        <v>250</v>
      </c>
      <c r="C307" s="3" t="s">
        <v>42</v>
      </c>
      <c r="D307" s="3" t="s">
        <v>251</v>
      </c>
      <c r="E307" s="8">
        <v>6.0</v>
      </c>
      <c r="F307" s="168" t="s">
        <v>235</v>
      </c>
      <c r="G307" s="137">
        <v>9.9957758</v>
      </c>
      <c r="H307" s="137">
        <v>0.1661272</v>
      </c>
      <c r="I307" s="137">
        <v>4.42023111</v>
      </c>
      <c r="J307" s="120">
        <f t="shared" si="1"/>
        <v>60.16941115</v>
      </c>
      <c r="K307" s="121"/>
      <c r="L307" s="121">
        <v>-0.721</v>
      </c>
      <c r="M307" s="122"/>
      <c r="N307" s="120">
        <v>39.6</v>
      </c>
      <c r="O307" s="120">
        <v>7.536625933503835</v>
      </c>
      <c r="P307" s="123">
        <v>9.031902316324711</v>
      </c>
      <c r="Q307" s="120">
        <v>0.4</v>
      </c>
      <c r="R307" s="120">
        <v>1.1984013000000002</v>
      </c>
      <c r="S307" s="15"/>
      <c r="T307" s="161"/>
      <c r="AA307" s="15"/>
      <c r="AB307" s="15"/>
      <c r="AC307" s="15"/>
      <c r="AD307" s="15"/>
      <c r="AE307" s="15"/>
    </row>
    <row r="308" ht="15.0" customHeight="1">
      <c r="A308" s="134" t="s">
        <v>256</v>
      </c>
      <c r="B308" s="3" t="s">
        <v>257</v>
      </c>
      <c r="C308" s="3" t="s">
        <v>54</v>
      </c>
      <c r="D308" s="135" t="s">
        <v>240</v>
      </c>
      <c r="E308" s="8">
        <v>1.0</v>
      </c>
      <c r="F308" s="168" t="s">
        <v>235</v>
      </c>
      <c r="G308" s="137">
        <v>9.46705259</v>
      </c>
      <c r="H308" s="137">
        <v>0.14757589</v>
      </c>
      <c r="I308" s="137">
        <v>4.23236177</v>
      </c>
      <c r="J308" s="120">
        <f t="shared" si="1"/>
        <v>64.15040146</v>
      </c>
      <c r="K308" s="121">
        <v>-0.195</v>
      </c>
      <c r="L308" s="121">
        <v>-0.63</v>
      </c>
      <c r="M308" s="122">
        <f t="shared" ref="M308:M310" si="5">K308-L308</f>
        <v>0.435</v>
      </c>
      <c r="N308" s="120">
        <v>49.1</v>
      </c>
      <c r="O308" s="120">
        <v>9.729567287356321</v>
      </c>
      <c r="P308" s="123">
        <v>9.384818556706698</v>
      </c>
      <c r="Q308" s="120">
        <v>0.7</v>
      </c>
      <c r="R308" s="120">
        <v>0.9645669000000001</v>
      </c>
      <c r="S308" s="15"/>
      <c r="T308" s="161"/>
      <c r="AA308" s="15"/>
      <c r="AB308" s="15"/>
      <c r="AC308" s="15"/>
      <c r="AD308" s="15"/>
      <c r="AE308" s="15"/>
    </row>
    <row r="309" ht="15.0" customHeight="1">
      <c r="A309" s="134" t="s">
        <v>256</v>
      </c>
      <c r="B309" s="3" t="s">
        <v>257</v>
      </c>
      <c r="C309" s="3" t="s">
        <v>54</v>
      </c>
      <c r="D309" s="135" t="s">
        <v>240</v>
      </c>
      <c r="E309" s="8">
        <v>2.0</v>
      </c>
      <c r="F309" s="168" t="s">
        <v>235</v>
      </c>
      <c r="G309" s="137">
        <v>11.6634601</v>
      </c>
      <c r="H309" s="137">
        <v>0.1929898</v>
      </c>
      <c r="I309" s="137">
        <v>6.66692102</v>
      </c>
      <c r="J309" s="120">
        <f t="shared" si="1"/>
        <v>60.43562976</v>
      </c>
      <c r="K309" s="121">
        <v>-0.159</v>
      </c>
      <c r="L309" s="121">
        <v>-0.703</v>
      </c>
      <c r="M309" s="122">
        <f t="shared" si="5"/>
        <v>0.544</v>
      </c>
      <c r="N309" s="120">
        <v>45.2</v>
      </c>
      <c r="O309" s="120">
        <v>12.255369522058826</v>
      </c>
      <c r="P309" s="123">
        <v>12.000231724432323</v>
      </c>
      <c r="Q309" s="120">
        <v>0.5</v>
      </c>
      <c r="R309" s="120">
        <v>0.9791815500000003</v>
      </c>
      <c r="S309" s="15"/>
      <c r="T309" s="161"/>
      <c r="AA309" s="15"/>
      <c r="AB309" s="15"/>
      <c r="AC309" s="15"/>
      <c r="AD309" s="15"/>
      <c r="AE309" s="15"/>
    </row>
    <row r="310" ht="15.0" customHeight="1">
      <c r="A310" s="134" t="s">
        <v>256</v>
      </c>
      <c r="B310" s="3" t="s">
        <v>257</v>
      </c>
      <c r="C310" s="3" t="s">
        <v>54</v>
      </c>
      <c r="D310" s="135" t="s">
        <v>240</v>
      </c>
      <c r="E310" s="8">
        <v>3.0</v>
      </c>
      <c r="F310" s="168" t="s">
        <v>235</v>
      </c>
      <c r="G310" s="137">
        <v>11.7805238</v>
      </c>
      <c r="H310" s="137">
        <v>0.17793453</v>
      </c>
      <c r="I310" s="137">
        <v>7.03781376</v>
      </c>
      <c r="J310" s="120">
        <f t="shared" si="1"/>
        <v>66.20706953</v>
      </c>
      <c r="K310" s="121">
        <v>-0.22</v>
      </c>
      <c r="L310" s="121">
        <v>-0.642</v>
      </c>
      <c r="M310" s="122">
        <f t="shared" si="5"/>
        <v>0.422</v>
      </c>
      <c r="N310" s="120">
        <v>45.0</v>
      </c>
      <c r="O310" s="120">
        <v>16.677283791469193</v>
      </c>
      <c r="P310" s="123">
        <v>16.817553923846674</v>
      </c>
      <c r="Q310" s="120">
        <v>0.4</v>
      </c>
      <c r="R310" s="120">
        <v>1.0084108500000002</v>
      </c>
      <c r="S310" s="15"/>
      <c r="T310" s="161"/>
      <c r="AA310" s="15"/>
      <c r="AB310" s="15"/>
      <c r="AC310" s="15"/>
      <c r="AD310" s="15"/>
      <c r="AE310" s="15"/>
    </row>
    <row r="311" ht="15.0" customHeight="1">
      <c r="A311" s="134" t="s">
        <v>256</v>
      </c>
      <c r="B311" s="3" t="s">
        <v>257</v>
      </c>
      <c r="C311" s="3" t="s">
        <v>54</v>
      </c>
      <c r="D311" s="135" t="s">
        <v>240</v>
      </c>
      <c r="E311" s="8">
        <v>4.0</v>
      </c>
      <c r="F311" s="168" t="s">
        <v>235</v>
      </c>
      <c r="G311" s="137">
        <v>9.37587635</v>
      </c>
      <c r="H311" s="137">
        <v>0.14803186</v>
      </c>
      <c r="I311" s="137">
        <v>4.17369065</v>
      </c>
      <c r="J311" s="120">
        <f t="shared" si="1"/>
        <v>63.33688133</v>
      </c>
      <c r="K311" s="121"/>
      <c r="L311" s="121">
        <v>-0.51</v>
      </c>
      <c r="M311" s="122"/>
      <c r="N311" s="120">
        <v>41.9</v>
      </c>
      <c r="O311" s="120">
        <v>12.69370635644769</v>
      </c>
      <c r="P311" s="123">
        <v>11.87290083854453</v>
      </c>
      <c r="Q311" s="120">
        <v>0.2</v>
      </c>
      <c r="R311" s="120">
        <v>0.9353376000000002</v>
      </c>
      <c r="S311" s="15"/>
      <c r="T311" s="161"/>
      <c r="AA311" s="15"/>
      <c r="AB311" s="15"/>
      <c r="AC311" s="15"/>
      <c r="AD311" s="15"/>
      <c r="AE311" s="15"/>
    </row>
    <row r="312" ht="15.0" customHeight="1">
      <c r="A312" s="134" t="s">
        <v>256</v>
      </c>
      <c r="B312" s="3" t="s">
        <v>257</v>
      </c>
      <c r="C312" s="3" t="s">
        <v>54</v>
      </c>
      <c r="D312" s="135" t="s">
        <v>240</v>
      </c>
      <c r="E312" s="8">
        <v>5.0</v>
      </c>
      <c r="F312" s="168" t="s">
        <v>235</v>
      </c>
      <c r="G312" s="137">
        <v>13.3526695</v>
      </c>
      <c r="H312" s="137">
        <v>0.18622471</v>
      </c>
      <c r="I312" s="137">
        <v>7.66241428</v>
      </c>
      <c r="J312" s="120">
        <f t="shared" si="1"/>
        <v>71.7019213</v>
      </c>
      <c r="K312" s="121">
        <v>-0.151</v>
      </c>
      <c r="L312" s="121">
        <v>-0.71</v>
      </c>
      <c r="M312" s="122">
        <f>K312-L312</f>
        <v>0.559</v>
      </c>
      <c r="N312" s="120">
        <v>47.4</v>
      </c>
      <c r="O312" s="120">
        <v>13.707360071556351</v>
      </c>
      <c r="P312" s="123">
        <v>14.022978890883978</v>
      </c>
      <c r="Q312" s="120">
        <v>0.3</v>
      </c>
      <c r="R312" s="120">
        <v>1.0230255000000004</v>
      </c>
      <c r="S312" s="15"/>
      <c r="T312" s="161"/>
      <c r="AA312" s="15"/>
      <c r="AB312" s="15"/>
      <c r="AC312" s="15"/>
      <c r="AD312" s="15"/>
      <c r="AE312" s="15"/>
    </row>
    <row r="313" ht="15.0" customHeight="1">
      <c r="A313" s="134" t="s">
        <v>256</v>
      </c>
      <c r="B313" s="3" t="s">
        <v>257</v>
      </c>
      <c r="C313" s="3" t="s">
        <v>54</v>
      </c>
      <c r="D313" s="135" t="s">
        <v>240</v>
      </c>
      <c r="E313" s="8">
        <v>6.0</v>
      </c>
      <c r="F313" s="168" t="s">
        <v>235</v>
      </c>
      <c r="G313" s="137">
        <v>10.8456303</v>
      </c>
      <c r="H313" s="137">
        <v>0.18414723</v>
      </c>
      <c r="I313" s="137">
        <v>4.98743059</v>
      </c>
      <c r="J313" s="120">
        <f t="shared" si="1"/>
        <v>58.89651612</v>
      </c>
      <c r="K313" s="121"/>
      <c r="L313" s="121">
        <v>-0.551</v>
      </c>
      <c r="M313" s="122"/>
      <c r="N313" s="120">
        <v>48.9</v>
      </c>
      <c r="O313" s="120">
        <v>13.486832314764737</v>
      </c>
      <c r="P313" s="123">
        <v>14.585794707784261</v>
      </c>
      <c r="Q313" s="120">
        <v>0.9</v>
      </c>
      <c r="R313" s="120">
        <v>1.0814841000000002</v>
      </c>
      <c r="S313" s="15"/>
      <c r="T313" s="161"/>
      <c r="AA313" s="15"/>
      <c r="AB313" s="15"/>
      <c r="AC313" s="15"/>
      <c r="AD313" s="15"/>
      <c r="AE313" s="15"/>
    </row>
    <row r="314" ht="15.0" customHeight="1">
      <c r="A314" s="134" t="s">
        <v>249</v>
      </c>
      <c r="B314" s="3" t="s">
        <v>258</v>
      </c>
      <c r="C314" s="3" t="s">
        <v>65</v>
      </c>
      <c r="D314" s="3" t="s">
        <v>251</v>
      </c>
      <c r="E314" s="8">
        <v>1.0</v>
      </c>
      <c r="F314" s="168" t="s">
        <v>235</v>
      </c>
      <c r="G314" s="137">
        <v>14.8483911</v>
      </c>
      <c r="H314" s="137">
        <v>0.26684942</v>
      </c>
      <c r="I314" s="137">
        <v>6.41604631</v>
      </c>
      <c r="J314" s="120">
        <f t="shared" si="1"/>
        <v>55.64333286</v>
      </c>
      <c r="K314" s="121">
        <v>-0.187</v>
      </c>
      <c r="L314" s="121">
        <v>-0.62</v>
      </c>
      <c r="M314" s="122">
        <f t="shared" ref="M314:M316" si="6">K314-L314</f>
        <v>0.433</v>
      </c>
      <c r="N314" s="120">
        <v>48.3</v>
      </c>
      <c r="O314" s="120">
        <v>14.817658914549654</v>
      </c>
      <c r="P314" s="123">
        <v>16.891282110730806</v>
      </c>
      <c r="Q314" s="120">
        <v>0.7</v>
      </c>
      <c r="R314" s="120">
        <v>1.1399427000000004</v>
      </c>
      <c r="S314" s="15"/>
      <c r="T314" s="161"/>
      <c r="AA314" s="15"/>
      <c r="AB314" s="15"/>
      <c r="AC314" s="15"/>
      <c r="AD314" s="15"/>
      <c r="AE314" s="15"/>
    </row>
    <row r="315" ht="15.0" customHeight="1">
      <c r="A315" s="134" t="s">
        <v>249</v>
      </c>
      <c r="B315" s="3" t="s">
        <v>258</v>
      </c>
      <c r="C315" s="3" t="s">
        <v>65</v>
      </c>
      <c r="D315" s="3" t="s">
        <v>251</v>
      </c>
      <c r="E315" s="8">
        <v>2.0</v>
      </c>
      <c r="F315" s="168" t="s">
        <v>235</v>
      </c>
      <c r="G315" s="137">
        <v>11.6163766</v>
      </c>
      <c r="H315" s="137">
        <v>0.18095774</v>
      </c>
      <c r="I315" s="137">
        <v>6.18239631</v>
      </c>
      <c r="J315" s="120">
        <f t="shared" si="1"/>
        <v>64.19386427</v>
      </c>
      <c r="K315" s="121">
        <v>-0.0094</v>
      </c>
      <c r="L315" s="121">
        <v>-0.674</v>
      </c>
      <c r="M315" s="122">
        <f t="shared" si="6"/>
        <v>0.6646</v>
      </c>
      <c r="N315" s="120">
        <v>44.7</v>
      </c>
      <c r="O315" s="120">
        <v>9.30243200421306</v>
      </c>
      <c r="P315" s="123">
        <v>8.972818000764578</v>
      </c>
      <c r="Q315" s="120">
        <v>0.3</v>
      </c>
      <c r="R315" s="120">
        <v>0.9645669000000001</v>
      </c>
      <c r="S315" s="15"/>
      <c r="T315" s="161"/>
      <c r="AA315" s="15"/>
      <c r="AB315" s="15"/>
      <c r="AC315" s="15"/>
      <c r="AD315" s="15"/>
      <c r="AE315" s="15"/>
    </row>
    <row r="316" ht="15.0" customHeight="1">
      <c r="A316" s="134" t="s">
        <v>249</v>
      </c>
      <c r="B316" s="3" t="s">
        <v>258</v>
      </c>
      <c r="C316" s="3" t="s">
        <v>65</v>
      </c>
      <c r="D316" s="3" t="s">
        <v>251</v>
      </c>
      <c r="E316" s="8">
        <v>3.0</v>
      </c>
      <c r="F316" s="168" t="s">
        <v>235</v>
      </c>
      <c r="G316" s="137">
        <v>13.2807943</v>
      </c>
      <c r="H316" s="137">
        <v>0.19845169</v>
      </c>
      <c r="I316" s="137">
        <v>7.42509408</v>
      </c>
      <c r="J316" s="120">
        <f t="shared" si="1"/>
        <v>66.92205191</v>
      </c>
      <c r="K316" s="121">
        <v>-0.17</v>
      </c>
      <c r="L316" s="121">
        <v>-0.653</v>
      </c>
      <c r="M316" s="122">
        <f t="shared" si="6"/>
        <v>0.483</v>
      </c>
      <c r="N316" s="120">
        <v>48.4</v>
      </c>
      <c r="O316" s="120">
        <v>15.372865590062112</v>
      </c>
      <c r="P316" s="123">
        <v>19.32153830823891</v>
      </c>
      <c r="Q316" s="120">
        <v>0.7</v>
      </c>
      <c r="R316" s="120">
        <v>1.2568599000000003</v>
      </c>
      <c r="S316" s="15"/>
      <c r="T316" s="161"/>
      <c r="AA316" s="15"/>
      <c r="AB316" s="15"/>
      <c r="AC316" s="15"/>
      <c r="AD316" s="15"/>
      <c r="AE316" s="15"/>
    </row>
    <row r="317" ht="15.0" customHeight="1">
      <c r="A317" s="134" t="s">
        <v>249</v>
      </c>
      <c r="B317" s="3" t="s">
        <v>258</v>
      </c>
      <c r="C317" s="3" t="s">
        <v>65</v>
      </c>
      <c r="D317" s="3" t="s">
        <v>251</v>
      </c>
      <c r="E317" s="8">
        <v>4.0</v>
      </c>
      <c r="F317" s="168" t="s">
        <v>235</v>
      </c>
      <c r="G317" s="137">
        <v>10.9276665</v>
      </c>
      <c r="H317" s="137">
        <v>0.15949</v>
      </c>
      <c r="I317" s="137">
        <v>4.11155202</v>
      </c>
      <c r="J317" s="120">
        <f t="shared" si="1"/>
        <v>68.51631137</v>
      </c>
      <c r="K317" s="121"/>
      <c r="L317" s="121">
        <v>-0.622</v>
      </c>
      <c r="M317" s="122"/>
      <c r="N317" s="120">
        <v>38.1</v>
      </c>
      <c r="O317" s="120">
        <v>7.751794909502263</v>
      </c>
      <c r="P317" s="123">
        <v>8.72331224951011</v>
      </c>
      <c r="Q317" s="120">
        <v>0.9</v>
      </c>
      <c r="R317" s="120">
        <v>1.1253280500000002</v>
      </c>
      <c r="S317" s="15"/>
      <c r="T317" s="161"/>
      <c r="AA317" s="15"/>
      <c r="AB317" s="15"/>
      <c r="AC317" s="15"/>
      <c r="AD317" s="15"/>
      <c r="AE317" s="15"/>
    </row>
    <row r="318" ht="15.0" customHeight="1">
      <c r="A318" s="134" t="s">
        <v>249</v>
      </c>
      <c r="B318" s="3" t="s">
        <v>258</v>
      </c>
      <c r="C318" s="3" t="s">
        <v>65</v>
      </c>
      <c r="D318" s="3" t="s">
        <v>251</v>
      </c>
      <c r="E318" s="8">
        <v>5.0</v>
      </c>
      <c r="F318" s="168" t="s">
        <v>235</v>
      </c>
      <c r="G318" s="137">
        <v>10.6111089</v>
      </c>
      <c r="H318" s="137">
        <v>0.18559854</v>
      </c>
      <c r="I318" s="137">
        <v>7.39387296</v>
      </c>
      <c r="J318" s="120">
        <f t="shared" si="1"/>
        <v>57.17237269</v>
      </c>
      <c r="K318" s="121">
        <v>-0.165</v>
      </c>
      <c r="L318" s="121">
        <v>-0.522</v>
      </c>
      <c r="M318" s="122">
        <f>K318-L318</f>
        <v>0.357</v>
      </c>
      <c r="N318" s="120">
        <v>44.2</v>
      </c>
      <c r="O318" s="120">
        <v>20.711128739495802</v>
      </c>
      <c r="P318" s="123">
        <v>22.70144232245043</v>
      </c>
      <c r="Q318" s="120">
        <v>0.9</v>
      </c>
      <c r="R318" s="120">
        <v>1.0960987500000003</v>
      </c>
      <c r="S318" s="15"/>
      <c r="T318" s="161"/>
      <c r="AA318" s="15"/>
      <c r="AB318" s="15"/>
      <c r="AC318" s="15"/>
      <c r="AD318" s="15"/>
      <c r="AE318" s="15"/>
    </row>
    <row r="319" ht="15.0" customHeight="1">
      <c r="A319" s="134" t="s">
        <v>249</v>
      </c>
      <c r="B319" s="3" t="s">
        <v>258</v>
      </c>
      <c r="C319" s="3" t="s">
        <v>65</v>
      </c>
      <c r="D319" s="3" t="s">
        <v>251</v>
      </c>
      <c r="E319" s="8">
        <v>6.0</v>
      </c>
      <c r="F319" s="168" t="s">
        <v>235</v>
      </c>
      <c r="G319" s="137">
        <v>16.9747784</v>
      </c>
      <c r="H319" s="137">
        <v>0.26213945</v>
      </c>
      <c r="I319" s="137">
        <v>6.33234206</v>
      </c>
      <c r="J319" s="120">
        <f t="shared" si="1"/>
        <v>64.75476469</v>
      </c>
      <c r="K319" s="121"/>
      <c r="L319" s="121">
        <v>-0.68</v>
      </c>
      <c r="M319" s="122"/>
      <c r="N319" s="120">
        <v>41.2</v>
      </c>
      <c r="O319" s="120">
        <v>10.761968150917744</v>
      </c>
      <c r="P319" s="123">
        <v>13.21172141829204</v>
      </c>
      <c r="Q319" s="120">
        <v>0.4</v>
      </c>
      <c r="R319" s="120">
        <v>1.2276306000000001</v>
      </c>
      <c r="S319" s="15"/>
      <c r="T319" s="161"/>
      <c r="AA319" s="15"/>
      <c r="AB319" s="15"/>
      <c r="AC319" s="15"/>
      <c r="AD319" s="15"/>
      <c r="AE319" s="15"/>
    </row>
    <row r="320" ht="15.0" customHeight="1">
      <c r="A320" s="134" t="s">
        <v>256</v>
      </c>
      <c r="B320" s="3" t="s">
        <v>239</v>
      </c>
      <c r="C320" s="3" t="s">
        <v>73</v>
      </c>
      <c r="D320" s="135" t="s">
        <v>240</v>
      </c>
      <c r="E320" s="8">
        <v>1.0</v>
      </c>
      <c r="F320" s="168" t="s">
        <v>235</v>
      </c>
      <c r="G320" s="137">
        <v>13.3425853</v>
      </c>
      <c r="H320" s="137">
        <v>0.19043164</v>
      </c>
      <c r="I320" s="137">
        <v>5.75035241</v>
      </c>
      <c r="J320" s="120">
        <f t="shared" si="1"/>
        <v>70.06496032</v>
      </c>
      <c r="K320" s="121">
        <v>-0.12</v>
      </c>
      <c r="L320" s="121">
        <v>-0.57</v>
      </c>
      <c r="M320" s="122">
        <f t="shared" ref="M320:M322" si="7">K320-L320</f>
        <v>0.45</v>
      </c>
      <c r="N320" s="120">
        <v>36.3</v>
      </c>
      <c r="O320" s="120">
        <v>12.77856091111111</v>
      </c>
      <c r="P320" s="123">
        <v>13.259547860589473</v>
      </c>
      <c r="Q320" s="120">
        <v>0.9</v>
      </c>
      <c r="R320" s="120">
        <v>1.03764015</v>
      </c>
      <c r="S320" s="15"/>
      <c r="T320" s="161"/>
      <c r="AA320" s="15"/>
      <c r="AB320" s="15"/>
      <c r="AC320" s="15"/>
      <c r="AD320" s="15"/>
      <c r="AE320" s="15"/>
    </row>
    <row r="321" ht="15.0" customHeight="1">
      <c r="A321" s="134" t="s">
        <v>256</v>
      </c>
      <c r="B321" s="3" t="s">
        <v>239</v>
      </c>
      <c r="C321" s="3" t="s">
        <v>73</v>
      </c>
      <c r="D321" s="135" t="s">
        <v>240</v>
      </c>
      <c r="E321" s="8">
        <v>2.0</v>
      </c>
      <c r="F321" s="168" t="s">
        <v>235</v>
      </c>
      <c r="G321" s="137">
        <v>10.7291814</v>
      </c>
      <c r="H321" s="137">
        <v>0.15443055</v>
      </c>
      <c r="I321" s="137">
        <v>5.68505166</v>
      </c>
      <c r="J321" s="120">
        <f t="shared" si="1"/>
        <v>69.47577018</v>
      </c>
      <c r="K321" s="121">
        <v>-0.201</v>
      </c>
      <c r="L321" s="121">
        <v>-0.64</v>
      </c>
      <c r="M321" s="122">
        <f t="shared" si="7"/>
        <v>0.439</v>
      </c>
      <c r="N321" s="120">
        <v>35.2</v>
      </c>
      <c r="O321" s="120">
        <v>12.950003781321184</v>
      </c>
      <c r="P321" s="123">
        <v>14.573002502726798</v>
      </c>
      <c r="Q321" s="120">
        <v>0.6</v>
      </c>
      <c r="R321" s="120">
        <v>1.1253280500000002</v>
      </c>
      <c r="S321" s="15"/>
      <c r="T321" s="161"/>
      <c r="AA321" s="15"/>
      <c r="AB321" s="15"/>
      <c r="AC321" s="15"/>
      <c r="AD321" s="15"/>
      <c r="AE321" s="15"/>
    </row>
    <row r="322" ht="15.0" customHeight="1">
      <c r="A322" s="134" t="s">
        <v>256</v>
      </c>
      <c r="B322" s="3" t="s">
        <v>239</v>
      </c>
      <c r="C322" s="3" t="s">
        <v>73</v>
      </c>
      <c r="D322" s="135" t="s">
        <v>240</v>
      </c>
      <c r="E322" s="8">
        <v>3.0</v>
      </c>
      <c r="F322" s="168" t="s">
        <v>235</v>
      </c>
      <c r="G322" s="137">
        <v>15.0110647</v>
      </c>
      <c r="H322" s="137">
        <v>0.21616394</v>
      </c>
      <c r="I322" s="137">
        <v>8.16819112</v>
      </c>
      <c r="J322" s="120">
        <f t="shared" si="1"/>
        <v>69.44296398</v>
      </c>
      <c r="K322" s="121">
        <v>-0.134</v>
      </c>
      <c r="L322" s="121">
        <v>-0.666</v>
      </c>
      <c r="M322" s="122">
        <f t="shared" si="7"/>
        <v>0.532</v>
      </c>
      <c r="N322" s="120">
        <v>40.0</v>
      </c>
      <c r="O322" s="120">
        <v>15.353742706766916</v>
      </c>
      <c r="P322" s="123">
        <v>15.931659885311031</v>
      </c>
      <c r="Q322" s="120">
        <v>0.5</v>
      </c>
      <c r="R322" s="120">
        <v>1.03764015</v>
      </c>
      <c r="S322" s="15"/>
      <c r="T322" s="161"/>
      <c r="AA322" s="15"/>
      <c r="AB322" s="15"/>
      <c r="AC322" s="15"/>
      <c r="AD322" s="15"/>
      <c r="AE322" s="15"/>
    </row>
    <row r="323" ht="15.0" customHeight="1">
      <c r="A323" s="134" t="s">
        <v>256</v>
      </c>
      <c r="B323" s="3" t="s">
        <v>239</v>
      </c>
      <c r="C323" s="3" t="s">
        <v>73</v>
      </c>
      <c r="D323" s="135" t="s">
        <v>240</v>
      </c>
      <c r="E323" s="8">
        <v>4.0</v>
      </c>
      <c r="F323" s="168" t="s">
        <v>235</v>
      </c>
      <c r="G323" s="137">
        <v>10.0508278</v>
      </c>
      <c r="H323" s="137">
        <v>0.14986621</v>
      </c>
      <c r="I323" s="137">
        <v>4.01230981</v>
      </c>
      <c r="J323" s="120">
        <f t="shared" si="1"/>
        <v>67.06533648</v>
      </c>
      <c r="K323" s="121"/>
      <c r="L323" s="121">
        <v>-0.658</v>
      </c>
      <c r="M323" s="122"/>
      <c r="N323" s="120">
        <v>40.3</v>
      </c>
      <c r="O323" s="120">
        <v>8.077120905888272</v>
      </c>
      <c r="P323" s="123">
        <v>7.6728791780706045</v>
      </c>
      <c r="Q323" s="120">
        <v>0.4</v>
      </c>
      <c r="R323" s="120">
        <v>0.9499522500000003</v>
      </c>
      <c r="S323" s="15"/>
      <c r="T323" s="161"/>
      <c r="AA323" s="15"/>
      <c r="AB323" s="15"/>
      <c r="AC323" s="15"/>
      <c r="AD323" s="15"/>
      <c r="AE323" s="15"/>
    </row>
    <row r="324" ht="15.0" customHeight="1">
      <c r="A324" s="134" t="s">
        <v>256</v>
      </c>
      <c r="B324" s="3" t="s">
        <v>239</v>
      </c>
      <c r="C324" s="3" t="s">
        <v>73</v>
      </c>
      <c r="D324" s="135" t="s">
        <v>240</v>
      </c>
      <c r="E324" s="8">
        <v>5.0</v>
      </c>
      <c r="F324" s="168" t="s">
        <v>235</v>
      </c>
      <c r="G324" s="137">
        <v>15.3246773</v>
      </c>
      <c r="H324" s="137">
        <v>0.22740033</v>
      </c>
      <c r="I324" s="137">
        <v>8.39412337</v>
      </c>
      <c r="J324" s="120">
        <f t="shared" si="1"/>
        <v>67.39074345</v>
      </c>
      <c r="K324" s="121">
        <v>-0.19</v>
      </c>
      <c r="L324" s="121">
        <v>-0.637</v>
      </c>
      <c r="M324" s="122">
        <f>K324-L324</f>
        <v>0.447</v>
      </c>
      <c r="N324" s="120">
        <v>46.1</v>
      </c>
      <c r="O324" s="120">
        <v>18.778799485458613</v>
      </c>
      <c r="P324" s="123">
        <v>18.387853987310574</v>
      </c>
      <c r="Q324" s="120">
        <v>0.0</v>
      </c>
      <c r="R324" s="120">
        <v>0.9791815500000003</v>
      </c>
      <c r="S324" s="15"/>
      <c r="T324" s="161"/>
      <c r="AA324" s="15"/>
      <c r="AB324" s="15"/>
      <c r="AC324" s="15"/>
      <c r="AD324" s="15"/>
      <c r="AE324" s="15"/>
    </row>
    <row r="325" ht="15.0" customHeight="1">
      <c r="A325" s="134" t="s">
        <v>256</v>
      </c>
      <c r="B325" s="3" t="s">
        <v>239</v>
      </c>
      <c r="C325" s="3" t="s">
        <v>73</v>
      </c>
      <c r="D325" s="135" t="s">
        <v>240</v>
      </c>
      <c r="E325" s="8">
        <v>6.0</v>
      </c>
      <c r="F325" s="168" t="s">
        <v>235</v>
      </c>
      <c r="G325" s="137">
        <v>13.5032143</v>
      </c>
      <c r="H325" s="137">
        <v>0.20159196</v>
      </c>
      <c r="I325" s="137">
        <v>5.61229126</v>
      </c>
      <c r="J325" s="120">
        <f t="shared" si="1"/>
        <v>66.982901</v>
      </c>
      <c r="K325" s="121"/>
      <c r="L325" s="121">
        <v>-0.653</v>
      </c>
      <c r="M325" s="122"/>
      <c r="N325" s="120">
        <v>46.2</v>
      </c>
      <c r="O325" s="120">
        <v>11.412895292323334</v>
      </c>
      <c r="P325" s="123">
        <v>13.176842144532307</v>
      </c>
      <c r="Q325" s="120">
        <v>0.2</v>
      </c>
      <c r="R325" s="120">
        <v>1.1545573500000001</v>
      </c>
      <c r="S325" s="15"/>
      <c r="T325" s="161"/>
      <c r="AA325" s="15"/>
      <c r="AB325" s="15"/>
      <c r="AC325" s="15"/>
      <c r="AD325" s="15"/>
      <c r="AE325" s="15"/>
    </row>
    <row r="326" ht="15.0" customHeight="1">
      <c r="A326" s="134" t="s">
        <v>244</v>
      </c>
      <c r="B326" s="3" t="s">
        <v>258</v>
      </c>
      <c r="C326" s="3" t="s">
        <v>80</v>
      </c>
      <c r="D326" s="3" t="s">
        <v>251</v>
      </c>
      <c r="E326" s="8">
        <v>1.0</v>
      </c>
      <c r="F326" s="168" t="s">
        <v>235</v>
      </c>
      <c r="G326" s="137">
        <v>11.737031</v>
      </c>
      <c r="H326" s="137">
        <v>0.20585549</v>
      </c>
      <c r="I326" s="137">
        <v>6.09004534</v>
      </c>
      <c r="J326" s="120">
        <f t="shared" si="1"/>
        <v>57.01587555</v>
      </c>
      <c r="K326" s="121">
        <v>-0.17</v>
      </c>
      <c r="L326" s="121">
        <v>-0.642</v>
      </c>
      <c r="M326" s="122">
        <f t="shared" ref="M326:M328" si="8">K326-L326</f>
        <v>0.472</v>
      </c>
      <c r="N326" s="120">
        <v>49.9</v>
      </c>
      <c r="O326" s="120">
        <v>12.90263843220339</v>
      </c>
      <c r="P326" s="123">
        <v>15.462538670582507</v>
      </c>
      <c r="Q326" s="120">
        <v>0.6</v>
      </c>
      <c r="R326" s="120">
        <v>1.1984013000000002</v>
      </c>
      <c r="S326" s="15"/>
      <c r="T326" s="161"/>
      <c r="AA326" s="15"/>
      <c r="AB326" s="15"/>
      <c r="AC326" s="15"/>
      <c r="AD326" s="15"/>
      <c r="AE326" s="15"/>
    </row>
    <row r="327" ht="15.0" customHeight="1">
      <c r="A327" s="134" t="s">
        <v>244</v>
      </c>
      <c r="B327" s="3" t="s">
        <v>258</v>
      </c>
      <c r="C327" s="3" t="s">
        <v>80</v>
      </c>
      <c r="D327" s="3" t="s">
        <v>251</v>
      </c>
      <c r="E327" s="8">
        <v>2.0</v>
      </c>
      <c r="F327" s="168" t="s">
        <v>235</v>
      </c>
      <c r="G327" s="137">
        <v>10.4355313</v>
      </c>
      <c r="H327" s="137">
        <v>0.23157728</v>
      </c>
      <c r="I327" s="137">
        <v>6.79015311</v>
      </c>
      <c r="J327" s="120">
        <f t="shared" si="1"/>
        <v>45.06284598</v>
      </c>
      <c r="K327" s="121">
        <v>-0.135</v>
      </c>
      <c r="L327" s="121">
        <v>-0.641</v>
      </c>
      <c r="M327" s="122">
        <f t="shared" si="8"/>
        <v>0.506</v>
      </c>
      <c r="N327" s="120">
        <v>42.4</v>
      </c>
      <c r="O327" s="120">
        <v>13.419274920948617</v>
      </c>
      <c r="P327" s="123">
        <v>13.139906416970598</v>
      </c>
      <c r="Q327" s="120">
        <v>0.8</v>
      </c>
      <c r="R327" s="120">
        <v>0.9791815500000003</v>
      </c>
      <c r="S327" s="15"/>
      <c r="T327" s="161"/>
      <c r="AA327" s="15"/>
      <c r="AB327" s="15"/>
      <c r="AC327" s="15"/>
      <c r="AD327" s="15"/>
      <c r="AE327" s="15"/>
    </row>
    <row r="328" ht="15.0" customHeight="1">
      <c r="A328" s="134" t="s">
        <v>244</v>
      </c>
      <c r="B328" s="3" t="s">
        <v>258</v>
      </c>
      <c r="C328" s="3" t="s">
        <v>80</v>
      </c>
      <c r="D328" s="3" t="s">
        <v>251</v>
      </c>
      <c r="E328" s="8">
        <v>3.0</v>
      </c>
      <c r="F328" s="168" t="s">
        <v>235</v>
      </c>
      <c r="G328" s="137">
        <v>10.3936705</v>
      </c>
      <c r="H328" s="137">
        <v>0.1127696</v>
      </c>
      <c r="I328" s="137">
        <v>5.00388488</v>
      </c>
      <c r="J328" s="120">
        <f t="shared" si="1"/>
        <v>92.16730839</v>
      </c>
      <c r="K328" s="121">
        <v>-0.168</v>
      </c>
      <c r="L328" s="121">
        <v>-0.613</v>
      </c>
      <c r="M328" s="122">
        <f t="shared" si="8"/>
        <v>0.445</v>
      </c>
      <c r="N328" s="120">
        <v>49.6</v>
      </c>
      <c r="O328" s="120">
        <v>11.244685123595508</v>
      </c>
      <c r="P328" s="123">
        <v>13.804319545090628</v>
      </c>
      <c r="Q328" s="120">
        <v>0.6</v>
      </c>
      <c r="R328" s="120">
        <v>1.2276306000000001</v>
      </c>
      <c r="S328" s="15"/>
      <c r="T328" s="161"/>
      <c r="AA328" s="15"/>
      <c r="AB328" s="15"/>
      <c r="AC328" s="15"/>
      <c r="AD328" s="15"/>
      <c r="AE328" s="15"/>
    </row>
    <row r="329" ht="15.0" customHeight="1">
      <c r="A329" s="134" t="s">
        <v>244</v>
      </c>
      <c r="B329" s="3" t="s">
        <v>258</v>
      </c>
      <c r="C329" s="3" t="s">
        <v>80</v>
      </c>
      <c r="D329" s="3" t="s">
        <v>251</v>
      </c>
      <c r="E329" s="8">
        <v>4.0</v>
      </c>
      <c r="F329" s="168" t="s">
        <v>235</v>
      </c>
      <c r="G329" s="137">
        <v>13.983536</v>
      </c>
      <c r="H329" s="137">
        <v>0.21734176</v>
      </c>
      <c r="I329" s="137">
        <v>5.29054857</v>
      </c>
      <c r="J329" s="120">
        <f t="shared" si="1"/>
        <v>64.3389287</v>
      </c>
      <c r="K329" s="121"/>
      <c r="L329" s="121">
        <v>-0.604</v>
      </c>
      <c r="M329" s="122"/>
      <c r="N329" s="120">
        <v>47.3</v>
      </c>
      <c r="O329" s="120">
        <v>11.827741046277668</v>
      </c>
      <c r="P329" s="123">
        <v>13.655805358876574</v>
      </c>
      <c r="Q329" s="120">
        <v>0.5</v>
      </c>
      <c r="R329" s="120">
        <v>1.1545573500000001</v>
      </c>
      <c r="S329" s="15"/>
      <c r="T329" s="161"/>
      <c r="AA329" s="15"/>
      <c r="AB329" s="15"/>
      <c r="AC329" s="15"/>
      <c r="AD329" s="15"/>
      <c r="AE329" s="15"/>
    </row>
    <row r="330" ht="15.0" customHeight="1">
      <c r="A330" s="134" t="s">
        <v>244</v>
      </c>
      <c r="B330" s="3" t="s">
        <v>258</v>
      </c>
      <c r="C330" s="3" t="s">
        <v>80</v>
      </c>
      <c r="D330" s="3" t="s">
        <v>251</v>
      </c>
      <c r="E330" s="8">
        <v>5.0</v>
      </c>
      <c r="F330" s="168" t="s">
        <v>235</v>
      </c>
      <c r="G330" s="137">
        <v>10.7819183</v>
      </c>
      <c r="H330" s="137">
        <v>0.1753482</v>
      </c>
      <c r="I330" s="137">
        <v>6.76368138</v>
      </c>
      <c r="J330" s="120">
        <f t="shared" si="1"/>
        <v>61.48861693</v>
      </c>
      <c r="K330" s="121">
        <v>-0.154</v>
      </c>
      <c r="L330" s="121">
        <v>-0.702</v>
      </c>
      <c r="M330" s="122">
        <f>K330-L330</f>
        <v>0.548</v>
      </c>
      <c r="N330" s="120">
        <v>41.5</v>
      </c>
      <c r="O330" s="120">
        <v>12.342484270072996</v>
      </c>
      <c r="P330" s="123">
        <v>11.905151790683073</v>
      </c>
      <c r="Q330" s="120">
        <v>0.4</v>
      </c>
      <c r="R330" s="120">
        <v>0.9645669000000001</v>
      </c>
      <c r="S330" s="15"/>
      <c r="T330" s="161"/>
      <c r="AA330" s="15"/>
      <c r="AB330" s="15"/>
      <c r="AC330" s="15"/>
      <c r="AD330" s="15"/>
      <c r="AE330" s="15"/>
    </row>
    <row r="331" ht="15.0" customHeight="1">
      <c r="A331" s="134" t="s">
        <v>244</v>
      </c>
      <c r="B331" s="3" t="s">
        <v>258</v>
      </c>
      <c r="C331" s="3" t="s">
        <v>80</v>
      </c>
      <c r="D331" s="3" t="s">
        <v>251</v>
      </c>
      <c r="E331" s="8">
        <v>6.0</v>
      </c>
      <c r="F331" s="168" t="s">
        <v>235</v>
      </c>
      <c r="G331" s="137">
        <v>12.537203</v>
      </c>
      <c r="H331" s="137">
        <v>0.17720199</v>
      </c>
      <c r="I331" s="137">
        <v>5.18749733</v>
      </c>
      <c r="J331" s="120">
        <f t="shared" si="1"/>
        <v>70.75091538</v>
      </c>
      <c r="K331" s="121"/>
      <c r="L331" s="121">
        <v>-0.76</v>
      </c>
      <c r="M331" s="122"/>
      <c r="N331" s="120">
        <v>42.3</v>
      </c>
      <c r="O331" s="120">
        <v>8.59853693021714</v>
      </c>
      <c r="P331" s="123">
        <v>9.424845581039847</v>
      </c>
      <c r="Q331" s="120">
        <v>0.7</v>
      </c>
      <c r="R331" s="120">
        <v>1.0960987500000003</v>
      </c>
      <c r="S331" s="15"/>
      <c r="T331" s="161"/>
      <c r="AA331" s="15"/>
      <c r="AB331" s="15"/>
      <c r="AC331" s="15"/>
      <c r="AD331" s="15"/>
      <c r="AE331" s="15"/>
    </row>
    <row r="332" ht="15.0" customHeight="1">
      <c r="A332" s="134" t="s">
        <v>256</v>
      </c>
      <c r="B332" s="3" t="s">
        <v>250</v>
      </c>
      <c r="C332" s="3" t="s">
        <v>94</v>
      </c>
      <c r="D332" s="3" t="s">
        <v>251</v>
      </c>
      <c r="E332" s="8">
        <v>1.0</v>
      </c>
      <c r="F332" s="168" t="s">
        <v>235</v>
      </c>
      <c r="G332" s="137">
        <v>10.4828094</v>
      </c>
      <c r="H332" s="137">
        <v>0.19219754</v>
      </c>
      <c r="I332" s="137">
        <v>5.95173091</v>
      </c>
      <c r="J332" s="120">
        <f t="shared" si="1"/>
        <v>54.54185002</v>
      </c>
      <c r="K332" s="121">
        <v>-0.117</v>
      </c>
      <c r="L332" s="121">
        <v>-0.524</v>
      </c>
      <c r="M332" s="122">
        <f t="shared" ref="M332:M334" si="9">K332-L332</f>
        <v>0.407</v>
      </c>
      <c r="N332" s="120">
        <v>46.6</v>
      </c>
      <c r="O332" s="120">
        <v>14.62341746928747</v>
      </c>
      <c r="P332" s="123">
        <v>16.456141865049204</v>
      </c>
      <c r="Q332" s="120">
        <v>0.7</v>
      </c>
      <c r="R332" s="120">
        <v>1.1253280500000002</v>
      </c>
      <c r="S332" s="15"/>
      <c r="T332" s="161"/>
      <c r="AA332" s="15"/>
      <c r="AB332" s="15"/>
      <c r="AC332" s="15"/>
      <c r="AD332" s="15"/>
      <c r="AE332" s="15"/>
    </row>
    <row r="333" ht="15.0" customHeight="1">
      <c r="A333" s="134" t="s">
        <v>256</v>
      </c>
      <c r="B333" s="3" t="s">
        <v>250</v>
      </c>
      <c r="C333" s="3" t="s">
        <v>94</v>
      </c>
      <c r="D333" s="3" t="s">
        <v>251</v>
      </c>
      <c r="E333" s="8">
        <v>2.0</v>
      </c>
      <c r="F333" s="168" t="s">
        <v>235</v>
      </c>
      <c r="G333" s="137">
        <v>7.34044579</v>
      </c>
      <c r="H333" s="137">
        <v>0.12366937</v>
      </c>
      <c r="I333" s="137">
        <v>5.29472088</v>
      </c>
      <c r="J333" s="120">
        <f t="shared" si="1"/>
        <v>59.355407</v>
      </c>
      <c r="K333" s="121">
        <v>-0.107</v>
      </c>
      <c r="L333" s="121">
        <v>-0.687</v>
      </c>
      <c r="M333" s="122">
        <f t="shared" si="9"/>
        <v>0.58</v>
      </c>
      <c r="N333" s="120">
        <v>45.0</v>
      </c>
      <c r="O333" s="120">
        <v>9.128829103448275</v>
      </c>
      <c r="P333" s="123">
        <v>9.072195673456305</v>
      </c>
      <c r="Q333" s="120">
        <v>0.2</v>
      </c>
      <c r="R333" s="120">
        <v>0.9937962000000001</v>
      </c>
      <c r="S333" s="15"/>
      <c r="T333" s="161"/>
      <c r="AA333" s="15"/>
      <c r="AB333" s="15"/>
      <c r="AC333" s="15"/>
      <c r="AD333" s="15"/>
      <c r="AE333" s="15"/>
    </row>
    <row r="334" ht="15.0" customHeight="1">
      <c r="A334" s="134" t="s">
        <v>256</v>
      </c>
      <c r="B334" s="3" t="s">
        <v>250</v>
      </c>
      <c r="C334" s="3" t="s">
        <v>94</v>
      </c>
      <c r="D334" s="3" t="s">
        <v>251</v>
      </c>
      <c r="E334" s="8">
        <v>3.0</v>
      </c>
      <c r="F334" s="168" t="s">
        <v>235</v>
      </c>
      <c r="G334" s="137">
        <v>18.3615875</v>
      </c>
      <c r="H334" s="137">
        <v>0.31101636</v>
      </c>
      <c r="I334" s="137">
        <v>9.76312348</v>
      </c>
      <c r="J334" s="120">
        <f t="shared" si="1"/>
        <v>59.03736865</v>
      </c>
      <c r="K334" s="121">
        <v>-0.082</v>
      </c>
      <c r="L334" s="121">
        <v>-0.58</v>
      </c>
      <c r="M334" s="122">
        <f t="shared" si="9"/>
        <v>0.498</v>
      </c>
      <c r="N334" s="120">
        <v>45.9</v>
      </c>
      <c r="O334" s="120">
        <v>19.604665622489964</v>
      </c>
      <c r="P334" s="123">
        <v>21.2021341565395</v>
      </c>
      <c r="Q334" s="120">
        <v>0.0</v>
      </c>
      <c r="R334" s="120">
        <v>1.0814841000000002</v>
      </c>
      <c r="S334" s="15"/>
      <c r="T334" s="161"/>
      <c r="AA334" s="15"/>
      <c r="AB334" s="15"/>
      <c r="AC334" s="15"/>
      <c r="AD334" s="15"/>
      <c r="AE334" s="15"/>
    </row>
    <row r="335" ht="15.0" customHeight="1">
      <c r="A335" s="134" t="s">
        <v>256</v>
      </c>
      <c r="B335" s="3" t="s">
        <v>250</v>
      </c>
      <c r="C335" s="3" t="s">
        <v>94</v>
      </c>
      <c r="D335" s="3" t="s">
        <v>251</v>
      </c>
      <c r="E335" s="8">
        <v>4.0</v>
      </c>
      <c r="F335" s="168" t="s">
        <v>235</v>
      </c>
      <c r="G335" s="137">
        <v>9.7644732</v>
      </c>
      <c r="H335" s="137">
        <v>0.14144858</v>
      </c>
      <c r="I335" s="137">
        <v>3.9912446</v>
      </c>
      <c r="J335" s="120">
        <f t="shared" si="1"/>
        <v>69.03196342</v>
      </c>
      <c r="K335" s="121"/>
      <c r="L335" s="121">
        <v>-0.53</v>
      </c>
      <c r="M335" s="122"/>
      <c r="N335" s="120">
        <v>40.8</v>
      </c>
      <c r="O335" s="120">
        <v>9.871987632945832</v>
      </c>
      <c r="P335" s="123">
        <v>10.434301337451132</v>
      </c>
      <c r="Q335" s="120">
        <v>0.3</v>
      </c>
      <c r="R335" s="120">
        <v>1.0522548000000003</v>
      </c>
      <c r="S335" s="15"/>
      <c r="T335" s="161"/>
      <c r="AA335" s="15"/>
      <c r="AB335" s="15"/>
      <c r="AC335" s="15"/>
      <c r="AD335" s="15"/>
      <c r="AE335" s="15"/>
    </row>
    <row r="336" ht="15.0" customHeight="1">
      <c r="A336" s="134" t="s">
        <v>256</v>
      </c>
      <c r="B336" s="3" t="s">
        <v>250</v>
      </c>
      <c r="C336" s="3" t="s">
        <v>94</v>
      </c>
      <c r="D336" s="3" t="s">
        <v>251</v>
      </c>
      <c r="E336" s="8">
        <v>5.0</v>
      </c>
      <c r="F336" s="168" t="s">
        <v>235</v>
      </c>
      <c r="G336" s="137">
        <v>9.93120198</v>
      </c>
      <c r="H336" s="137">
        <v>0.12218978</v>
      </c>
      <c r="I336" s="137">
        <v>5.59182186</v>
      </c>
      <c r="J336" s="120">
        <f t="shared" si="1"/>
        <v>81.27686276</v>
      </c>
      <c r="K336" s="121">
        <v>-0.197</v>
      </c>
      <c r="L336" s="121">
        <v>-0.564</v>
      </c>
      <c r="M336" s="122">
        <f>K336-L336</f>
        <v>0.367</v>
      </c>
      <c r="N336" s="120">
        <v>42.5</v>
      </c>
      <c r="O336" s="120">
        <v>15.23657182561308</v>
      </c>
      <c r="P336" s="123">
        <v>13.58330703030297</v>
      </c>
      <c r="Q336" s="120">
        <v>0.4</v>
      </c>
      <c r="R336" s="120">
        <v>0.8914936500000001</v>
      </c>
      <c r="S336" s="15"/>
      <c r="T336" s="161"/>
      <c r="AA336" s="15"/>
      <c r="AB336" s="15"/>
      <c r="AC336" s="15"/>
      <c r="AD336" s="15"/>
      <c r="AE336" s="15"/>
    </row>
    <row r="337" ht="15.0" customHeight="1">
      <c r="A337" s="134" t="s">
        <v>256</v>
      </c>
      <c r="B337" s="3" t="s">
        <v>250</v>
      </c>
      <c r="C337" s="3" t="s">
        <v>94</v>
      </c>
      <c r="D337" s="3" t="s">
        <v>251</v>
      </c>
      <c r="E337" s="8">
        <v>6.0</v>
      </c>
      <c r="F337" s="168" t="s">
        <v>235</v>
      </c>
      <c r="G337" s="137">
        <v>11.8385694</v>
      </c>
      <c r="H337" s="137">
        <v>0.14597857</v>
      </c>
      <c r="I337" s="137">
        <v>4.45807634</v>
      </c>
      <c r="J337" s="120">
        <f t="shared" si="1"/>
        <v>81.09799541</v>
      </c>
      <c r="K337" s="121"/>
      <c r="L337" s="121">
        <v>-0.53</v>
      </c>
      <c r="M337" s="122"/>
      <c r="N337" s="120">
        <v>43.4</v>
      </c>
      <c r="O337" s="120">
        <v>11.026654316101904</v>
      </c>
      <c r="P337" s="123">
        <v>12.14035255572317</v>
      </c>
      <c r="Q337" s="120">
        <v>1.6</v>
      </c>
      <c r="R337" s="120">
        <v>1.0960987500000003</v>
      </c>
      <c r="S337" s="15"/>
      <c r="T337" s="161"/>
      <c r="AA337" s="15"/>
      <c r="AB337" s="15"/>
      <c r="AC337" s="15"/>
      <c r="AD337" s="15"/>
      <c r="AE337" s="15"/>
    </row>
    <row r="338" ht="15.0" customHeight="1">
      <c r="A338" s="134" t="s">
        <v>249</v>
      </c>
      <c r="B338" s="3" t="s">
        <v>239</v>
      </c>
      <c r="C338" s="3" t="s">
        <v>101</v>
      </c>
      <c r="D338" s="135" t="s">
        <v>240</v>
      </c>
      <c r="E338" s="8">
        <v>1.0</v>
      </c>
      <c r="F338" s="168" t="s">
        <v>235</v>
      </c>
      <c r="G338" s="137">
        <v>9.33053273</v>
      </c>
      <c r="H338" s="137">
        <v>0.23942021</v>
      </c>
      <c r="I338" s="137">
        <v>6.53882014</v>
      </c>
      <c r="J338" s="120">
        <f t="shared" si="1"/>
        <v>38.97136641</v>
      </c>
      <c r="K338" s="121">
        <v>-0.154</v>
      </c>
      <c r="L338" s="121">
        <v>-0.617</v>
      </c>
      <c r="M338" s="122">
        <f t="shared" ref="M338:M340" si="10">K338-L338</f>
        <v>0.463</v>
      </c>
      <c r="N338" s="120">
        <v>41.8</v>
      </c>
      <c r="O338" s="120">
        <v>14.122721684665228</v>
      </c>
      <c r="P338" s="123">
        <v>10.73272899237722</v>
      </c>
      <c r="Q338" s="120">
        <v>0.7</v>
      </c>
      <c r="R338" s="120">
        <v>0.7599618000000001</v>
      </c>
      <c r="S338" s="15"/>
      <c r="T338" s="161"/>
      <c r="AA338" s="15"/>
      <c r="AB338" s="15"/>
      <c r="AC338" s="15"/>
      <c r="AD338" s="15"/>
      <c r="AE338" s="15"/>
    </row>
    <row r="339" ht="15.0" customHeight="1">
      <c r="A339" s="134" t="s">
        <v>249</v>
      </c>
      <c r="B339" s="3" t="s">
        <v>239</v>
      </c>
      <c r="C339" s="3" t="s">
        <v>101</v>
      </c>
      <c r="D339" s="135" t="s">
        <v>240</v>
      </c>
      <c r="E339" s="8">
        <v>2.0</v>
      </c>
      <c r="F339" s="168" t="s">
        <v>235</v>
      </c>
      <c r="G339" s="137">
        <v>12.6168179</v>
      </c>
      <c r="H339" s="137">
        <v>0.19955231</v>
      </c>
      <c r="I339" s="137">
        <v>7.06397739</v>
      </c>
      <c r="J339" s="120">
        <f t="shared" si="1"/>
        <v>63.22561688</v>
      </c>
      <c r="K339" s="121">
        <v>-0.185</v>
      </c>
      <c r="L339" s="121">
        <v>-0.673</v>
      </c>
      <c r="M339" s="122">
        <f t="shared" si="10"/>
        <v>0.488</v>
      </c>
      <c r="N339" s="120">
        <v>43.2</v>
      </c>
      <c r="O339" s="120">
        <v>14.47536350409836</v>
      </c>
      <c r="P339" s="123">
        <v>13.962456501521292</v>
      </c>
      <c r="Q339" s="120">
        <v>1.0</v>
      </c>
      <c r="R339" s="120">
        <v>0.9645669000000001</v>
      </c>
      <c r="S339" s="15"/>
      <c r="T339" s="161"/>
      <c r="AA339" s="15"/>
      <c r="AB339" s="15"/>
      <c r="AC339" s="15"/>
      <c r="AD339" s="15"/>
      <c r="AE339" s="15"/>
    </row>
    <row r="340" ht="15.0" customHeight="1">
      <c r="A340" s="134" t="s">
        <v>249</v>
      </c>
      <c r="B340" s="3" t="s">
        <v>239</v>
      </c>
      <c r="C340" s="3" t="s">
        <v>101</v>
      </c>
      <c r="D340" s="135" t="s">
        <v>240</v>
      </c>
      <c r="E340" s="8">
        <v>3.0</v>
      </c>
      <c r="F340" s="168" t="s">
        <v>235</v>
      </c>
      <c r="G340" s="137">
        <v>13.8587333</v>
      </c>
      <c r="H340" s="137">
        <v>0.21472942</v>
      </c>
      <c r="I340" s="137">
        <v>7.78417289</v>
      </c>
      <c r="J340" s="120">
        <f t="shared" si="1"/>
        <v>64.54044956</v>
      </c>
      <c r="K340" s="121">
        <v>-0.156</v>
      </c>
      <c r="L340" s="121">
        <v>-0.73</v>
      </c>
      <c r="M340" s="122">
        <f t="shared" si="10"/>
        <v>0.574</v>
      </c>
      <c r="N340" s="120">
        <v>44.6</v>
      </c>
      <c r="O340" s="120">
        <v>13.56127681184669</v>
      </c>
      <c r="P340" s="123">
        <v>13.873531991077872</v>
      </c>
      <c r="Q340" s="120">
        <v>0.6</v>
      </c>
      <c r="R340" s="120">
        <v>1.0230255000000004</v>
      </c>
      <c r="S340" s="15"/>
      <c r="T340" s="161"/>
      <c r="AA340" s="15"/>
      <c r="AB340" s="15"/>
      <c r="AC340" s="15"/>
      <c r="AD340" s="15"/>
      <c r="AE340" s="15"/>
    </row>
    <row r="341" ht="15.0" customHeight="1">
      <c r="A341" s="134" t="s">
        <v>249</v>
      </c>
      <c r="B341" s="3" t="s">
        <v>239</v>
      </c>
      <c r="C341" s="3" t="s">
        <v>101</v>
      </c>
      <c r="D341" s="135" t="s">
        <v>240</v>
      </c>
      <c r="E341" s="8">
        <v>4.0</v>
      </c>
      <c r="F341" s="168" t="s">
        <v>235</v>
      </c>
      <c r="G341" s="137">
        <v>10.4245897</v>
      </c>
      <c r="H341" s="137">
        <v>0.13817543</v>
      </c>
      <c r="I341" s="137">
        <v>4.12852078</v>
      </c>
      <c r="J341" s="120">
        <f t="shared" si="1"/>
        <v>75.44459749</v>
      </c>
      <c r="K341" s="121"/>
      <c r="L341" s="121">
        <v>-0.69</v>
      </c>
      <c r="M341" s="122"/>
      <c r="N341" s="120">
        <v>46.9</v>
      </c>
      <c r="O341" s="120">
        <v>7.871345624404194</v>
      </c>
      <c r="P341" s="123">
        <v>8.052587293078917</v>
      </c>
      <c r="Q341" s="120">
        <v>0.2</v>
      </c>
      <c r="R341" s="120">
        <v>1.0230255000000004</v>
      </c>
      <c r="S341" s="15"/>
      <c r="T341" s="161"/>
      <c r="AA341" s="15"/>
      <c r="AB341" s="15"/>
      <c r="AC341" s="15"/>
      <c r="AD341" s="15"/>
      <c r="AE341" s="15"/>
    </row>
    <row r="342" ht="15.0" customHeight="1">
      <c r="A342" s="134" t="s">
        <v>249</v>
      </c>
      <c r="B342" s="3" t="s">
        <v>239</v>
      </c>
      <c r="C342" s="3" t="s">
        <v>101</v>
      </c>
      <c r="D342" s="135" t="s">
        <v>240</v>
      </c>
      <c r="E342" s="8">
        <v>5.0</v>
      </c>
      <c r="F342" s="168" t="s">
        <v>235</v>
      </c>
      <c r="G342" s="137">
        <v>11.1467847</v>
      </c>
      <c r="H342" s="137">
        <v>0.19594201</v>
      </c>
      <c r="I342" s="137">
        <v>7.55512813</v>
      </c>
      <c r="J342" s="120">
        <f t="shared" si="1"/>
        <v>56.88818187</v>
      </c>
      <c r="K342" s="121">
        <v>-0.167</v>
      </c>
      <c r="L342" s="121">
        <v>-0.695</v>
      </c>
      <c r="M342" s="122">
        <f>K342-L342</f>
        <v>0.528</v>
      </c>
      <c r="N342" s="120">
        <v>39.3</v>
      </c>
      <c r="O342" s="120">
        <v>14.308954791666668</v>
      </c>
      <c r="P342" s="123">
        <v>16.938749657828538</v>
      </c>
      <c r="Q342" s="120">
        <v>0.7</v>
      </c>
      <c r="R342" s="120">
        <v>1.1837866500000003</v>
      </c>
      <c r="S342" s="15"/>
      <c r="T342" s="161"/>
      <c r="AA342" s="15"/>
      <c r="AB342" s="15"/>
      <c r="AC342" s="15"/>
      <c r="AD342" s="15"/>
      <c r="AE342" s="15"/>
    </row>
    <row r="343" ht="15.0" customHeight="1">
      <c r="A343" s="134" t="s">
        <v>249</v>
      </c>
      <c r="B343" s="3" t="s">
        <v>239</v>
      </c>
      <c r="C343" s="3" t="s">
        <v>101</v>
      </c>
      <c r="D343" s="135" t="s">
        <v>240</v>
      </c>
      <c r="E343" s="8">
        <v>6.0</v>
      </c>
      <c r="F343" s="168" t="s">
        <v>235</v>
      </c>
      <c r="G343" s="137">
        <v>8.70487075</v>
      </c>
      <c r="H343" s="137">
        <v>0.11382239</v>
      </c>
      <c r="I343" s="137">
        <v>3.93574886</v>
      </c>
      <c r="J343" s="120">
        <f t="shared" si="1"/>
        <v>76.47766621</v>
      </c>
      <c r="K343" s="121"/>
      <c r="L343" s="121">
        <v>-0.638</v>
      </c>
      <c r="M343" s="122"/>
      <c r="N343" s="120">
        <v>43.9</v>
      </c>
      <c r="O343" s="120">
        <v>8.329627216931216</v>
      </c>
      <c r="P343" s="123">
        <v>9.008359394038362</v>
      </c>
      <c r="Q343" s="120">
        <v>0.4</v>
      </c>
      <c r="R343" s="120">
        <v>1.0814841000000002</v>
      </c>
      <c r="S343" s="15"/>
      <c r="T343" s="161"/>
      <c r="AA343" s="15"/>
      <c r="AB343" s="15"/>
      <c r="AC343" s="15"/>
      <c r="AD343" s="15"/>
      <c r="AE343" s="15"/>
    </row>
    <row r="344" ht="15.0" customHeight="1">
      <c r="A344" s="134" t="s">
        <v>256</v>
      </c>
      <c r="B344" s="3" t="s">
        <v>258</v>
      </c>
      <c r="C344" s="3" t="s">
        <v>108</v>
      </c>
      <c r="D344" s="3" t="s">
        <v>251</v>
      </c>
      <c r="E344" s="8">
        <v>1.0</v>
      </c>
      <c r="F344" s="168" t="s">
        <v>235</v>
      </c>
      <c r="G344" s="137">
        <v>13.7796091</v>
      </c>
      <c r="H344" s="137">
        <v>0.25879233</v>
      </c>
      <c r="I344" s="137">
        <v>7.31725846</v>
      </c>
      <c r="J344" s="120">
        <f t="shared" si="1"/>
        <v>53.24581722</v>
      </c>
      <c r="K344" s="121">
        <v>-0.14</v>
      </c>
      <c r="L344" s="121">
        <v>-0.55</v>
      </c>
      <c r="M344" s="122">
        <f t="shared" ref="M344:M346" si="11">K344-L344</f>
        <v>0.41</v>
      </c>
      <c r="N344" s="120">
        <v>47.7</v>
      </c>
      <c r="O344" s="120">
        <v>17.846971853658534</v>
      </c>
      <c r="P344" s="123">
        <v>17.47542556247174</v>
      </c>
      <c r="Q344" s="120">
        <v>0.4</v>
      </c>
      <c r="R344" s="120">
        <v>0.9791815500000003</v>
      </c>
      <c r="S344" s="15"/>
      <c r="T344" s="161"/>
      <c r="AA344" s="15"/>
      <c r="AB344" s="15"/>
      <c r="AC344" s="15"/>
      <c r="AD344" s="15"/>
      <c r="AE344" s="15"/>
    </row>
    <row r="345" ht="15.0" customHeight="1">
      <c r="A345" s="134" t="s">
        <v>256</v>
      </c>
      <c r="B345" s="3" t="s">
        <v>258</v>
      </c>
      <c r="C345" s="3" t="s">
        <v>108</v>
      </c>
      <c r="D345" s="3" t="s">
        <v>251</v>
      </c>
      <c r="E345" s="8">
        <v>2.0</v>
      </c>
      <c r="F345" s="168" t="s">
        <v>235</v>
      </c>
      <c r="G345" s="137">
        <v>10.2130249</v>
      </c>
      <c r="H345" s="137">
        <v>0.21573985</v>
      </c>
      <c r="I345" s="137">
        <v>7.32656607</v>
      </c>
      <c r="J345" s="120">
        <f t="shared" si="1"/>
        <v>47.33953834</v>
      </c>
      <c r="K345" s="121">
        <v>-0.092</v>
      </c>
      <c r="L345" s="121">
        <v>-0.533</v>
      </c>
      <c r="M345" s="122">
        <f t="shared" si="11"/>
        <v>0.441</v>
      </c>
      <c r="N345" s="120">
        <v>46.3</v>
      </c>
      <c r="O345" s="120">
        <v>16.61352850340136</v>
      </c>
      <c r="P345" s="123">
        <v>13.83965154750738</v>
      </c>
      <c r="Q345" s="120">
        <v>0.7</v>
      </c>
      <c r="R345" s="120">
        <v>0.8330350500000002</v>
      </c>
      <c r="S345" s="15"/>
      <c r="T345" s="161"/>
      <c r="AA345" s="15"/>
      <c r="AB345" s="15"/>
      <c r="AC345" s="15"/>
      <c r="AD345" s="15"/>
      <c r="AE345" s="15"/>
    </row>
    <row r="346" ht="15.0" customHeight="1">
      <c r="A346" s="134" t="s">
        <v>256</v>
      </c>
      <c r="B346" s="3" t="s">
        <v>258</v>
      </c>
      <c r="C346" s="3" t="s">
        <v>108</v>
      </c>
      <c r="D346" s="3" t="s">
        <v>251</v>
      </c>
      <c r="E346" s="8">
        <v>3.0</v>
      </c>
      <c r="F346" s="168" t="s">
        <v>235</v>
      </c>
      <c r="G346" s="137">
        <v>13.3355885</v>
      </c>
      <c r="H346" s="137">
        <v>0.18674052</v>
      </c>
      <c r="I346" s="137">
        <v>7.13420972</v>
      </c>
      <c r="J346" s="120">
        <f t="shared" si="1"/>
        <v>71.41239887</v>
      </c>
      <c r="K346" s="121">
        <v>-0.128</v>
      </c>
      <c r="L346" s="121">
        <v>-0.782</v>
      </c>
      <c r="M346" s="122">
        <f t="shared" si="11"/>
        <v>0.654</v>
      </c>
      <c r="N346" s="120">
        <v>32.2</v>
      </c>
      <c r="O346" s="120">
        <v>10.90857755351682</v>
      </c>
      <c r="P346" s="123">
        <v>13.391703607170387</v>
      </c>
      <c r="Q346" s="120">
        <v>0.5</v>
      </c>
      <c r="R346" s="120">
        <v>1.2276306000000001</v>
      </c>
      <c r="S346" s="15"/>
      <c r="T346" s="161"/>
      <c r="AA346" s="15"/>
      <c r="AB346" s="15"/>
      <c r="AC346" s="15"/>
      <c r="AD346" s="15"/>
      <c r="AE346" s="15"/>
    </row>
    <row r="347" ht="15.0" customHeight="1">
      <c r="A347" s="134" t="s">
        <v>256</v>
      </c>
      <c r="B347" s="3" t="s">
        <v>258</v>
      </c>
      <c r="C347" s="3" t="s">
        <v>108</v>
      </c>
      <c r="D347" s="3" t="s">
        <v>251</v>
      </c>
      <c r="E347" s="8">
        <v>4.0</v>
      </c>
      <c r="F347" s="168" t="s">
        <v>235</v>
      </c>
      <c r="G347" s="137">
        <v>9.38413651</v>
      </c>
      <c r="H347" s="137">
        <v>0.17420112</v>
      </c>
      <c r="I347" s="137">
        <v>4.46999309</v>
      </c>
      <c r="J347" s="120">
        <f t="shared" si="1"/>
        <v>53.86955325</v>
      </c>
      <c r="K347" s="121"/>
      <c r="L347" s="121">
        <v>-0.603</v>
      </c>
      <c r="M347" s="122"/>
      <c r="N347" s="120">
        <v>28.9</v>
      </c>
      <c r="O347" s="120">
        <v>9.541073831376735</v>
      </c>
      <c r="P347" s="123">
        <v>11.434035282917861</v>
      </c>
      <c r="Q347" s="120">
        <v>0.6</v>
      </c>
      <c r="R347" s="120">
        <v>1.1984013000000002</v>
      </c>
      <c r="S347" s="15"/>
      <c r="T347" s="161"/>
      <c r="AA347" s="15"/>
      <c r="AB347" s="15"/>
      <c r="AC347" s="15"/>
      <c r="AD347" s="15"/>
      <c r="AE347" s="15"/>
    </row>
    <row r="348" ht="15.0" customHeight="1">
      <c r="A348" s="134" t="s">
        <v>256</v>
      </c>
      <c r="B348" s="3" t="s">
        <v>258</v>
      </c>
      <c r="C348" s="3" t="s">
        <v>108</v>
      </c>
      <c r="D348" s="3" t="s">
        <v>251</v>
      </c>
      <c r="E348" s="8">
        <v>5.0</v>
      </c>
      <c r="F348" s="168" t="s">
        <v>235</v>
      </c>
      <c r="G348" s="137">
        <v>13.6580064</v>
      </c>
      <c r="H348" s="137">
        <v>0.22680209</v>
      </c>
      <c r="I348" s="137">
        <v>8.25187671</v>
      </c>
      <c r="J348" s="120">
        <f t="shared" si="1"/>
        <v>60.21993184</v>
      </c>
      <c r="K348" s="121">
        <v>-0.178</v>
      </c>
      <c r="L348" s="121">
        <v>-0.56</v>
      </c>
      <c r="M348" s="122">
        <f>K348-L348</f>
        <v>0.382</v>
      </c>
      <c r="N348" s="120">
        <v>46.0</v>
      </c>
      <c r="O348" s="120">
        <v>21.601771492146593</v>
      </c>
      <c r="P348" s="123">
        <v>23.67767473032752</v>
      </c>
      <c r="Q348" s="120">
        <v>1.1</v>
      </c>
      <c r="R348" s="120">
        <v>1.0960987500000003</v>
      </c>
      <c r="S348" s="15"/>
      <c r="T348" s="161"/>
      <c r="AA348" s="15"/>
      <c r="AB348" s="15"/>
      <c r="AC348" s="15"/>
      <c r="AD348" s="15"/>
      <c r="AE348" s="15"/>
    </row>
    <row r="349" ht="15.0" customHeight="1">
      <c r="A349" s="134" t="s">
        <v>256</v>
      </c>
      <c r="B349" s="3" t="s">
        <v>258</v>
      </c>
      <c r="C349" s="3" t="s">
        <v>108</v>
      </c>
      <c r="D349" s="3" t="s">
        <v>251</v>
      </c>
      <c r="E349" s="8">
        <v>6.0</v>
      </c>
      <c r="F349" s="168" t="s">
        <v>235</v>
      </c>
      <c r="G349" s="137">
        <v>10.360236</v>
      </c>
      <c r="H349" s="137">
        <v>0.12930368</v>
      </c>
      <c r="I349" s="137">
        <v>4.07583372</v>
      </c>
      <c r="J349" s="120">
        <f t="shared" si="1"/>
        <v>80.12328806</v>
      </c>
      <c r="K349" s="121"/>
      <c r="L349" s="121">
        <v>-0.62</v>
      </c>
      <c r="M349" s="122"/>
      <c r="N349" s="120">
        <v>46.2</v>
      </c>
      <c r="O349" s="120">
        <v>8.395126096807417</v>
      </c>
      <c r="P349" s="123">
        <v>9.447270880024403</v>
      </c>
      <c r="Q349" s="120">
        <v>0.6</v>
      </c>
      <c r="R349" s="120">
        <v>1.1253280500000002</v>
      </c>
      <c r="S349" s="15"/>
      <c r="T349" s="161"/>
      <c r="AA349" s="15"/>
      <c r="AB349" s="15"/>
      <c r="AC349" s="15"/>
      <c r="AD349" s="15"/>
      <c r="AE349" s="15"/>
    </row>
    <row r="350" ht="15.0" customHeight="1">
      <c r="A350" s="134" t="s">
        <v>244</v>
      </c>
      <c r="B350" s="3" t="s">
        <v>257</v>
      </c>
      <c r="C350" s="3" t="s">
        <v>115</v>
      </c>
      <c r="D350" s="135" t="s">
        <v>240</v>
      </c>
      <c r="E350" s="48">
        <v>1.0</v>
      </c>
      <c r="F350" s="168" t="s">
        <v>235</v>
      </c>
      <c r="G350" s="137">
        <v>14.7412859</v>
      </c>
      <c r="H350" s="137">
        <v>0.24845756</v>
      </c>
      <c r="I350" s="137">
        <v>7.70499714</v>
      </c>
      <c r="J350" s="120">
        <f t="shared" si="1"/>
        <v>59.33120288</v>
      </c>
      <c r="K350" s="121">
        <v>-0.22</v>
      </c>
      <c r="L350" s="121">
        <v>-0.66</v>
      </c>
      <c r="M350" s="122">
        <f t="shared" ref="M350:M352" si="12">K350-L350</f>
        <v>0.44</v>
      </c>
      <c r="N350" s="120">
        <v>41.2</v>
      </c>
      <c r="O350" s="120">
        <v>17.511357136363632</v>
      </c>
      <c r="P350" s="123">
        <v>17.40272017896106</v>
      </c>
      <c r="Q350" s="120">
        <v>0.7</v>
      </c>
      <c r="R350" s="120">
        <v>0.9937962000000001</v>
      </c>
      <c r="S350" s="15"/>
      <c r="T350" s="161"/>
      <c r="AA350" s="15"/>
      <c r="AB350" s="15"/>
      <c r="AC350" s="15"/>
      <c r="AD350" s="15"/>
      <c r="AE350" s="15"/>
    </row>
    <row r="351" ht="15.0" customHeight="1">
      <c r="A351" s="134" t="s">
        <v>244</v>
      </c>
      <c r="B351" s="3" t="s">
        <v>257</v>
      </c>
      <c r="C351" s="3" t="s">
        <v>115</v>
      </c>
      <c r="D351" s="135" t="s">
        <v>240</v>
      </c>
      <c r="E351" s="48">
        <v>2.0</v>
      </c>
      <c r="F351" s="168" t="s">
        <v>235</v>
      </c>
      <c r="G351" s="137">
        <v>10.195133</v>
      </c>
      <c r="H351" s="137">
        <v>0.17635909</v>
      </c>
      <c r="I351" s="137">
        <v>6.52518271</v>
      </c>
      <c r="J351" s="120">
        <f t="shared" si="1"/>
        <v>57.80894537</v>
      </c>
      <c r="K351" s="121">
        <v>-0.115</v>
      </c>
      <c r="L351" s="121">
        <v>-0.59</v>
      </c>
      <c r="M351" s="122">
        <f t="shared" si="12"/>
        <v>0.475</v>
      </c>
      <c r="N351" s="120">
        <v>44.2</v>
      </c>
      <c r="O351" s="120">
        <v>13.737226757894739</v>
      </c>
      <c r="P351" s="123">
        <v>11.042061857049651</v>
      </c>
      <c r="Q351" s="120">
        <v>0.0</v>
      </c>
      <c r="R351" s="120">
        <v>0.8038057500000002</v>
      </c>
      <c r="S351" s="15"/>
      <c r="T351" s="161"/>
      <c r="AA351" s="15"/>
      <c r="AB351" s="15"/>
      <c r="AC351" s="15"/>
      <c r="AD351" s="15"/>
      <c r="AE351" s="15"/>
    </row>
    <row r="352" ht="15.0" customHeight="1">
      <c r="A352" s="134" t="s">
        <v>244</v>
      </c>
      <c r="B352" s="3" t="s">
        <v>257</v>
      </c>
      <c r="C352" s="3" t="s">
        <v>115</v>
      </c>
      <c r="D352" s="135" t="s">
        <v>240</v>
      </c>
      <c r="E352" s="48">
        <v>3.0</v>
      </c>
      <c r="F352" s="168" t="s">
        <v>235</v>
      </c>
      <c r="G352" s="137">
        <v>11.5279234</v>
      </c>
      <c r="H352" s="137">
        <v>0.14836924</v>
      </c>
      <c r="I352" s="137">
        <v>6.22930419</v>
      </c>
      <c r="J352" s="120">
        <f t="shared" si="1"/>
        <v>77.69752949</v>
      </c>
      <c r="K352" s="121">
        <v>-0.09</v>
      </c>
      <c r="L352" s="121">
        <v>-0.606</v>
      </c>
      <c r="M352" s="122">
        <f t="shared" si="12"/>
        <v>0.516</v>
      </c>
      <c r="N352" s="120">
        <v>34.9</v>
      </c>
      <c r="O352" s="120">
        <v>12.072294941860465</v>
      </c>
      <c r="P352" s="123">
        <v>10.409509551051602</v>
      </c>
      <c r="Q352" s="120">
        <v>1.0</v>
      </c>
      <c r="R352" s="120">
        <v>0.8622643500000002</v>
      </c>
      <c r="S352" s="15"/>
      <c r="T352" s="161"/>
      <c r="AA352" s="15"/>
      <c r="AB352" s="15"/>
      <c r="AC352" s="15"/>
      <c r="AD352" s="15"/>
      <c r="AE352" s="15"/>
    </row>
    <row r="353" ht="15.0" customHeight="1">
      <c r="A353" s="134" t="s">
        <v>244</v>
      </c>
      <c r="B353" s="3" t="s">
        <v>257</v>
      </c>
      <c r="C353" s="3" t="s">
        <v>115</v>
      </c>
      <c r="D353" s="135" t="s">
        <v>240</v>
      </c>
      <c r="E353" s="48">
        <v>4.0</v>
      </c>
      <c r="F353" s="168" t="s">
        <v>235</v>
      </c>
      <c r="G353" s="137">
        <v>11.8955869</v>
      </c>
      <c r="H353" s="137">
        <v>0.16685718</v>
      </c>
      <c r="I353" s="137">
        <v>4.59240178</v>
      </c>
      <c r="J353" s="120">
        <f t="shared" si="1"/>
        <v>71.29202891</v>
      </c>
      <c r="K353" s="121"/>
      <c r="L353" s="121">
        <v>-0.68</v>
      </c>
      <c r="M353" s="122"/>
      <c r="N353" s="120">
        <v>42.7</v>
      </c>
      <c r="O353" s="120">
        <v>8.55195862197393</v>
      </c>
      <c r="P353" s="123">
        <v>8.873855627298822</v>
      </c>
      <c r="Q353" s="120">
        <v>1.0</v>
      </c>
      <c r="R353" s="120">
        <v>1.03764015</v>
      </c>
      <c r="S353" s="15"/>
      <c r="T353" s="161"/>
      <c r="AA353" s="15"/>
      <c r="AB353" s="15"/>
      <c r="AC353" s="15"/>
      <c r="AD353" s="15"/>
      <c r="AE353" s="15"/>
    </row>
    <row r="354" ht="15.0" customHeight="1">
      <c r="A354" s="134" t="s">
        <v>244</v>
      </c>
      <c r="B354" s="3" t="s">
        <v>257</v>
      </c>
      <c r="C354" s="3" t="s">
        <v>115</v>
      </c>
      <c r="D354" s="135" t="s">
        <v>240</v>
      </c>
      <c r="E354" s="48">
        <v>5.0</v>
      </c>
      <c r="F354" s="168" t="s">
        <v>235</v>
      </c>
      <c r="G354" s="137">
        <v>10.9251316</v>
      </c>
      <c r="H354" s="137">
        <v>0.15583727</v>
      </c>
      <c r="I354" s="137">
        <v>6.13492108</v>
      </c>
      <c r="J354" s="120">
        <f t="shared" si="1"/>
        <v>70.10602534</v>
      </c>
      <c r="K354" s="121">
        <v>-0.147</v>
      </c>
      <c r="L354" s="121">
        <v>-0.57</v>
      </c>
      <c r="M354" s="122">
        <f>K354-L354</f>
        <v>0.423</v>
      </c>
      <c r="N354" s="120">
        <v>39.6</v>
      </c>
      <c r="O354" s="120">
        <v>14.503359527186763</v>
      </c>
      <c r="P354" s="123">
        <v>15.473191201922006</v>
      </c>
      <c r="Q354" s="120">
        <v>0.8</v>
      </c>
      <c r="R354" s="120">
        <v>1.0668694500000002</v>
      </c>
      <c r="S354" s="15"/>
      <c r="T354" s="161"/>
      <c r="AA354" s="15"/>
      <c r="AB354" s="15"/>
      <c r="AC354" s="15"/>
      <c r="AD354" s="15"/>
      <c r="AE354" s="15"/>
    </row>
    <row r="355" ht="15.0" customHeight="1">
      <c r="A355" s="134" t="s">
        <v>244</v>
      </c>
      <c r="B355" s="3" t="s">
        <v>257</v>
      </c>
      <c r="C355" s="3" t="s">
        <v>115</v>
      </c>
      <c r="D355" s="135" t="s">
        <v>240</v>
      </c>
      <c r="E355" s="48">
        <v>6.0</v>
      </c>
      <c r="F355" s="168" t="s">
        <v>235</v>
      </c>
      <c r="G355" s="137">
        <v>11.2894794</v>
      </c>
      <c r="H355" s="137">
        <v>0.15902385</v>
      </c>
      <c r="I355" s="137">
        <v>4.52377126</v>
      </c>
      <c r="J355" s="120">
        <f t="shared" si="1"/>
        <v>70.99236624</v>
      </c>
      <c r="K355" s="121"/>
      <c r="L355" s="121">
        <v>-0.63</v>
      </c>
      <c r="M355" s="122"/>
      <c r="N355" s="120">
        <v>20.0</v>
      </c>
      <c r="O355" s="120">
        <v>9.327363422680413</v>
      </c>
      <c r="P355" s="123">
        <v>11.177924451312657</v>
      </c>
      <c r="Q355" s="120">
        <v>0.6</v>
      </c>
      <c r="R355" s="120">
        <v>1.1984013000000002</v>
      </c>
      <c r="S355" s="15"/>
      <c r="T355" s="161"/>
      <c r="AA355" s="15"/>
      <c r="AB355" s="15"/>
      <c r="AC355" s="15"/>
      <c r="AD355" s="15"/>
      <c r="AE355" s="15"/>
    </row>
    <row r="356" ht="15.0" customHeight="1">
      <c r="A356" s="134" t="s">
        <v>238</v>
      </c>
      <c r="B356" s="3" t="s">
        <v>250</v>
      </c>
      <c r="C356" s="3" t="s">
        <v>122</v>
      </c>
      <c r="D356" s="3" t="s">
        <v>251</v>
      </c>
      <c r="E356" s="48">
        <v>1.0</v>
      </c>
      <c r="F356" s="168" t="s">
        <v>235</v>
      </c>
      <c r="G356" s="137">
        <v>10.6132179</v>
      </c>
      <c r="H356" s="137">
        <v>0.15539134</v>
      </c>
      <c r="I356" s="137">
        <v>5.15438938</v>
      </c>
      <c r="J356" s="120">
        <f t="shared" si="1"/>
        <v>68.29993164</v>
      </c>
      <c r="K356" s="121">
        <v>-0.17</v>
      </c>
      <c r="L356" s="121">
        <v>-0.641</v>
      </c>
      <c r="M356" s="122">
        <f t="shared" ref="M356:M358" si="13">K356-L356</f>
        <v>0.471</v>
      </c>
      <c r="N356" s="120">
        <v>36.4</v>
      </c>
      <c r="O356" s="120">
        <v>10.94350186836518</v>
      </c>
      <c r="P356" s="123">
        <v>9.276256075669187</v>
      </c>
      <c r="Q356" s="120">
        <v>0.0</v>
      </c>
      <c r="R356" s="120">
        <v>0.8476497000000002</v>
      </c>
      <c r="S356" s="15"/>
      <c r="T356" s="161"/>
      <c r="AA356" s="15"/>
      <c r="AB356" s="15"/>
      <c r="AC356" s="15"/>
      <c r="AD356" s="15"/>
      <c r="AE356" s="15"/>
    </row>
    <row r="357" ht="15.0" customHeight="1">
      <c r="A357" s="134" t="s">
        <v>238</v>
      </c>
      <c r="B357" s="3" t="s">
        <v>250</v>
      </c>
      <c r="C357" s="3" t="s">
        <v>122</v>
      </c>
      <c r="D357" s="3" t="s">
        <v>251</v>
      </c>
      <c r="E357" s="48">
        <v>2.0</v>
      </c>
      <c r="F357" s="168" t="s">
        <v>235</v>
      </c>
      <c r="G357" s="137">
        <v>5.62042045</v>
      </c>
      <c r="H357" s="137">
        <v>0.07089515</v>
      </c>
      <c r="I357" s="137">
        <v>3.39676722</v>
      </c>
      <c r="J357" s="120">
        <f t="shared" si="1"/>
        <v>79.27792592</v>
      </c>
      <c r="K357" s="121">
        <v>-0.116</v>
      </c>
      <c r="L357" s="121">
        <v>-0.82</v>
      </c>
      <c r="M357" s="122">
        <f t="shared" si="13"/>
        <v>0.704</v>
      </c>
      <c r="N357" s="120">
        <v>24.2</v>
      </c>
      <c r="O357" s="120">
        <v>4.8249534375000005</v>
      </c>
      <c r="P357" s="123">
        <v>3.7372953050340483</v>
      </c>
      <c r="Q357" s="120">
        <v>0.7</v>
      </c>
      <c r="R357" s="120">
        <v>0.7745764500000002</v>
      </c>
      <c r="S357" s="15"/>
      <c r="T357" s="161"/>
      <c r="AA357" s="15"/>
      <c r="AB357" s="15"/>
      <c r="AC357" s="15"/>
      <c r="AD357" s="15"/>
      <c r="AE357" s="15"/>
    </row>
    <row r="358" ht="15.0" customHeight="1">
      <c r="A358" s="134" t="s">
        <v>238</v>
      </c>
      <c r="B358" s="3" t="s">
        <v>250</v>
      </c>
      <c r="C358" s="3" t="s">
        <v>122</v>
      </c>
      <c r="D358" s="3" t="s">
        <v>251</v>
      </c>
      <c r="E358" s="48">
        <v>3.0</v>
      </c>
      <c r="F358" s="168" t="s">
        <v>235</v>
      </c>
      <c r="G358" s="137">
        <v>11.2996487</v>
      </c>
      <c r="H358" s="137">
        <v>0.19736628</v>
      </c>
      <c r="I358" s="137">
        <v>7.44836175</v>
      </c>
      <c r="J358" s="120">
        <f t="shared" si="1"/>
        <v>57.25217448</v>
      </c>
      <c r="K358" s="121">
        <v>-0.176</v>
      </c>
      <c r="L358" s="121">
        <v>-0.598</v>
      </c>
      <c r="M358" s="122">
        <f t="shared" si="13"/>
        <v>0.422</v>
      </c>
      <c r="N358" s="120">
        <v>23.1</v>
      </c>
      <c r="O358" s="120">
        <v>17.65014632701422</v>
      </c>
      <c r="P358" s="123">
        <v>19.346303326357383</v>
      </c>
      <c r="Q358" s="120">
        <v>0.0</v>
      </c>
      <c r="R358" s="120">
        <v>1.0960987500000003</v>
      </c>
      <c r="S358" s="15"/>
      <c r="T358" s="161"/>
      <c r="AA358" s="15"/>
      <c r="AB358" s="15"/>
      <c r="AC358" s="15"/>
      <c r="AD358" s="15"/>
      <c r="AE358" s="15"/>
    </row>
    <row r="359" ht="15.0" customHeight="1">
      <c r="A359" s="134" t="s">
        <v>238</v>
      </c>
      <c r="B359" s="3" t="s">
        <v>250</v>
      </c>
      <c r="C359" s="3" t="s">
        <v>122</v>
      </c>
      <c r="D359" s="3" t="s">
        <v>251</v>
      </c>
      <c r="E359" s="48">
        <v>4.0</v>
      </c>
      <c r="F359" s="168" t="s">
        <v>235</v>
      </c>
      <c r="G359" s="137">
        <v>11.5261669</v>
      </c>
      <c r="H359" s="137">
        <v>0.17510581</v>
      </c>
      <c r="I359" s="137">
        <v>4.9190374</v>
      </c>
      <c r="J359" s="120">
        <f t="shared" si="1"/>
        <v>65.82401178</v>
      </c>
      <c r="K359" s="121"/>
      <c r="L359" s="121">
        <v>-0.73</v>
      </c>
      <c r="M359" s="122"/>
      <c r="N359" s="120">
        <v>43.8</v>
      </c>
      <c r="O359" s="120">
        <v>8.683208120035303</v>
      </c>
      <c r="P359" s="123">
        <v>9.898359709014972</v>
      </c>
      <c r="Q359" s="120">
        <v>0.7</v>
      </c>
      <c r="R359" s="120">
        <v>1.1399427000000004</v>
      </c>
      <c r="S359" s="15"/>
      <c r="T359" s="161"/>
      <c r="AA359" s="15"/>
      <c r="AB359" s="15"/>
      <c r="AC359" s="15"/>
      <c r="AD359" s="15"/>
      <c r="AE359" s="15"/>
    </row>
    <row r="360" ht="15.0" customHeight="1">
      <c r="A360" s="134" t="s">
        <v>238</v>
      </c>
      <c r="B360" s="3" t="s">
        <v>250</v>
      </c>
      <c r="C360" s="3" t="s">
        <v>122</v>
      </c>
      <c r="D360" s="3" t="s">
        <v>251</v>
      </c>
      <c r="E360" s="48">
        <v>5.0</v>
      </c>
      <c r="F360" s="168" t="s">
        <v>235</v>
      </c>
      <c r="G360" s="137">
        <v>17.914099</v>
      </c>
      <c r="H360" s="137">
        <v>0.25014782</v>
      </c>
      <c r="I360" s="137">
        <v>8.91386627</v>
      </c>
      <c r="J360" s="120">
        <f t="shared" si="1"/>
        <v>71.61405204</v>
      </c>
      <c r="K360" s="121">
        <v>-0.192</v>
      </c>
      <c r="L360" s="121">
        <v>-0.67</v>
      </c>
      <c r="M360" s="122">
        <f>K360-L360</f>
        <v>0.478</v>
      </c>
      <c r="N360" s="120">
        <v>41.5</v>
      </c>
      <c r="O360" s="120">
        <v>18.64825579497908</v>
      </c>
      <c r="P360" s="123">
        <v>20.985405329665006</v>
      </c>
      <c r="Q360" s="120">
        <v>0.7</v>
      </c>
      <c r="R360" s="120">
        <v>1.1253280500000002</v>
      </c>
      <c r="S360" s="15"/>
      <c r="T360" s="161"/>
      <c r="AA360" s="15"/>
      <c r="AB360" s="15"/>
      <c r="AC360" s="15"/>
      <c r="AD360" s="15"/>
      <c r="AE360" s="15"/>
    </row>
    <row r="361" ht="15.0" customHeight="1">
      <c r="A361" s="134" t="s">
        <v>238</v>
      </c>
      <c r="B361" s="3" t="s">
        <v>250</v>
      </c>
      <c r="C361" s="3" t="s">
        <v>122</v>
      </c>
      <c r="D361" s="3" t="s">
        <v>251</v>
      </c>
      <c r="E361" s="48">
        <v>6.0</v>
      </c>
      <c r="F361" s="168" t="s">
        <v>235</v>
      </c>
      <c r="G361" s="137">
        <v>10.9537031</v>
      </c>
      <c r="H361" s="137">
        <v>0.13019754</v>
      </c>
      <c r="I361" s="137">
        <v>4.33608003</v>
      </c>
      <c r="J361" s="120">
        <f t="shared" si="1"/>
        <v>84.1314137</v>
      </c>
      <c r="K361" s="121"/>
      <c r="L361" s="121">
        <v>-0.628</v>
      </c>
      <c r="M361" s="122"/>
      <c r="N361" s="120">
        <v>49.5</v>
      </c>
      <c r="O361" s="120">
        <v>9.33494086114101</v>
      </c>
      <c r="P361" s="123">
        <v>11.596285943783334</v>
      </c>
      <c r="Q361" s="120">
        <v>0.4</v>
      </c>
      <c r="R361" s="120">
        <v>1.2422452500000003</v>
      </c>
      <c r="S361" s="15"/>
      <c r="T361" s="161"/>
      <c r="AA361" s="15"/>
      <c r="AB361" s="15"/>
      <c r="AC361" s="15"/>
      <c r="AD361" s="15"/>
      <c r="AE361" s="15"/>
    </row>
    <row r="362" ht="15.0" customHeight="1">
      <c r="A362" s="134" t="s">
        <v>238</v>
      </c>
      <c r="B362" s="3" t="s">
        <v>257</v>
      </c>
      <c r="C362" s="3" t="s">
        <v>129</v>
      </c>
      <c r="D362" s="135" t="s">
        <v>240</v>
      </c>
      <c r="E362" s="48">
        <v>1.0</v>
      </c>
      <c r="F362" s="168" t="s">
        <v>235</v>
      </c>
      <c r="G362" s="137">
        <v>11.2931543</v>
      </c>
      <c r="H362" s="137">
        <v>0.19925467</v>
      </c>
      <c r="I362" s="137">
        <v>6.80138194</v>
      </c>
      <c r="J362" s="120">
        <f t="shared" si="1"/>
        <v>56.67698679</v>
      </c>
      <c r="K362" s="121">
        <v>-0.27</v>
      </c>
      <c r="L362" s="121">
        <v>-0.72</v>
      </c>
      <c r="M362" s="122">
        <f t="shared" ref="M362:M364" si="14">K362-L362</f>
        <v>0.45</v>
      </c>
      <c r="N362" s="120">
        <v>42.9</v>
      </c>
      <c r="O362" s="120">
        <v>15.11418208888889</v>
      </c>
      <c r="P362" s="123">
        <v>11.927977988330523</v>
      </c>
      <c r="Q362" s="120">
        <v>0.0</v>
      </c>
      <c r="R362" s="120">
        <v>0.7891911000000001</v>
      </c>
      <c r="S362" s="15"/>
      <c r="T362" s="161"/>
      <c r="AA362" s="15"/>
      <c r="AB362" s="15"/>
      <c r="AC362" s="15"/>
      <c r="AD362" s="15"/>
      <c r="AE362" s="15"/>
    </row>
    <row r="363" ht="15.0" customHeight="1">
      <c r="A363" s="134" t="s">
        <v>238</v>
      </c>
      <c r="B363" s="3" t="s">
        <v>257</v>
      </c>
      <c r="C363" s="3" t="s">
        <v>129</v>
      </c>
      <c r="D363" s="135" t="s">
        <v>240</v>
      </c>
      <c r="E363" s="48">
        <v>2.0</v>
      </c>
      <c r="F363" s="168" t="s">
        <v>235</v>
      </c>
      <c r="G363" s="137">
        <v>14.0391364</v>
      </c>
      <c r="H363" s="137">
        <v>0.24601472</v>
      </c>
      <c r="I363" s="137">
        <v>8.54323515</v>
      </c>
      <c r="J363" s="120">
        <f t="shared" si="1"/>
        <v>57.06624547</v>
      </c>
      <c r="K363" s="121">
        <v>-0.203</v>
      </c>
      <c r="L363" s="121">
        <v>-0.74</v>
      </c>
      <c r="M363" s="122">
        <f t="shared" si="14"/>
        <v>0.537</v>
      </c>
      <c r="N363" s="120">
        <v>53.9</v>
      </c>
      <c r="O363" s="120">
        <v>15.909190223463687</v>
      </c>
      <c r="P363" s="123">
        <v>16.04300003605471</v>
      </c>
      <c r="Q363" s="120">
        <v>0.8</v>
      </c>
      <c r="R363" s="120">
        <v>1.0084108500000002</v>
      </c>
      <c r="S363" s="15"/>
      <c r="T363" s="161"/>
      <c r="AA363" s="15"/>
      <c r="AB363" s="15"/>
      <c r="AC363" s="15"/>
      <c r="AD363" s="15"/>
      <c r="AE363" s="15"/>
    </row>
    <row r="364" ht="15.0" customHeight="1">
      <c r="A364" s="134" t="s">
        <v>238</v>
      </c>
      <c r="B364" s="3" t="s">
        <v>257</v>
      </c>
      <c r="C364" s="3" t="s">
        <v>129</v>
      </c>
      <c r="D364" s="135" t="s">
        <v>240</v>
      </c>
      <c r="E364" s="48">
        <v>3.0</v>
      </c>
      <c r="F364" s="168" t="s">
        <v>235</v>
      </c>
      <c r="G364" s="137">
        <v>12.8117538</v>
      </c>
      <c r="H364" s="137">
        <v>0.19491533</v>
      </c>
      <c r="I364" s="137">
        <v>7.2399044</v>
      </c>
      <c r="J364" s="120">
        <f t="shared" si="1"/>
        <v>65.72984177</v>
      </c>
      <c r="K364" s="121">
        <v>-0.154</v>
      </c>
      <c r="L364" s="121">
        <v>-0.847</v>
      </c>
      <c r="M364" s="122">
        <f t="shared" si="14"/>
        <v>0.693</v>
      </c>
      <c r="N364" s="120">
        <v>48.9</v>
      </c>
      <c r="O364" s="120">
        <v>10.447192496392498</v>
      </c>
      <c r="P364" s="123">
        <v>10.687744327218187</v>
      </c>
      <c r="Q364" s="120">
        <v>0.7</v>
      </c>
      <c r="R364" s="120">
        <v>1.0230255000000004</v>
      </c>
      <c r="S364" s="15"/>
      <c r="T364" s="161"/>
      <c r="AA364" s="15"/>
      <c r="AB364" s="15"/>
      <c r="AC364" s="15"/>
      <c r="AD364" s="15"/>
      <c r="AE364" s="15"/>
    </row>
    <row r="365" ht="15.0" customHeight="1">
      <c r="A365" s="134" t="s">
        <v>238</v>
      </c>
      <c r="B365" s="3" t="s">
        <v>257</v>
      </c>
      <c r="C365" s="3" t="s">
        <v>129</v>
      </c>
      <c r="D365" s="135" t="s">
        <v>240</v>
      </c>
      <c r="E365" s="48">
        <v>4.0</v>
      </c>
      <c r="F365" s="168" t="s">
        <v>235</v>
      </c>
      <c r="G365" s="137">
        <v>10.8063179</v>
      </c>
      <c r="H365" s="137">
        <v>0.22490988</v>
      </c>
      <c r="I365" s="137">
        <v>5.73867514</v>
      </c>
      <c r="J365" s="120">
        <f t="shared" si="1"/>
        <v>48.04732411</v>
      </c>
      <c r="K365" s="121"/>
      <c r="L365" s="121">
        <v>-0.738</v>
      </c>
      <c r="M365" s="122"/>
      <c r="N365" s="120">
        <v>47.4</v>
      </c>
      <c r="O365" s="120">
        <v>10.726495588785047</v>
      </c>
      <c r="P365" s="123">
        <v>10.503186576694707</v>
      </c>
      <c r="Q365" s="120">
        <v>0.7</v>
      </c>
      <c r="R365" s="120">
        <v>0.9791815500000003</v>
      </c>
      <c r="S365" s="15"/>
      <c r="T365" s="161"/>
      <c r="AA365" s="15"/>
      <c r="AB365" s="15"/>
      <c r="AC365" s="15"/>
      <c r="AD365" s="15"/>
      <c r="AE365" s="15"/>
    </row>
    <row r="366" ht="15.0" customHeight="1">
      <c r="A366" s="134" t="s">
        <v>238</v>
      </c>
      <c r="B366" s="3" t="s">
        <v>257</v>
      </c>
      <c r="C366" s="3" t="s">
        <v>129</v>
      </c>
      <c r="D366" s="135" t="s">
        <v>240</v>
      </c>
      <c r="E366" s="48">
        <v>5.0</v>
      </c>
      <c r="F366" s="168" t="s">
        <v>235</v>
      </c>
      <c r="G366" s="137">
        <v>10.6224622</v>
      </c>
      <c r="H366" s="137">
        <v>0.17187445</v>
      </c>
      <c r="I366" s="137">
        <v>7.03991453</v>
      </c>
      <c r="J366" s="120">
        <f t="shared" si="1"/>
        <v>61.80361421</v>
      </c>
      <c r="K366" s="121">
        <v>-0.185</v>
      </c>
      <c r="L366" s="121">
        <v>-0.722</v>
      </c>
      <c r="M366" s="122">
        <f>K366-L366</f>
        <v>0.537</v>
      </c>
      <c r="N366" s="120">
        <v>37.9</v>
      </c>
      <c r="O366" s="120">
        <v>19.868242965597045</v>
      </c>
      <c r="P366" s="123">
        <v>19.454616942829915</v>
      </c>
      <c r="Q366" s="120">
        <v>0.6</v>
      </c>
      <c r="R366" s="120">
        <v>0.9791815500000003</v>
      </c>
      <c r="S366" s="15"/>
      <c r="T366" s="161"/>
      <c r="AA366" s="15"/>
      <c r="AB366" s="15"/>
      <c r="AC366" s="15"/>
      <c r="AD366" s="15"/>
      <c r="AE366" s="15"/>
    </row>
    <row r="367" ht="15.0" customHeight="1">
      <c r="A367" s="134" t="s">
        <v>238</v>
      </c>
      <c r="B367" s="3" t="s">
        <v>257</v>
      </c>
      <c r="C367" s="3" t="s">
        <v>129</v>
      </c>
      <c r="D367" s="135" t="s">
        <v>240</v>
      </c>
      <c r="E367" s="48">
        <v>6.0</v>
      </c>
      <c r="F367" s="168" t="s">
        <v>235</v>
      </c>
      <c r="G367" s="137">
        <v>11.8741097</v>
      </c>
      <c r="H367" s="137">
        <v>0.16775136</v>
      </c>
      <c r="I367" s="137">
        <v>5.00525825</v>
      </c>
      <c r="J367" s="120">
        <f t="shared" si="1"/>
        <v>70.7839847</v>
      </c>
      <c r="K367" s="121"/>
      <c r="L367" s="121">
        <v>-0.812</v>
      </c>
      <c r="M367" s="122"/>
      <c r="N367" s="120">
        <v>47.2</v>
      </c>
      <c r="O367" s="120">
        <v>8.21881486042693</v>
      </c>
      <c r="P367" s="123">
        <v>10.089668618394828</v>
      </c>
      <c r="Q367" s="120">
        <v>1.0</v>
      </c>
      <c r="R367" s="120">
        <v>1.2276306000000001</v>
      </c>
      <c r="S367" s="15"/>
      <c r="T367" s="161"/>
      <c r="AA367" s="15"/>
      <c r="AB367" s="15"/>
      <c r="AC367" s="15"/>
      <c r="AD367" s="15"/>
      <c r="AE367" s="15"/>
    </row>
    <row r="368" ht="15.0" customHeight="1">
      <c r="A368" s="134" t="s">
        <v>238</v>
      </c>
      <c r="B368" s="3" t="s">
        <v>258</v>
      </c>
      <c r="C368" s="3" t="s">
        <v>136</v>
      </c>
      <c r="D368" s="3" t="s">
        <v>251</v>
      </c>
      <c r="E368" s="48">
        <v>1.0</v>
      </c>
      <c r="F368" s="168" t="s">
        <v>235</v>
      </c>
      <c r="G368" s="137">
        <v>16.4084819</v>
      </c>
      <c r="H368" s="137">
        <v>0.29975544</v>
      </c>
      <c r="I368" s="137">
        <v>8.32004114</v>
      </c>
      <c r="J368" s="120">
        <f t="shared" si="1"/>
        <v>54.73956336</v>
      </c>
      <c r="K368" s="121">
        <v>-0.194</v>
      </c>
      <c r="L368" s="121">
        <v>-0.63</v>
      </c>
      <c r="M368" s="122">
        <f t="shared" ref="M368:M370" si="15">K368-L368</f>
        <v>0.436</v>
      </c>
      <c r="N368" s="120">
        <v>34.1</v>
      </c>
      <c r="O368" s="120">
        <v>19.082663165137618</v>
      </c>
      <c r="P368" s="123">
        <v>15.617640820677197</v>
      </c>
      <c r="Q368" s="120">
        <v>1.1</v>
      </c>
      <c r="R368" s="120">
        <v>0.8184204000000002</v>
      </c>
      <c r="S368" s="15"/>
      <c r="T368" s="161"/>
      <c r="AA368" s="15"/>
      <c r="AB368" s="15"/>
      <c r="AC368" s="15"/>
      <c r="AD368" s="15"/>
      <c r="AE368" s="15"/>
    </row>
    <row r="369" ht="15.0" customHeight="1">
      <c r="A369" s="134" t="s">
        <v>238</v>
      </c>
      <c r="B369" s="3" t="s">
        <v>258</v>
      </c>
      <c r="C369" s="3" t="s">
        <v>136</v>
      </c>
      <c r="D369" s="3" t="s">
        <v>251</v>
      </c>
      <c r="E369" s="48">
        <v>2.0</v>
      </c>
      <c r="F369" s="168" t="s">
        <v>235</v>
      </c>
      <c r="G369" s="137">
        <v>9.87480274</v>
      </c>
      <c r="H369" s="137">
        <v>0.15030983</v>
      </c>
      <c r="I369" s="137">
        <v>6.23268725</v>
      </c>
      <c r="J369" s="120">
        <f t="shared" si="1"/>
        <v>65.69632033</v>
      </c>
      <c r="K369" s="121">
        <v>-0.21</v>
      </c>
      <c r="L369" s="121">
        <v>-0.76</v>
      </c>
      <c r="M369" s="122">
        <f t="shared" si="15"/>
        <v>0.55</v>
      </c>
      <c r="N369" s="120">
        <v>34.2</v>
      </c>
      <c r="O369" s="120">
        <v>11.332158636363635</v>
      </c>
      <c r="P369" s="123">
        <v>8.612007675176455</v>
      </c>
      <c r="Q369" s="120">
        <v>0.2</v>
      </c>
      <c r="R369" s="120">
        <v>0.7599618000000001</v>
      </c>
      <c r="S369" s="15"/>
      <c r="T369" s="161"/>
      <c r="AA369" s="15"/>
      <c r="AB369" s="15"/>
      <c r="AC369" s="15"/>
      <c r="AD369" s="15"/>
      <c r="AE369" s="15"/>
    </row>
    <row r="370" ht="15.0" customHeight="1">
      <c r="A370" s="134" t="s">
        <v>238</v>
      </c>
      <c r="B370" s="3" t="s">
        <v>258</v>
      </c>
      <c r="C370" s="3" t="s">
        <v>136</v>
      </c>
      <c r="D370" s="3" t="s">
        <v>251</v>
      </c>
      <c r="E370" s="48">
        <v>3.0</v>
      </c>
      <c r="F370" s="168" t="s">
        <v>235</v>
      </c>
      <c r="G370" s="137">
        <v>13.5760768</v>
      </c>
      <c r="H370" s="137">
        <v>0.24966182</v>
      </c>
      <c r="I370" s="137">
        <v>8.38615637</v>
      </c>
      <c r="J370" s="120">
        <f t="shared" si="1"/>
        <v>54.37786523</v>
      </c>
      <c r="K370" s="121">
        <v>-0.182</v>
      </c>
      <c r="L370" s="121">
        <v>-0.65</v>
      </c>
      <c r="M370" s="122">
        <f t="shared" si="15"/>
        <v>0.468</v>
      </c>
      <c r="N370" s="120">
        <v>42.0</v>
      </c>
      <c r="O370" s="120">
        <v>17.919137542735044</v>
      </c>
      <c r="P370" s="123">
        <v>20.164908108647822</v>
      </c>
      <c r="Q370" s="120">
        <v>0.9</v>
      </c>
      <c r="R370" s="120">
        <v>1.1253280500000002</v>
      </c>
      <c r="S370" s="15"/>
      <c r="T370" s="161"/>
      <c r="AA370" s="15"/>
      <c r="AB370" s="15"/>
      <c r="AC370" s="15"/>
      <c r="AD370" s="15"/>
      <c r="AE370" s="15"/>
    </row>
    <row r="371" ht="15.0" customHeight="1">
      <c r="A371" s="134" t="s">
        <v>238</v>
      </c>
      <c r="B371" s="3" t="s">
        <v>258</v>
      </c>
      <c r="C371" s="3" t="s">
        <v>136</v>
      </c>
      <c r="D371" s="3" t="s">
        <v>251</v>
      </c>
      <c r="E371" s="48">
        <v>4.0</v>
      </c>
      <c r="F371" s="168" t="s">
        <v>235</v>
      </c>
      <c r="G371" s="137">
        <v>10.2498935</v>
      </c>
      <c r="H371" s="137">
        <v>0.17570002</v>
      </c>
      <c r="I371" s="137">
        <v>4.56665727</v>
      </c>
      <c r="J371" s="120">
        <f t="shared" si="1"/>
        <v>58.33746348</v>
      </c>
      <c r="K371" s="121"/>
      <c r="L371" s="121">
        <v>-0.57</v>
      </c>
      <c r="M371" s="122"/>
      <c r="N371" s="120">
        <v>36.3</v>
      </c>
      <c r="O371" s="120">
        <v>11.445256315789477</v>
      </c>
      <c r="P371" s="123">
        <v>11.039715404226477</v>
      </c>
      <c r="Q371" s="120">
        <v>0.7</v>
      </c>
      <c r="R371" s="120">
        <v>0.9645669000000001</v>
      </c>
      <c r="S371" s="15"/>
      <c r="T371" s="161"/>
      <c r="AA371" s="15"/>
      <c r="AB371" s="15"/>
      <c r="AC371" s="15"/>
      <c r="AD371" s="15"/>
      <c r="AE371" s="15"/>
    </row>
    <row r="372" ht="15.0" customHeight="1">
      <c r="A372" s="134" t="s">
        <v>238</v>
      </c>
      <c r="B372" s="3" t="s">
        <v>258</v>
      </c>
      <c r="C372" s="3" t="s">
        <v>136</v>
      </c>
      <c r="D372" s="3" t="s">
        <v>251</v>
      </c>
      <c r="E372" s="48">
        <v>5.0</v>
      </c>
      <c r="F372" s="168" t="s">
        <v>235</v>
      </c>
      <c r="G372" s="137">
        <v>12.1746329</v>
      </c>
      <c r="H372" s="137">
        <v>0.17500722</v>
      </c>
      <c r="I372" s="137">
        <v>6.46335278</v>
      </c>
      <c r="J372" s="120">
        <f t="shared" si="1"/>
        <v>69.56646074</v>
      </c>
      <c r="K372" s="121">
        <v>-0.098</v>
      </c>
      <c r="L372" s="121">
        <v>-0.562</v>
      </c>
      <c r="M372" s="122">
        <f>K372-L372</f>
        <v>0.464</v>
      </c>
      <c r="N372" s="120">
        <v>31.7</v>
      </c>
      <c r="O372" s="120">
        <v>13.929639612068964</v>
      </c>
      <c r="P372" s="123">
        <v>15.268260566739281</v>
      </c>
      <c r="Q372" s="120">
        <v>0.7</v>
      </c>
      <c r="R372" s="120">
        <v>1.0960987500000003</v>
      </c>
      <c r="S372" s="15"/>
      <c r="T372" s="161"/>
      <c r="AA372" s="15"/>
      <c r="AB372" s="15"/>
      <c r="AC372" s="15"/>
      <c r="AD372" s="15"/>
      <c r="AE372" s="15"/>
    </row>
    <row r="373" ht="15.0" customHeight="1">
      <c r="A373" s="134" t="s">
        <v>238</v>
      </c>
      <c r="B373" s="3" t="s">
        <v>258</v>
      </c>
      <c r="C373" s="3" t="s">
        <v>136</v>
      </c>
      <c r="D373" s="3" t="s">
        <v>251</v>
      </c>
      <c r="E373" s="48">
        <v>6.0</v>
      </c>
      <c r="F373" s="168" t="s">
        <v>235</v>
      </c>
      <c r="G373" s="137">
        <v>11.3226681</v>
      </c>
      <c r="H373" s="137">
        <v>0.15842379</v>
      </c>
      <c r="I373" s="137">
        <v>4.58048854</v>
      </c>
      <c r="J373" s="120">
        <f t="shared" si="1"/>
        <v>71.47075638</v>
      </c>
      <c r="K373" s="121"/>
      <c r="L373" s="121">
        <v>-0.556</v>
      </c>
      <c r="M373" s="122"/>
      <c r="N373" s="120">
        <v>42.0</v>
      </c>
      <c r="O373" s="120">
        <v>11.89737283116883</v>
      </c>
      <c r="P373" s="123">
        <v>13.736199247916286</v>
      </c>
      <c r="Q373" s="120">
        <v>0.2</v>
      </c>
      <c r="R373" s="120">
        <v>1.1545573500000001</v>
      </c>
      <c r="S373" s="15"/>
      <c r="T373" s="161"/>
      <c r="AA373" s="15"/>
      <c r="AB373" s="15"/>
      <c r="AC373" s="15"/>
      <c r="AD373" s="15"/>
      <c r="AE373" s="15"/>
    </row>
    <row r="374" ht="15.0" customHeight="1">
      <c r="A374" s="134" t="s">
        <v>249</v>
      </c>
      <c r="B374" s="3" t="s">
        <v>257</v>
      </c>
      <c r="C374" s="3" t="s">
        <v>143</v>
      </c>
      <c r="D374" s="135" t="s">
        <v>240</v>
      </c>
      <c r="E374" s="48">
        <v>1.0</v>
      </c>
      <c r="F374" s="168" t="s">
        <v>235</v>
      </c>
      <c r="G374" s="137">
        <v>15.5407974</v>
      </c>
      <c r="H374" s="137">
        <v>0.29182799</v>
      </c>
      <c r="I374" s="137">
        <v>8.36880341</v>
      </c>
      <c r="J374" s="120">
        <f t="shared" si="1"/>
        <v>53.2532791</v>
      </c>
      <c r="K374" s="121">
        <v>-0.167</v>
      </c>
      <c r="L374" s="121">
        <v>-0.718</v>
      </c>
      <c r="M374" s="122">
        <f t="shared" ref="M374:M376" si="16">K374-L374</f>
        <v>0.551</v>
      </c>
      <c r="N374" s="120">
        <v>31.2</v>
      </c>
      <c r="O374" s="120">
        <v>15.188390943738659</v>
      </c>
      <c r="P374" s="123">
        <v>14.428246150884167</v>
      </c>
      <c r="Q374" s="120">
        <v>0.3</v>
      </c>
      <c r="R374" s="120">
        <v>0.9499522500000003</v>
      </c>
      <c r="S374" s="15"/>
      <c r="T374" s="161"/>
      <c r="AA374" s="15"/>
      <c r="AB374" s="15"/>
      <c r="AC374" s="15"/>
      <c r="AD374" s="15"/>
      <c r="AE374" s="15"/>
    </row>
    <row r="375" ht="15.0" customHeight="1">
      <c r="A375" s="134" t="s">
        <v>249</v>
      </c>
      <c r="B375" s="3" t="s">
        <v>257</v>
      </c>
      <c r="C375" s="3" t="s">
        <v>143</v>
      </c>
      <c r="D375" s="135" t="s">
        <v>240</v>
      </c>
      <c r="E375" s="48">
        <v>2.0</v>
      </c>
      <c r="F375" s="168" t="s">
        <v>235</v>
      </c>
      <c r="G375" s="137">
        <v>11.0911566</v>
      </c>
      <c r="H375" s="137">
        <v>0.1528329</v>
      </c>
      <c r="I375" s="137">
        <v>5.80170753</v>
      </c>
      <c r="J375" s="120">
        <f t="shared" si="1"/>
        <v>72.57047795</v>
      </c>
      <c r="K375" s="121">
        <v>-0.15</v>
      </c>
      <c r="L375" s="121">
        <v>-0.655</v>
      </c>
      <c r="M375" s="122">
        <f t="shared" si="16"/>
        <v>0.505</v>
      </c>
      <c r="N375" s="120">
        <v>35.5</v>
      </c>
      <c r="O375" s="120">
        <v>11.488529762376237</v>
      </c>
      <c r="P375" s="123">
        <v>10.409852172486138</v>
      </c>
      <c r="Q375" s="120">
        <v>0.8</v>
      </c>
      <c r="R375" s="120">
        <v>0.9061083000000002</v>
      </c>
      <c r="S375" s="15"/>
      <c r="T375" s="161"/>
      <c r="AA375" s="15"/>
      <c r="AB375" s="15"/>
      <c r="AC375" s="15"/>
      <c r="AD375" s="15"/>
      <c r="AE375" s="15"/>
    </row>
    <row r="376" ht="15.0" customHeight="1">
      <c r="A376" s="134" t="s">
        <v>249</v>
      </c>
      <c r="B376" s="3" t="s">
        <v>257</v>
      </c>
      <c r="C376" s="3" t="s">
        <v>143</v>
      </c>
      <c r="D376" s="135" t="s">
        <v>240</v>
      </c>
      <c r="E376" s="48">
        <v>3.0</v>
      </c>
      <c r="F376" s="168" t="s">
        <v>235</v>
      </c>
      <c r="G376" s="137">
        <v>13.8479347</v>
      </c>
      <c r="H376" s="137">
        <v>0.21906274</v>
      </c>
      <c r="I376" s="137">
        <v>8.26396598</v>
      </c>
      <c r="J376" s="120">
        <f t="shared" si="1"/>
        <v>63.2144686</v>
      </c>
      <c r="K376" s="121">
        <v>-0.209</v>
      </c>
      <c r="L376" s="121">
        <v>-0.712</v>
      </c>
      <c r="M376" s="122">
        <f t="shared" si="16"/>
        <v>0.503</v>
      </c>
      <c r="N376" s="120">
        <v>40.6</v>
      </c>
      <c r="O376" s="120">
        <v>16.4293558250497</v>
      </c>
      <c r="P376" s="123">
        <v>17.047759242707947</v>
      </c>
      <c r="Q376" s="120">
        <v>0.6</v>
      </c>
      <c r="R376" s="120">
        <v>1.03764015</v>
      </c>
      <c r="S376" s="15"/>
      <c r="T376" s="161"/>
      <c r="AA376" s="15"/>
      <c r="AB376" s="15"/>
      <c r="AC376" s="15"/>
      <c r="AD376" s="15"/>
      <c r="AE376" s="15"/>
    </row>
    <row r="377" ht="15.0" customHeight="1">
      <c r="A377" s="134" t="s">
        <v>249</v>
      </c>
      <c r="B377" s="3" t="s">
        <v>257</v>
      </c>
      <c r="C377" s="3" t="s">
        <v>143</v>
      </c>
      <c r="D377" s="135" t="s">
        <v>240</v>
      </c>
      <c r="E377" s="48">
        <v>4.0</v>
      </c>
      <c r="F377" s="168" t="s">
        <v>235</v>
      </c>
      <c r="G377" s="137">
        <v>13.3680743</v>
      </c>
      <c r="H377" s="137">
        <v>0.2365446</v>
      </c>
      <c r="I377" s="137">
        <v>5.4967995</v>
      </c>
      <c r="J377" s="120">
        <f t="shared" si="1"/>
        <v>56.51396946</v>
      </c>
      <c r="K377" s="121"/>
      <c r="L377" s="121">
        <v>-0.645</v>
      </c>
      <c r="M377" s="122"/>
      <c r="N377" s="120">
        <v>43.8</v>
      </c>
      <c r="O377" s="120">
        <v>11.596623417721519</v>
      </c>
      <c r="P377" s="123">
        <v>11.355199692930858</v>
      </c>
      <c r="Q377" s="120">
        <v>0.8</v>
      </c>
      <c r="R377" s="120">
        <v>0.9791815500000003</v>
      </c>
      <c r="S377" s="15"/>
      <c r="T377" s="161"/>
      <c r="AA377" s="15"/>
      <c r="AB377" s="15"/>
      <c r="AC377" s="15"/>
      <c r="AD377" s="15"/>
      <c r="AE377" s="15"/>
    </row>
    <row r="378" ht="15.0" customHeight="1">
      <c r="A378" s="134" t="s">
        <v>249</v>
      </c>
      <c r="B378" s="3" t="s">
        <v>257</v>
      </c>
      <c r="C378" s="3" t="s">
        <v>143</v>
      </c>
      <c r="D378" s="135" t="s">
        <v>240</v>
      </c>
      <c r="E378" s="48">
        <v>5.0</v>
      </c>
      <c r="F378" s="168" t="s">
        <v>235</v>
      </c>
      <c r="G378" s="137">
        <v>14.3706636</v>
      </c>
      <c r="H378" s="137">
        <v>0.27056894</v>
      </c>
      <c r="I378" s="137">
        <v>9.17684044</v>
      </c>
      <c r="J378" s="120">
        <f t="shared" si="1"/>
        <v>53.11276158</v>
      </c>
      <c r="K378" s="121">
        <v>-0.158</v>
      </c>
      <c r="L378" s="121">
        <v>-0.628</v>
      </c>
      <c r="M378" s="122">
        <f>K378-L378</f>
        <v>0.47</v>
      </c>
      <c r="N378" s="120">
        <v>32.9</v>
      </c>
      <c r="O378" s="120">
        <v>19.525192425531916</v>
      </c>
      <c r="P378" s="123">
        <v>21.116185157653202</v>
      </c>
      <c r="Q378" s="120">
        <v>0.4</v>
      </c>
      <c r="R378" s="120">
        <v>1.0814841000000002</v>
      </c>
      <c r="S378" s="15"/>
      <c r="T378" s="161"/>
      <c r="AA378" s="15"/>
      <c r="AB378" s="15"/>
      <c r="AC378" s="15"/>
      <c r="AD378" s="15"/>
      <c r="AE378" s="15"/>
    </row>
    <row r="379" ht="15.0" customHeight="1">
      <c r="A379" s="134" t="s">
        <v>249</v>
      </c>
      <c r="B379" s="3" t="s">
        <v>257</v>
      </c>
      <c r="C379" s="3" t="s">
        <v>143</v>
      </c>
      <c r="D379" s="135" t="s">
        <v>240</v>
      </c>
      <c r="E379" s="48">
        <v>6.0</v>
      </c>
      <c r="F379" s="168" t="s">
        <v>235</v>
      </c>
      <c r="G379" s="137">
        <v>11.1424675</v>
      </c>
      <c r="H379" s="137">
        <v>0.20691862</v>
      </c>
      <c r="I379" s="137">
        <v>5.4384462</v>
      </c>
      <c r="J379" s="120">
        <f t="shared" si="1"/>
        <v>53.84951581</v>
      </c>
      <c r="K379" s="121"/>
      <c r="L379" s="121">
        <v>-0.581</v>
      </c>
      <c r="M379" s="122"/>
      <c r="N379" s="120">
        <v>32.5</v>
      </c>
      <c r="O379" s="120">
        <v>13.26450292682927</v>
      </c>
      <c r="P379" s="123">
        <v>12.988356535872224</v>
      </c>
      <c r="Q379" s="120">
        <v>0.7</v>
      </c>
      <c r="R379" s="120">
        <v>0.9791815500000003</v>
      </c>
      <c r="S379" s="15"/>
      <c r="T379" s="161"/>
      <c r="AA379" s="15"/>
      <c r="AB379" s="15"/>
      <c r="AC379" s="15"/>
      <c r="AD379" s="15"/>
      <c r="AE379" s="15"/>
    </row>
    <row r="380" ht="15.0" customHeight="1">
      <c r="A380" s="134" t="s">
        <v>244</v>
      </c>
      <c r="B380" s="3" t="s">
        <v>250</v>
      </c>
      <c r="C380" s="3" t="s">
        <v>164</v>
      </c>
      <c r="D380" s="3" t="s">
        <v>251</v>
      </c>
      <c r="E380" s="48">
        <v>1.0</v>
      </c>
      <c r="F380" s="168" t="s">
        <v>235</v>
      </c>
      <c r="G380" s="137">
        <v>11.8459499</v>
      </c>
      <c r="H380" s="137">
        <v>0.20811701</v>
      </c>
      <c r="I380" s="137">
        <v>6.3184301</v>
      </c>
      <c r="J380" s="120">
        <f t="shared" si="1"/>
        <v>56.91966217</v>
      </c>
      <c r="K380" s="121">
        <v>-0.11</v>
      </c>
      <c r="L380" s="121">
        <v>-0.56</v>
      </c>
      <c r="M380" s="122">
        <f t="shared" ref="M380:M382" si="17">K380-L380</f>
        <v>0.45</v>
      </c>
      <c r="N380" s="120">
        <v>41.1</v>
      </c>
      <c r="O380" s="120">
        <v>14.040955777777775</v>
      </c>
      <c r="P380" s="123">
        <v>11.6966082983889</v>
      </c>
      <c r="Q380" s="120">
        <v>0.5</v>
      </c>
      <c r="R380" s="120">
        <v>0.8330350500000002</v>
      </c>
      <c r="S380" s="15"/>
      <c r="T380" s="161"/>
      <c r="AA380" s="15"/>
      <c r="AB380" s="15"/>
      <c r="AC380" s="15"/>
      <c r="AD380" s="15"/>
      <c r="AE380" s="15"/>
    </row>
    <row r="381" ht="15.0" customHeight="1">
      <c r="A381" s="134" t="s">
        <v>244</v>
      </c>
      <c r="B381" s="3" t="s">
        <v>250</v>
      </c>
      <c r="C381" s="3" t="s">
        <v>164</v>
      </c>
      <c r="D381" s="3" t="s">
        <v>251</v>
      </c>
      <c r="E381" s="48">
        <v>2.0</v>
      </c>
      <c r="F381" s="168" t="s">
        <v>235</v>
      </c>
      <c r="G381" s="137">
        <v>12.001527</v>
      </c>
      <c r="H381" s="137">
        <v>0.20927214</v>
      </c>
      <c r="I381" s="137">
        <v>7.60423028</v>
      </c>
      <c r="J381" s="120">
        <f t="shared" si="1"/>
        <v>57.34889986</v>
      </c>
      <c r="K381" s="121">
        <v>-0.154</v>
      </c>
      <c r="L381" s="121">
        <v>-0.625</v>
      </c>
      <c r="M381" s="122">
        <f t="shared" si="17"/>
        <v>0.471</v>
      </c>
      <c r="N381" s="120">
        <v>37.7</v>
      </c>
      <c r="O381" s="120">
        <v>16.144862590233547</v>
      </c>
      <c r="P381" s="123">
        <v>17.69636370407676</v>
      </c>
      <c r="Q381" s="120">
        <v>0.8</v>
      </c>
      <c r="R381" s="120">
        <v>1.0960987500000003</v>
      </c>
      <c r="S381" s="15"/>
      <c r="T381" s="161"/>
      <c r="AA381" s="15"/>
      <c r="AB381" s="15"/>
      <c r="AC381" s="15"/>
      <c r="AD381" s="15"/>
      <c r="AE381" s="15"/>
    </row>
    <row r="382" ht="15.0" customHeight="1">
      <c r="A382" s="134" t="s">
        <v>244</v>
      </c>
      <c r="B382" s="3" t="s">
        <v>250</v>
      </c>
      <c r="C382" s="3" t="s">
        <v>164</v>
      </c>
      <c r="D382" s="3" t="s">
        <v>251</v>
      </c>
      <c r="E382" s="48">
        <v>3.0</v>
      </c>
      <c r="F382" s="168" t="s">
        <v>235</v>
      </c>
      <c r="G382" s="137">
        <v>13.8570509</v>
      </c>
      <c r="H382" s="137">
        <v>0.228178</v>
      </c>
      <c r="I382" s="137">
        <v>8.19843406</v>
      </c>
      <c r="J382" s="120">
        <f t="shared" si="1"/>
        <v>60.7291277</v>
      </c>
      <c r="K382" s="121">
        <v>-0.097</v>
      </c>
      <c r="L382" s="121">
        <v>-0.649</v>
      </c>
      <c r="M382" s="122">
        <f t="shared" si="17"/>
        <v>0.552</v>
      </c>
      <c r="N382" s="120">
        <v>44.4</v>
      </c>
      <c r="O382" s="120">
        <v>14.852235615942028</v>
      </c>
      <c r="P382" s="123">
        <v>14.543035091383324</v>
      </c>
      <c r="Q382" s="120">
        <v>0.8</v>
      </c>
      <c r="R382" s="120">
        <v>0.9791815500000003</v>
      </c>
      <c r="S382" s="15"/>
      <c r="T382" s="161"/>
      <c r="AA382" s="15"/>
      <c r="AB382" s="15"/>
      <c r="AC382" s="15"/>
      <c r="AD382" s="15"/>
      <c r="AE382" s="15"/>
    </row>
    <row r="383" ht="15.0" customHeight="1">
      <c r="A383" s="134" t="s">
        <v>244</v>
      </c>
      <c r="B383" s="3" t="s">
        <v>250</v>
      </c>
      <c r="C383" s="3" t="s">
        <v>164</v>
      </c>
      <c r="D383" s="3" t="s">
        <v>251</v>
      </c>
      <c r="E383" s="48">
        <v>4.0</v>
      </c>
      <c r="F383" s="168" t="s">
        <v>235</v>
      </c>
      <c r="G383" s="137">
        <v>11.8322756</v>
      </c>
      <c r="H383" s="137">
        <v>0.20337674</v>
      </c>
      <c r="I383" s="137">
        <v>4.86298559</v>
      </c>
      <c r="J383" s="120">
        <f t="shared" si="1"/>
        <v>58.17909954</v>
      </c>
      <c r="K383" s="121"/>
      <c r="L383" s="121">
        <v>-0.667</v>
      </c>
      <c r="M383" s="122"/>
      <c r="N383" s="120">
        <v>42.0</v>
      </c>
      <c r="O383" s="120">
        <v>14.940047895545314</v>
      </c>
      <c r="P383" s="123">
        <v>16.157424252270722</v>
      </c>
      <c r="Q383" s="120">
        <v>1.0</v>
      </c>
      <c r="R383" s="120">
        <v>1.0814841000000002</v>
      </c>
      <c r="S383" s="15"/>
      <c r="T383" s="161"/>
      <c r="AA383" s="15"/>
      <c r="AB383" s="15"/>
      <c r="AC383" s="15"/>
      <c r="AD383" s="15"/>
      <c r="AE383" s="15"/>
    </row>
    <row r="384" ht="15.0" customHeight="1">
      <c r="A384" s="134" t="s">
        <v>244</v>
      </c>
      <c r="B384" s="3" t="s">
        <v>250</v>
      </c>
      <c r="C384" s="3" t="s">
        <v>164</v>
      </c>
      <c r="D384" s="3" t="s">
        <v>251</v>
      </c>
      <c r="E384" s="48">
        <v>5.0</v>
      </c>
      <c r="F384" s="168" t="s">
        <v>235</v>
      </c>
      <c r="G384" s="137">
        <v>14.4538233</v>
      </c>
      <c r="H384" s="137">
        <v>0.24261977</v>
      </c>
      <c r="I384" s="137">
        <v>8.25790989</v>
      </c>
      <c r="J384" s="120">
        <f t="shared" si="1"/>
        <v>59.57397165</v>
      </c>
      <c r="K384" s="121">
        <v>-0.132</v>
      </c>
      <c r="L384" s="121">
        <v>-0.667</v>
      </c>
      <c r="M384" s="122">
        <f>K384-L384</f>
        <v>0.535</v>
      </c>
      <c r="N384" s="120">
        <v>44.4</v>
      </c>
      <c r="O384" s="120">
        <v>15.435345588785047</v>
      </c>
      <c r="P384" s="123">
        <v>17.36982735250358</v>
      </c>
      <c r="Q384" s="120">
        <v>1.1</v>
      </c>
      <c r="R384" s="120">
        <v>1.1253280500000002</v>
      </c>
      <c r="S384" s="15"/>
      <c r="T384" s="161"/>
      <c r="AA384" s="15"/>
      <c r="AB384" s="15"/>
      <c r="AC384" s="15"/>
      <c r="AD384" s="15"/>
      <c r="AE384" s="15"/>
    </row>
    <row r="385" ht="15.0" customHeight="1">
      <c r="A385" s="153" t="s">
        <v>244</v>
      </c>
      <c r="B385" s="154" t="s">
        <v>250</v>
      </c>
      <c r="C385" s="154" t="s">
        <v>164</v>
      </c>
      <c r="D385" s="154" t="s">
        <v>251</v>
      </c>
      <c r="E385" s="155">
        <v>6.0</v>
      </c>
      <c r="F385" s="169" t="s">
        <v>235</v>
      </c>
      <c r="G385" s="157">
        <v>13.2335154</v>
      </c>
      <c r="H385" s="157">
        <v>0.23017239</v>
      </c>
      <c r="I385" s="157">
        <v>5.65841429</v>
      </c>
      <c r="J385" s="120">
        <f t="shared" si="1"/>
        <v>57.49393053</v>
      </c>
      <c r="K385" s="121"/>
      <c r="L385" s="121">
        <v>-0.701</v>
      </c>
      <c r="M385" s="122"/>
      <c r="N385" s="120">
        <v>39.4</v>
      </c>
      <c r="O385" s="120">
        <v>15.73967813630042</v>
      </c>
      <c r="P385" s="123">
        <v>16.792181756451857</v>
      </c>
      <c r="Q385" s="120">
        <v>0.8</v>
      </c>
      <c r="R385" s="120">
        <v>1.0668694500000002</v>
      </c>
      <c r="S385" s="15"/>
      <c r="T385" s="161"/>
      <c r="AA385" s="15"/>
      <c r="AB385" s="15"/>
      <c r="AC385" s="15"/>
      <c r="AD385" s="15"/>
      <c r="AE385" s="15"/>
    </row>
    <row r="386" ht="15.0" customHeight="1">
      <c r="A386" s="115" t="s">
        <v>238</v>
      </c>
      <c r="B386" s="116" t="s">
        <v>239</v>
      </c>
      <c r="C386" s="116" t="s">
        <v>5</v>
      </c>
      <c r="D386" s="116" t="s">
        <v>240</v>
      </c>
      <c r="E386" s="117">
        <v>1.0</v>
      </c>
      <c r="F386" s="170" t="s">
        <v>236</v>
      </c>
      <c r="G386" s="119">
        <v>15.4904713</v>
      </c>
      <c r="H386" s="119">
        <v>0.27752245</v>
      </c>
      <c r="I386" s="119">
        <v>6.34525778</v>
      </c>
      <c r="J386" s="120">
        <f t="shared" si="1"/>
        <v>55.81700255</v>
      </c>
      <c r="K386" s="121">
        <v>-0.36</v>
      </c>
      <c r="L386" s="121">
        <v>-0.76</v>
      </c>
      <c r="M386" s="122">
        <f t="shared" ref="M386:M481" si="18">K386-L386</f>
        <v>0.4</v>
      </c>
      <c r="N386" s="120">
        <v>53.8</v>
      </c>
      <c r="O386" s="120">
        <v>15.863144449999998</v>
      </c>
      <c r="P386" s="123">
        <v>11.128046593737242</v>
      </c>
      <c r="Q386" s="120">
        <v>0.0</v>
      </c>
      <c r="R386" s="120">
        <v>0.7015032000000001</v>
      </c>
      <c r="S386" s="15"/>
      <c r="T386" s="161"/>
      <c r="AA386" s="15"/>
      <c r="AB386" s="15"/>
      <c r="AC386" s="15"/>
      <c r="AD386" s="15"/>
      <c r="AE386" s="15"/>
    </row>
    <row r="387" ht="15.0" customHeight="1">
      <c r="A387" s="134" t="s">
        <v>238</v>
      </c>
      <c r="B387" s="135" t="s">
        <v>239</v>
      </c>
      <c r="C387" s="135" t="s">
        <v>5</v>
      </c>
      <c r="D387" s="135" t="s">
        <v>240</v>
      </c>
      <c r="E387" s="8">
        <v>2.0</v>
      </c>
      <c r="F387" s="171" t="s">
        <v>236</v>
      </c>
      <c r="G387" s="137">
        <v>17.6710788</v>
      </c>
      <c r="H387" s="137">
        <v>0.30400335</v>
      </c>
      <c r="I387" s="137">
        <v>9.36629486</v>
      </c>
      <c r="J387" s="120">
        <f t="shared" si="1"/>
        <v>58.12790813</v>
      </c>
      <c r="K387" s="121">
        <v>-0.38</v>
      </c>
      <c r="L387" s="121">
        <v>-0.75</v>
      </c>
      <c r="M387" s="122">
        <f t="shared" si="18"/>
        <v>0.37</v>
      </c>
      <c r="N387" s="120">
        <v>39.0</v>
      </c>
      <c r="O387" s="120">
        <v>25.314310432432432</v>
      </c>
      <c r="P387" s="123">
        <v>28.1169438090625</v>
      </c>
      <c r="Q387" s="120">
        <v>0.6</v>
      </c>
      <c r="R387" s="120">
        <v>1.1107134</v>
      </c>
      <c r="S387" s="15"/>
      <c r="T387" s="161"/>
      <c r="AA387" s="15"/>
      <c r="AB387" s="15"/>
      <c r="AC387" s="15"/>
      <c r="AD387" s="15"/>
      <c r="AE387" s="15"/>
    </row>
    <row r="388" ht="15.0" customHeight="1">
      <c r="A388" s="134" t="s">
        <v>238</v>
      </c>
      <c r="B388" s="135" t="s">
        <v>239</v>
      </c>
      <c r="C388" s="135" t="s">
        <v>5</v>
      </c>
      <c r="D388" s="135" t="s">
        <v>240</v>
      </c>
      <c r="E388" s="8">
        <v>3.0</v>
      </c>
      <c r="F388" s="171" t="s">
        <v>236</v>
      </c>
      <c r="G388" s="137">
        <v>13.3648281</v>
      </c>
      <c r="H388" s="137">
        <v>0.32627533</v>
      </c>
      <c r="I388" s="137">
        <v>10.3876313</v>
      </c>
      <c r="J388" s="120">
        <f t="shared" si="1"/>
        <v>40.96181008</v>
      </c>
      <c r="K388" s="121">
        <v>-0.34</v>
      </c>
      <c r="L388" s="121">
        <v>-0.682</v>
      </c>
      <c r="M388" s="122">
        <f t="shared" si="18"/>
        <v>0.342</v>
      </c>
      <c r="N388" s="120">
        <v>51.8</v>
      </c>
      <c r="O388" s="120">
        <v>30.373190935672515</v>
      </c>
      <c r="P388" s="123">
        <v>35.51148439264212</v>
      </c>
      <c r="Q388" s="120">
        <v>0.8</v>
      </c>
      <c r="R388" s="120">
        <v>1.1691720000000003</v>
      </c>
      <c r="S388" s="15"/>
      <c r="T388" s="161"/>
      <c r="AA388" s="15"/>
      <c r="AB388" s="15"/>
      <c r="AC388" s="15"/>
      <c r="AD388" s="15"/>
      <c r="AE388" s="15"/>
    </row>
    <row r="389" ht="15.0" customHeight="1">
      <c r="A389" s="134" t="s">
        <v>238</v>
      </c>
      <c r="B389" s="135" t="s">
        <v>239</v>
      </c>
      <c r="C389" s="135" t="s">
        <v>5</v>
      </c>
      <c r="D389" s="135" t="s">
        <v>240</v>
      </c>
      <c r="E389" s="8">
        <v>4.0</v>
      </c>
      <c r="F389" s="171" t="s">
        <v>236</v>
      </c>
      <c r="G389" s="137">
        <v>12.5180977</v>
      </c>
      <c r="H389" s="137">
        <v>0.26075209</v>
      </c>
      <c r="I389" s="137">
        <v>9.63986819</v>
      </c>
      <c r="J389" s="120">
        <f t="shared" si="1"/>
        <v>48.00766007</v>
      </c>
      <c r="K389" s="121">
        <v>-0.361</v>
      </c>
      <c r="L389" s="121">
        <v>-0.727</v>
      </c>
      <c r="M389" s="122">
        <f t="shared" si="18"/>
        <v>0.366</v>
      </c>
      <c r="N389" s="120">
        <v>39.4</v>
      </c>
      <c r="O389" s="120">
        <v>26.33843767759563</v>
      </c>
      <c r="P389" s="123">
        <v>25.405185181521617</v>
      </c>
      <c r="Q389" s="120">
        <v>0.4</v>
      </c>
      <c r="R389" s="120">
        <v>0.9645669000000001</v>
      </c>
      <c r="S389" s="15"/>
      <c r="T389" s="161"/>
      <c r="AA389" s="15"/>
      <c r="AB389" s="15"/>
      <c r="AC389" s="15"/>
      <c r="AD389" s="15"/>
      <c r="AE389" s="15"/>
    </row>
    <row r="390" ht="15.0" customHeight="1">
      <c r="A390" s="134" t="s">
        <v>238</v>
      </c>
      <c r="B390" s="135" t="s">
        <v>239</v>
      </c>
      <c r="C390" s="135" t="s">
        <v>5</v>
      </c>
      <c r="D390" s="135" t="s">
        <v>240</v>
      </c>
      <c r="E390" s="8">
        <v>5.0</v>
      </c>
      <c r="F390" s="171" t="s">
        <v>236</v>
      </c>
      <c r="G390" s="137">
        <v>9.37210234</v>
      </c>
      <c r="H390" s="137">
        <v>0.22884103</v>
      </c>
      <c r="I390" s="137">
        <v>8.5191611</v>
      </c>
      <c r="J390" s="120">
        <f t="shared" si="1"/>
        <v>40.95464148</v>
      </c>
      <c r="K390" s="121">
        <v>-0.45</v>
      </c>
      <c r="L390" s="121">
        <v>-0.896</v>
      </c>
      <c r="M390" s="122">
        <f t="shared" si="18"/>
        <v>0.446</v>
      </c>
      <c r="N390" s="120">
        <v>43.5</v>
      </c>
      <c r="O390" s="120">
        <v>19.101258071748877</v>
      </c>
      <c r="P390" s="123">
        <v>18.703599485645086</v>
      </c>
      <c r="Q390" s="120">
        <v>0.7</v>
      </c>
      <c r="R390" s="120">
        <v>0.9791815500000003</v>
      </c>
      <c r="S390" s="15"/>
      <c r="T390" s="161"/>
      <c r="AA390" s="15"/>
      <c r="AB390" s="15"/>
      <c r="AC390" s="15"/>
      <c r="AD390" s="15"/>
      <c r="AE390" s="15"/>
    </row>
    <row r="391" ht="15.0" customHeight="1">
      <c r="A391" s="134" t="s">
        <v>238</v>
      </c>
      <c r="B391" s="135" t="s">
        <v>239</v>
      </c>
      <c r="C391" s="135" t="s">
        <v>5</v>
      </c>
      <c r="D391" s="135" t="s">
        <v>240</v>
      </c>
      <c r="E391" s="8">
        <v>6.0</v>
      </c>
      <c r="F391" s="171" t="s">
        <v>236</v>
      </c>
      <c r="G391" s="137">
        <v>2.64151583</v>
      </c>
      <c r="H391" s="137">
        <v>0.10284928</v>
      </c>
      <c r="I391" s="137">
        <v>4.71377678</v>
      </c>
      <c r="J391" s="120">
        <f t="shared" si="1"/>
        <v>25.68336725</v>
      </c>
      <c r="K391" s="121">
        <v>-0.385</v>
      </c>
      <c r="L391" s="121">
        <v>-0.887</v>
      </c>
      <c r="M391" s="122">
        <f t="shared" si="18"/>
        <v>0.502</v>
      </c>
      <c r="N391" s="120">
        <v>25.3</v>
      </c>
      <c r="O391" s="120">
        <v>9.38999358565737</v>
      </c>
      <c r="P391" s="123">
        <v>9.4689714132073</v>
      </c>
      <c r="Q391" s="120">
        <v>0.0</v>
      </c>
      <c r="R391" s="120">
        <v>1.0084108500000002</v>
      </c>
      <c r="S391" s="15"/>
      <c r="T391" s="161"/>
      <c r="AA391" s="15"/>
      <c r="AB391" s="15"/>
      <c r="AC391" s="15"/>
      <c r="AD391" s="15"/>
      <c r="AE391" s="15"/>
    </row>
    <row r="392" ht="15.0" customHeight="1">
      <c r="A392" s="134" t="s">
        <v>244</v>
      </c>
      <c r="B392" s="3" t="s">
        <v>239</v>
      </c>
      <c r="C392" s="3" t="s">
        <v>30</v>
      </c>
      <c r="D392" s="135" t="s">
        <v>240</v>
      </c>
      <c r="E392" s="8">
        <v>1.0</v>
      </c>
      <c r="F392" s="171" t="s">
        <v>236</v>
      </c>
      <c r="G392" s="137">
        <v>15.8518801</v>
      </c>
      <c r="H392" s="137">
        <v>0.26821953</v>
      </c>
      <c r="I392" s="137">
        <v>6.45437293</v>
      </c>
      <c r="J392" s="120">
        <f t="shared" si="1"/>
        <v>59.10039474</v>
      </c>
      <c r="K392" s="121">
        <v>-0.24</v>
      </c>
      <c r="L392" s="121">
        <v>-0.706</v>
      </c>
      <c r="M392" s="122">
        <f t="shared" si="18"/>
        <v>0.466</v>
      </c>
      <c r="N392" s="120">
        <v>51.0</v>
      </c>
      <c r="O392" s="120">
        <v>13.850585686695279</v>
      </c>
      <c r="P392" s="123">
        <v>15.181609657954592</v>
      </c>
      <c r="Q392" s="120">
        <v>1.9</v>
      </c>
      <c r="R392" s="120">
        <v>1.0960987500000003</v>
      </c>
      <c r="S392" s="15"/>
      <c r="T392" s="161"/>
      <c r="AA392" s="15"/>
      <c r="AB392" s="15"/>
      <c r="AC392" s="15"/>
      <c r="AD392" s="15"/>
      <c r="AE392" s="15"/>
    </row>
    <row r="393" ht="15.0" customHeight="1">
      <c r="A393" s="134" t="s">
        <v>244</v>
      </c>
      <c r="B393" s="3" t="s">
        <v>239</v>
      </c>
      <c r="C393" s="3" t="s">
        <v>30</v>
      </c>
      <c r="D393" s="135" t="s">
        <v>240</v>
      </c>
      <c r="E393" s="8">
        <v>2.0</v>
      </c>
      <c r="F393" s="171" t="s">
        <v>236</v>
      </c>
      <c r="G393" s="137">
        <v>15.6200479</v>
      </c>
      <c r="H393" s="137">
        <v>0.33657086</v>
      </c>
      <c r="I393" s="137">
        <v>9.7406259</v>
      </c>
      <c r="J393" s="120">
        <f t="shared" si="1"/>
        <v>46.4093888</v>
      </c>
      <c r="K393" s="121">
        <v>-0.42</v>
      </c>
      <c r="L393" s="121">
        <v>-0.716</v>
      </c>
      <c r="M393" s="122">
        <f t="shared" si="18"/>
        <v>0.296</v>
      </c>
      <c r="N393" s="120">
        <v>37.9</v>
      </c>
      <c r="O393" s="120">
        <v>32.907519932432436</v>
      </c>
      <c r="P393" s="123">
        <v>34.14616391881718</v>
      </c>
      <c r="Q393" s="120">
        <v>0.2</v>
      </c>
      <c r="R393" s="120">
        <v>1.03764015</v>
      </c>
      <c r="S393" s="15"/>
      <c r="T393" s="161"/>
      <c r="AA393" s="15"/>
      <c r="AB393" s="15"/>
      <c r="AC393" s="15"/>
      <c r="AD393" s="15"/>
      <c r="AE393" s="15"/>
    </row>
    <row r="394" ht="15.0" customHeight="1">
      <c r="A394" s="134" t="s">
        <v>244</v>
      </c>
      <c r="B394" s="3" t="s">
        <v>239</v>
      </c>
      <c r="C394" s="3" t="s">
        <v>30</v>
      </c>
      <c r="D394" s="135" t="s">
        <v>240</v>
      </c>
      <c r="E394" s="8">
        <v>3.0</v>
      </c>
      <c r="F394" s="171" t="s">
        <v>236</v>
      </c>
      <c r="G394" s="137">
        <v>15.5422087</v>
      </c>
      <c r="H394" s="137">
        <v>0.31037439</v>
      </c>
      <c r="I394" s="137">
        <v>10.241571</v>
      </c>
      <c r="J394" s="120">
        <f t="shared" si="1"/>
        <v>50.07568021</v>
      </c>
      <c r="K394" s="121">
        <v>-0.355</v>
      </c>
      <c r="L394" s="121">
        <v>-0.84</v>
      </c>
      <c r="M394" s="122">
        <f t="shared" si="18"/>
        <v>0.485</v>
      </c>
      <c r="N394" s="120">
        <v>39.0</v>
      </c>
      <c r="O394" s="120">
        <v>21.116641237113402</v>
      </c>
      <c r="P394" s="123">
        <v>20.059800855638667</v>
      </c>
      <c r="Q394" s="120">
        <v>0.0</v>
      </c>
      <c r="R394" s="120">
        <v>0.9499522500000003</v>
      </c>
      <c r="S394" s="15"/>
      <c r="T394" s="161"/>
      <c r="AA394" s="15"/>
      <c r="AB394" s="15"/>
      <c r="AC394" s="15"/>
      <c r="AD394" s="15"/>
      <c r="AE394" s="15"/>
    </row>
    <row r="395" ht="15.0" customHeight="1">
      <c r="A395" s="134" t="s">
        <v>244</v>
      </c>
      <c r="B395" s="3" t="s">
        <v>239</v>
      </c>
      <c r="C395" s="3" t="s">
        <v>30</v>
      </c>
      <c r="D395" s="135" t="s">
        <v>240</v>
      </c>
      <c r="E395" s="8">
        <v>4.0</v>
      </c>
      <c r="F395" s="171" t="s">
        <v>236</v>
      </c>
      <c r="G395" s="137">
        <v>14.3782403</v>
      </c>
      <c r="H395" s="137">
        <v>0.30586368</v>
      </c>
      <c r="I395" s="137">
        <v>10.8987719</v>
      </c>
      <c r="J395" s="120">
        <f t="shared" si="1"/>
        <v>47.00865529</v>
      </c>
      <c r="K395" s="121">
        <v>-0.261</v>
      </c>
      <c r="L395" s="121">
        <v>-0.62</v>
      </c>
      <c r="M395" s="122">
        <f t="shared" si="18"/>
        <v>0.359</v>
      </c>
      <c r="N395" s="120">
        <v>46.7</v>
      </c>
      <c r="O395" s="120">
        <v>30.358696100278554</v>
      </c>
      <c r="P395" s="123">
        <v>27.064584795678098</v>
      </c>
      <c r="Q395" s="120">
        <v>0.4</v>
      </c>
      <c r="R395" s="120">
        <v>0.8914936500000001</v>
      </c>
      <c r="S395" s="15"/>
      <c r="T395" s="161"/>
      <c r="AA395" s="15"/>
      <c r="AB395" s="15"/>
      <c r="AC395" s="15"/>
      <c r="AD395" s="15"/>
      <c r="AE395" s="15"/>
    </row>
    <row r="396" ht="15.0" customHeight="1">
      <c r="A396" s="134" t="s">
        <v>244</v>
      </c>
      <c r="B396" s="3" t="s">
        <v>239</v>
      </c>
      <c r="C396" s="3" t="s">
        <v>30</v>
      </c>
      <c r="D396" s="135" t="s">
        <v>240</v>
      </c>
      <c r="E396" s="8">
        <v>5.0</v>
      </c>
      <c r="F396" s="171" t="s">
        <v>236</v>
      </c>
      <c r="G396" s="137">
        <v>12.675784</v>
      </c>
      <c r="H396" s="137">
        <v>0.27022632</v>
      </c>
      <c r="I396" s="137">
        <v>9.93268645</v>
      </c>
      <c r="J396" s="120">
        <f t="shared" si="1"/>
        <v>46.9080288</v>
      </c>
      <c r="K396" s="121">
        <v>-0.387</v>
      </c>
      <c r="L396" s="121">
        <v>-0.83</v>
      </c>
      <c r="M396" s="122">
        <f t="shared" si="18"/>
        <v>0.443</v>
      </c>
      <c r="N396" s="120">
        <v>38.8</v>
      </c>
      <c r="O396" s="120">
        <v>22.42141410835215</v>
      </c>
      <c r="P396" s="123">
        <v>24.24840285769853</v>
      </c>
      <c r="Q396" s="120">
        <v>0.3</v>
      </c>
      <c r="R396" s="120">
        <v>1.0814841000000002</v>
      </c>
      <c r="S396" s="15"/>
      <c r="T396" s="161"/>
      <c r="AA396" s="15"/>
      <c r="AB396" s="15"/>
      <c r="AC396" s="15"/>
      <c r="AD396" s="15"/>
      <c r="AE396" s="15"/>
    </row>
    <row r="397" ht="15.0" customHeight="1">
      <c r="A397" s="134" t="s">
        <v>244</v>
      </c>
      <c r="B397" s="3" t="s">
        <v>239</v>
      </c>
      <c r="C397" s="3" t="s">
        <v>30</v>
      </c>
      <c r="D397" s="135" t="s">
        <v>240</v>
      </c>
      <c r="E397" s="8">
        <v>6.0</v>
      </c>
      <c r="F397" s="171" t="s">
        <v>236</v>
      </c>
      <c r="G397" s="137">
        <v>17.3548808</v>
      </c>
      <c r="H397" s="137">
        <v>0.30781141</v>
      </c>
      <c r="I397" s="137">
        <v>10.8475061</v>
      </c>
      <c r="J397" s="120">
        <f t="shared" si="1"/>
        <v>56.38153829</v>
      </c>
      <c r="K397" s="121">
        <v>-0.41</v>
      </c>
      <c r="L397" s="121">
        <v>-0.855</v>
      </c>
      <c r="M397" s="122">
        <f t="shared" si="18"/>
        <v>0.445</v>
      </c>
      <c r="N397" s="120">
        <v>38.3</v>
      </c>
      <c r="O397" s="120">
        <v>24.37641820224719</v>
      </c>
      <c r="P397" s="123">
        <v>29.568984083196177</v>
      </c>
      <c r="Q397" s="120">
        <v>0.5</v>
      </c>
      <c r="R397" s="120">
        <v>1.2130159500000004</v>
      </c>
      <c r="S397" s="15"/>
      <c r="T397" s="161"/>
      <c r="AA397" s="15"/>
      <c r="AB397" s="15"/>
      <c r="AC397" s="15"/>
      <c r="AD397" s="15"/>
      <c r="AE397" s="15"/>
    </row>
    <row r="398" ht="15.0" customHeight="1">
      <c r="A398" s="134" t="s">
        <v>249</v>
      </c>
      <c r="B398" s="3" t="s">
        <v>250</v>
      </c>
      <c r="C398" s="3" t="s">
        <v>42</v>
      </c>
      <c r="D398" s="3" t="s">
        <v>251</v>
      </c>
      <c r="E398" s="8">
        <v>1.0</v>
      </c>
      <c r="F398" s="171" t="s">
        <v>236</v>
      </c>
      <c r="G398" s="137">
        <v>15.5159098</v>
      </c>
      <c r="H398" s="137">
        <v>0.30482115</v>
      </c>
      <c r="I398" s="137">
        <v>7.42670604</v>
      </c>
      <c r="J398" s="120">
        <f t="shared" si="1"/>
        <v>50.90168382</v>
      </c>
      <c r="K398" s="121">
        <v>-0.255</v>
      </c>
      <c r="L398" s="121">
        <v>-0.82</v>
      </c>
      <c r="M398" s="122">
        <f t="shared" si="18"/>
        <v>0.565</v>
      </c>
      <c r="N398" s="120">
        <v>31.0</v>
      </c>
      <c r="O398" s="120">
        <v>13.144612460176992</v>
      </c>
      <c r="P398" s="123">
        <v>16.32883239174569</v>
      </c>
      <c r="Q398" s="120">
        <v>0.6</v>
      </c>
      <c r="R398" s="120">
        <v>1.2422452500000003</v>
      </c>
      <c r="S398" s="15"/>
      <c r="T398" s="161"/>
      <c r="AA398" s="15"/>
      <c r="AB398" s="15"/>
      <c r="AC398" s="15"/>
      <c r="AD398" s="15"/>
      <c r="AE398" s="15"/>
    </row>
    <row r="399" ht="15.0" customHeight="1">
      <c r="A399" s="134" t="s">
        <v>249</v>
      </c>
      <c r="B399" s="3" t="s">
        <v>250</v>
      </c>
      <c r="C399" s="3" t="s">
        <v>42</v>
      </c>
      <c r="D399" s="3" t="s">
        <v>251</v>
      </c>
      <c r="E399" s="8">
        <v>2.0</v>
      </c>
      <c r="F399" s="171" t="s">
        <v>236</v>
      </c>
      <c r="G399" s="137">
        <v>19.3848092</v>
      </c>
      <c r="H399" s="137">
        <v>0.37295951</v>
      </c>
      <c r="I399" s="137">
        <v>10.391039</v>
      </c>
      <c r="J399" s="120">
        <f t="shared" si="1"/>
        <v>51.97563993</v>
      </c>
      <c r="K399" s="121">
        <v>-0.244</v>
      </c>
      <c r="L399" s="121">
        <v>-0.62</v>
      </c>
      <c r="M399" s="122">
        <f t="shared" si="18"/>
        <v>0.376</v>
      </c>
      <c r="N399" s="120">
        <v>43.9</v>
      </c>
      <c r="O399" s="120">
        <v>27.635742021276595</v>
      </c>
      <c r="P399" s="123">
        <v>30.29150228484376</v>
      </c>
      <c r="Q399" s="120">
        <v>0.5</v>
      </c>
      <c r="R399" s="120">
        <v>1.0960987500000003</v>
      </c>
      <c r="S399" s="15"/>
      <c r="T399" s="161"/>
      <c r="AA399" s="15"/>
      <c r="AB399" s="15"/>
      <c r="AC399" s="15"/>
      <c r="AD399" s="15"/>
      <c r="AE399" s="15"/>
    </row>
    <row r="400" ht="15.0" customHeight="1">
      <c r="A400" s="134" t="s">
        <v>249</v>
      </c>
      <c r="B400" s="3" t="s">
        <v>250</v>
      </c>
      <c r="C400" s="3" t="s">
        <v>42</v>
      </c>
      <c r="D400" s="3" t="s">
        <v>251</v>
      </c>
      <c r="E400" s="8">
        <v>3.0</v>
      </c>
      <c r="F400" s="171" t="s">
        <v>236</v>
      </c>
      <c r="G400" s="137">
        <v>13.6242321</v>
      </c>
      <c r="H400" s="137">
        <v>0.28867024</v>
      </c>
      <c r="I400" s="137">
        <v>9.84464659</v>
      </c>
      <c r="J400" s="120">
        <f t="shared" si="1"/>
        <v>47.19652466</v>
      </c>
      <c r="K400" s="121">
        <v>-0.23</v>
      </c>
      <c r="L400" s="121">
        <v>-0.65</v>
      </c>
      <c r="M400" s="122">
        <f t="shared" si="18"/>
        <v>0.42</v>
      </c>
      <c r="N400" s="120">
        <v>37.4</v>
      </c>
      <c r="O400" s="120">
        <v>23.439634738095236</v>
      </c>
      <c r="P400" s="123">
        <v>26.719840510358086</v>
      </c>
      <c r="Q400" s="120">
        <v>0.4</v>
      </c>
      <c r="R400" s="120">
        <v>1.1399427000000004</v>
      </c>
      <c r="S400" s="15"/>
      <c r="T400" s="161"/>
      <c r="AA400" s="15"/>
      <c r="AB400" s="15"/>
      <c r="AC400" s="15"/>
      <c r="AD400" s="15"/>
      <c r="AE400" s="15"/>
    </row>
    <row r="401" ht="15.0" customHeight="1">
      <c r="A401" s="134" t="s">
        <v>249</v>
      </c>
      <c r="B401" s="3" t="s">
        <v>250</v>
      </c>
      <c r="C401" s="3" t="s">
        <v>42</v>
      </c>
      <c r="D401" s="3" t="s">
        <v>251</v>
      </c>
      <c r="E401" s="8">
        <v>4.0</v>
      </c>
      <c r="F401" s="171" t="s">
        <v>236</v>
      </c>
      <c r="G401" s="137">
        <v>10.7955491</v>
      </c>
      <c r="H401" s="137">
        <v>0.21027429</v>
      </c>
      <c r="I401" s="137">
        <v>8.0897524</v>
      </c>
      <c r="J401" s="120">
        <f t="shared" si="1"/>
        <v>51.34031888</v>
      </c>
      <c r="K401" s="121">
        <v>-0.157</v>
      </c>
      <c r="L401" s="121">
        <v>-0.68</v>
      </c>
      <c r="M401" s="122">
        <f t="shared" si="18"/>
        <v>0.523</v>
      </c>
      <c r="N401" s="120">
        <v>36.7</v>
      </c>
      <c r="O401" s="120">
        <v>15.467977820267686</v>
      </c>
      <c r="P401" s="123">
        <v>18.31078564612899</v>
      </c>
      <c r="Q401" s="120">
        <v>1.0</v>
      </c>
      <c r="R401" s="120">
        <v>1.1837866500000003</v>
      </c>
      <c r="S401" s="15"/>
      <c r="T401" s="161"/>
      <c r="AA401" s="15"/>
      <c r="AB401" s="15"/>
      <c r="AC401" s="15"/>
      <c r="AD401" s="15"/>
      <c r="AE401" s="15"/>
    </row>
    <row r="402" ht="15.0" customHeight="1">
      <c r="A402" s="134" t="s">
        <v>249</v>
      </c>
      <c r="B402" s="3" t="s">
        <v>250</v>
      </c>
      <c r="C402" s="3" t="s">
        <v>42</v>
      </c>
      <c r="D402" s="3" t="s">
        <v>251</v>
      </c>
      <c r="E402" s="8">
        <v>5.0</v>
      </c>
      <c r="F402" s="171" t="s">
        <v>236</v>
      </c>
      <c r="G402" s="137">
        <v>14.6168297</v>
      </c>
      <c r="H402" s="137">
        <v>0.28226735</v>
      </c>
      <c r="I402" s="137">
        <v>10.2188846</v>
      </c>
      <c r="J402" s="120">
        <f t="shared" si="1"/>
        <v>51.78363597</v>
      </c>
      <c r="K402" s="121">
        <v>-0.364</v>
      </c>
      <c r="L402" s="121">
        <v>-0.73</v>
      </c>
      <c r="M402" s="122">
        <f t="shared" si="18"/>
        <v>0.366</v>
      </c>
      <c r="N402" s="120">
        <v>42.4</v>
      </c>
      <c r="O402" s="120">
        <v>27.92044972677596</v>
      </c>
      <c r="P402" s="123">
        <v>35.908188852749525</v>
      </c>
      <c r="Q402" s="120">
        <v>0.6</v>
      </c>
      <c r="R402" s="120">
        <v>1.2860892000000004</v>
      </c>
      <c r="S402" s="15"/>
      <c r="T402" s="161"/>
      <c r="AA402" s="15"/>
      <c r="AB402" s="15"/>
      <c r="AC402" s="15"/>
      <c r="AD402" s="15"/>
      <c r="AE402" s="15"/>
    </row>
    <row r="403" ht="15.0" customHeight="1">
      <c r="A403" s="134" t="s">
        <v>249</v>
      </c>
      <c r="B403" s="3" t="s">
        <v>250</v>
      </c>
      <c r="C403" s="3" t="s">
        <v>42</v>
      </c>
      <c r="D403" s="3" t="s">
        <v>251</v>
      </c>
      <c r="E403" s="8">
        <v>6.0</v>
      </c>
      <c r="F403" s="171" t="s">
        <v>236</v>
      </c>
      <c r="G403" s="137">
        <v>13.4182311</v>
      </c>
      <c r="H403" s="137">
        <v>0.27352574</v>
      </c>
      <c r="I403" s="137">
        <v>9.79379558</v>
      </c>
      <c r="J403" s="120">
        <f t="shared" si="1"/>
        <v>49.05655716</v>
      </c>
      <c r="K403" s="121">
        <v>-0.383</v>
      </c>
      <c r="L403" s="121">
        <v>-0.737</v>
      </c>
      <c r="M403" s="122">
        <f t="shared" si="18"/>
        <v>0.354</v>
      </c>
      <c r="N403" s="120">
        <v>36.6</v>
      </c>
      <c r="O403" s="120">
        <v>27.666089209039548</v>
      </c>
      <c r="P403" s="123">
        <v>34.77239811666453</v>
      </c>
      <c r="Q403" s="120">
        <v>0.4</v>
      </c>
      <c r="R403" s="120">
        <v>1.2568599000000003</v>
      </c>
      <c r="S403" s="15"/>
      <c r="T403" s="161"/>
      <c r="AA403" s="15"/>
      <c r="AB403" s="15"/>
      <c r="AC403" s="15"/>
      <c r="AD403" s="15"/>
      <c r="AE403" s="15"/>
    </row>
    <row r="404" ht="15.0" customHeight="1">
      <c r="A404" s="134" t="s">
        <v>256</v>
      </c>
      <c r="B404" s="3" t="s">
        <v>257</v>
      </c>
      <c r="C404" s="3" t="s">
        <v>54</v>
      </c>
      <c r="D404" s="135" t="s">
        <v>240</v>
      </c>
      <c r="E404" s="8">
        <v>1.0</v>
      </c>
      <c r="F404" s="171" t="s">
        <v>236</v>
      </c>
      <c r="G404" s="137">
        <v>15.5121329</v>
      </c>
      <c r="H404" s="137">
        <v>0.19666855</v>
      </c>
      <c r="I404" s="137">
        <v>5.83259494</v>
      </c>
      <c r="J404" s="120">
        <f t="shared" si="1"/>
        <v>78.87449671</v>
      </c>
      <c r="K404" s="121">
        <v>-0.37</v>
      </c>
      <c r="L404" s="121">
        <v>-0.718</v>
      </c>
      <c r="M404" s="122">
        <f t="shared" si="18"/>
        <v>0.348</v>
      </c>
      <c r="N404" s="120">
        <v>54.1</v>
      </c>
      <c r="O404" s="120">
        <v>16.76033028735632</v>
      </c>
      <c r="P404" s="123">
        <v>17.881084355490184</v>
      </c>
      <c r="Q404" s="120">
        <v>0.7</v>
      </c>
      <c r="R404" s="120">
        <v>1.0668694500000002</v>
      </c>
      <c r="S404" s="15"/>
      <c r="T404" s="161"/>
      <c r="AA404" s="15"/>
      <c r="AB404" s="15"/>
      <c r="AC404" s="15"/>
      <c r="AD404" s="15"/>
      <c r="AE404" s="15"/>
    </row>
    <row r="405" ht="15.0" customHeight="1">
      <c r="A405" s="134" t="s">
        <v>256</v>
      </c>
      <c r="B405" s="3" t="s">
        <v>257</v>
      </c>
      <c r="C405" s="3" t="s">
        <v>54</v>
      </c>
      <c r="D405" s="135" t="s">
        <v>240</v>
      </c>
      <c r="E405" s="8">
        <v>2.0</v>
      </c>
      <c r="F405" s="171" t="s">
        <v>236</v>
      </c>
      <c r="G405" s="137">
        <v>16.4547738</v>
      </c>
      <c r="H405" s="137">
        <v>0.34653088</v>
      </c>
      <c r="I405" s="137">
        <v>10.1183738</v>
      </c>
      <c r="J405" s="120">
        <f t="shared" si="1"/>
        <v>47.48429289</v>
      </c>
      <c r="K405" s="121">
        <v>-0.364</v>
      </c>
      <c r="L405" s="121">
        <v>-0.64</v>
      </c>
      <c r="M405" s="122">
        <f t="shared" si="18"/>
        <v>0.276</v>
      </c>
      <c r="N405" s="120">
        <v>40.2</v>
      </c>
      <c r="O405" s="120">
        <v>36.66077463768116</v>
      </c>
      <c r="P405" s="123">
        <v>38.57647608421827</v>
      </c>
      <c r="Q405" s="120">
        <v>0.5</v>
      </c>
      <c r="R405" s="120">
        <v>1.0522548000000003</v>
      </c>
      <c r="S405" s="15"/>
      <c r="T405" s="161"/>
      <c r="AA405" s="15"/>
      <c r="AB405" s="15"/>
      <c r="AC405" s="15"/>
      <c r="AD405" s="15"/>
      <c r="AE405" s="15"/>
    </row>
    <row r="406" ht="15.0" customHeight="1">
      <c r="A406" s="134" t="s">
        <v>256</v>
      </c>
      <c r="B406" s="3" t="s">
        <v>257</v>
      </c>
      <c r="C406" s="3" t="s">
        <v>54</v>
      </c>
      <c r="D406" s="135" t="s">
        <v>240</v>
      </c>
      <c r="E406" s="8">
        <v>3.0</v>
      </c>
      <c r="F406" s="171" t="s">
        <v>236</v>
      </c>
      <c r="G406" s="137">
        <v>16.3934725</v>
      </c>
      <c r="H406" s="137">
        <v>0.29508484</v>
      </c>
      <c r="I406" s="137">
        <v>9.98975729</v>
      </c>
      <c r="J406" s="120">
        <f t="shared" si="1"/>
        <v>55.55511595</v>
      </c>
      <c r="K406" s="121">
        <v>-0.341</v>
      </c>
      <c r="L406" s="121">
        <v>-0.663</v>
      </c>
      <c r="M406" s="122">
        <f t="shared" si="18"/>
        <v>0.322</v>
      </c>
      <c r="N406" s="120">
        <v>45.0</v>
      </c>
      <c r="O406" s="120">
        <v>31.02409096273292</v>
      </c>
      <c r="P406" s="123">
        <v>33.09865486216085</v>
      </c>
      <c r="Q406" s="120">
        <v>0.4</v>
      </c>
      <c r="R406" s="120">
        <v>1.0668694500000002</v>
      </c>
      <c r="S406" s="15"/>
      <c r="T406" s="161"/>
      <c r="AA406" s="15"/>
      <c r="AB406" s="15"/>
      <c r="AC406" s="15"/>
      <c r="AD406" s="15"/>
      <c r="AE406" s="15"/>
    </row>
    <row r="407" ht="15.0" customHeight="1">
      <c r="A407" s="134" t="s">
        <v>256</v>
      </c>
      <c r="B407" s="3" t="s">
        <v>257</v>
      </c>
      <c r="C407" s="3" t="s">
        <v>54</v>
      </c>
      <c r="D407" s="135" t="s">
        <v>240</v>
      </c>
      <c r="E407" s="8">
        <v>4.0</v>
      </c>
      <c r="F407" s="171" t="s">
        <v>236</v>
      </c>
      <c r="G407" s="137">
        <v>8.86524014</v>
      </c>
      <c r="H407" s="137">
        <v>0.14415177</v>
      </c>
      <c r="I407" s="137">
        <v>6.285157</v>
      </c>
      <c r="J407" s="120">
        <f t="shared" si="1"/>
        <v>61.49934989</v>
      </c>
      <c r="K407" s="121">
        <v>-0.302</v>
      </c>
      <c r="L407" s="121">
        <v>-0.672</v>
      </c>
      <c r="M407" s="122">
        <f t="shared" si="18"/>
        <v>0.37</v>
      </c>
      <c r="N407" s="120">
        <v>44.2</v>
      </c>
      <c r="O407" s="120">
        <v>16.98691081081081</v>
      </c>
      <c r="P407" s="123">
        <v>16.38501190136027</v>
      </c>
      <c r="Q407" s="120">
        <v>0.2</v>
      </c>
      <c r="R407" s="120">
        <v>0.9645669000000001</v>
      </c>
      <c r="S407" s="15"/>
      <c r="T407" s="161"/>
      <c r="AA407" s="15"/>
      <c r="AB407" s="15"/>
      <c r="AC407" s="15"/>
      <c r="AD407" s="15"/>
      <c r="AE407" s="15"/>
    </row>
    <row r="408" ht="15.0" customHeight="1">
      <c r="A408" s="134" t="s">
        <v>256</v>
      </c>
      <c r="B408" s="3" t="s">
        <v>257</v>
      </c>
      <c r="C408" s="3" t="s">
        <v>54</v>
      </c>
      <c r="D408" s="135" t="s">
        <v>240</v>
      </c>
      <c r="E408" s="8">
        <v>5.0</v>
      </c>
      <c r="F408" s="171" t="s">
        <v>236</v>
      </c>
      <c r="G408" s="137">
        <v>11.6248113</v>
      </c>
      <c r="H408" s="137">
        <v>0.17729729</v>
      </c>
      <c r="I408" s="137">
        <v>7.68075121</v>
      </c>
      <c r="J408" s="120">
        <f t="shared" si="1"/>
        <v>65.56677375</v>
      </c>
      <c r="K408" s="121">
        <v>-0.43</v>
      </c>
      <c r="L408" s="121">
        <v>-0.685</v>
      </c>
      <c r="M408" s="122">
        <f t="shared" si="18"/>
        <v>0.255</v>
      </c>
      <c r="N408" s="120">
        <v>45.9</v>
      </c>
      <c r="O408" s="120">
        <v>30.12059298039215</v>
      </c>
      <c r="P408" s="123">
        <v>32.13474046666484</v>
      </c>
      <c r="Q408" s="120">
        <v>0.3</v>
      </c>
      <c r="R408" s="120">
        <v>1.0668694500000002</v>
      </c>
      <c r="S408" s="15"/>
      <c r="T408" s="161"/>
      <c r="AA408" s="15"/>
      <c r="AB408" s="15"/>
      <c r="AC408" s="15"/>
      <c r="AD408" s="15"/>
      <c r="AE408" s="15"/>
    </row>
    <row r="409" ht="15.0" customHeight="1">
      <c r="A409" s="134" t="s">
        <v>256</v>
      </c>
      <c r="B409" s="3" t="s">
        <v>257</v>
      </c>
      <c r="C409" s="3" t="s">
        <v>54</v>
      </c>
      <c r="D409" s="135" t="s">
        <v>240</v>
      </c>
      <c r="E409" s="8">
        <v>6.0</v>
      </c>
      <c r="F409" s="171" t="s">
        <v>236</v>
      </c>
      <c r="G409" s="137">
        <v>9.47976695</v>
      </c>
      <c r="H409" s="137">
        <v>0.13586879</v>
      </c>
      <c r="I409" s="137">
        <v>6.36052029</v>
      </c>
      <c r="J409" s="120">
        <f t="shared" si="1"/>
        <v>69.77148284</v>
      </c>
      <c r="K409" s="121">
        <v>-0.296</v>
      </c>
      <c r="L409" s="121">
        <v>-0.736</v>
      </c>
      <c r="M409" s="122">
        <f t="shared" si="18"/>
        <v>0.44</v>
      </c>
      <c r="N409" s="120">
        <v>53.3</v>
      </c>
      <c r="O409" s="120">
        <v>14.455727931818183</v>
      </c>
      <c r="P409" s="123">
        <v>17.535028550155975</v>
      </c>
      <c r="Q409" s="120">
        <v>0.9</v>
      </c>
      <c r="R409" s="120">
        <v>1.2130159500000004</v>
      </c>
      <c r="S409" s="15"/>
      <c r="T409" s="161"/>
      <c r="AA409" s="15"/>
      <c r="AB409" s="15"/>
      <c r="AC409" s="15"/>
      <c r="AD409" s="15"/>
      <c r="AE409" s="15"/>
    </row>
    <row r="410" ht="15.0" customHeight="1">
      <c r="A410" s="134" t="s">
        <v>249</v>
      </c>
      <c r="B410" s="3" t="s">
        <v>258</v>
      </c>
      <c r="C410" s="3" t="s">
        <v>65</v>
      </c>
      <c r="D410" s="3" t="s">
        <v>251</v>
      </c>
      <c r="E410" s="8">
        <v>1.0</v>
      </c>
      <c r="F410" s="171" t="s">
        <v>236</v>
      </c>
      <c r="G410" s="137">
        <v>17.7268713</v>
      </c>
      <c r="H410" s="137">
        <v>0.45409322</v>
      </c>
      <c r="I410" s="137">
        <v>9.50648339</v>
      </c>
      <c r="J410" s="120">
        <f t="shared" si="1"/>
        <v>39.03795635</v>
      </c>
      <c r="K410" s="121">
        <v>-0.41</v>
      </c>
      <c r="L410" s="121">
        <v>-0.668</v>
      </c>
      <c r="M410" s="122">
        <f t="shared" si="18"/>
        <v>0.258</v>
      </c>
      <c r="N410" s="120">
        <v>43.5</v>
      </c>
      <c r="O410" s="120">
        <v>36.84683484496123</v>
      </c>
      <c r="P410" s="123">
        <v>45.772805563687584</v>
      </c>
      <c r="Q410" s="120">
        <v>0.7</v>
      </c>
      <c r="R410" s="120">
        <v>1.2422452500000003</v>
      </c>
      <c r="S410" s="15"/>
      <c r="T410" s="161"/>
      <c r="AA410" s="15"/>
      <c r="AB410" s="15"/>
      <c r="AC410" s="15"/>
      <c r="AD410" s="15"/>
      <c r="AE410" s="15"/>
    </row>
    <row r="411" ht="15.0" customHeight="1">
      <c r="A411" s="134" t="s">
        <v>249</v>
      </c>
      <c r="B411" s="3" t="s">
        <v>258</v>
      </c>
      <c r="C411" s="3" t="s">
        <v>65</v>
      </c>
      <c r="D411" s="3" t="s">
        <v>251</v>
      </c>
      <c r="E411" s="8">
        <v>2.0</v>
      </c>
      <c r="F411" s="171" t="s">
        <v>236</v>
      </c>
      <c r="G411" s="137">
        <v>14.8833806</v>
      </c>
      <c r="H411" s="137">
        <v>0.29670139</v>
      </c>
      <c r="I411" s="137">
        <v>9.48603239</v>
      </c>
      <c r="J411" s="120">
        <f t="shared" si="1"/>
        <v>50.16282735</v>
      </c>
      <c r="K411" s="121">
        <v>-0.292</v>
      </c>
      <c r="L411" s="121">
        <v>-0.62</v>
      </c>
      <c r="M411" s="122">
        <f t="shared" si="18"/>
        <v>0.328</v>
      </c>
      <c r="N411" s="120">
        <v>43.3</v>
      </c>
      <c r="O411" s="120">
        <v>28.920830457317074</v>
      </c>
      <c r="P411" s="123">
        <v>29.164079224169</v>
      </c>
      <c r="Q411" s="120">
        <v>0.3</v>
      </c>
      <c r="R411" s="120">
        <v>1.0084108500000002</v>
      </c>
      <c r="S411" s="15"/>
      <c r="T411" s="161"/>
      <c r="AA411" s="15"/>
      <c r="AB411" s="15"/>
      <c r="AC411" s="15"/>
      <c r="AD411" s="15"/>
      <c r="AE411" s="15"/>
    </row>
    <row r="412" ht="15.0" customHeight="1">
      <c r="A412" s="134" t="s">
        <v>249</v>
      </c>
      <c r="B412" s="3" t="s">
        <v>258</v>
      </c>
      <c r="C412" s="3" t="s">
        <v>65</v>
      </c>
      <c r="D412" s="3" t="s">
        <v>251</v>
      </c>
      <c r="E412" s="8">
        <v>3.0</v>
      </c>
      <c r="F412" s="171" t="s">
        <v>236</v>
      </c>
      <c r="G412" s="137">
        <v>14.6833211</v>
      </c>
      <c r="H412" s="137">
        <v>0.2344852</v>
      </c>
      <c r="I412" s="137">
        <v>8.73644519</v>
      </c>
      <c r="J412" s="120">
        <f t="shared" si="1"/>
        <v>62.61939389</v>
      </c>
      <c r="K412" s="121">
        <v>-0.208</v>
      </c>
      <c r="L412" s="121">
        <v>-0.738</v>
      </c>
      <c r="M412" s="122">
        <f t="shared" si="18"/>
        <v>0.53</v>
      </c>
      <c r="N412" s="120">
        <v>39.7</v>
      </c>
      <c r="O412" s="120">
        <v>16.483858849056602</v>
      </c>
      <c r="P412" s="123">
        <v>22.404241978737957</v>
      </c>
      <c r="Q412" s="120">
        <v>0.7</v>
      </c>
      <c r="R412" s="120">
        <v>1.3591624500000004</v>
      </c>
      <c r="S412" s="15"/>
      <c r="T412" s="161"/>
      <c r="AA412" s="15"/>
      <c r="AB412" s="15"/>
      <c r="AC412" s="15"/>
      <c r="AD412" s="15"/>
      <c r="AE412" s="15"/>
    </row>
    <row r="413" ht="15.0" customHeight="1">
      <c r="A413" s="134" t="s">
        <v>249</v>
      </c>
      <c r="B413" s="3" t="s">
        <v>258</v>
      </c>
      <c r="C413" s="3" t="s">
        <v>65</v>
      </c>
      <c r="D413" s="3" t="s">
        <v>251</v>
      </c>
      <c r="E413" s="8">
        <v>4.0</v>
      </c>
      <c r="F413" s="171" t="s">
        <v>236</v>
      </c>
      <c r="G413" s="137">
        <v>12.5394259</v>
      </c>
      <c r="H413" s="137">
        <v>0.21878955</v>
      </c>
      <c r="I413" s="137">
        <v>8.81302757</v>
      </c>
      <c r="J413" s="120">
        <f t="shared" si="1"/>
        <v>57.31272769</v>
      </c>
      <c r="K413" s="121">
        <v>-0.232</v>
      </c>
      <c r="L413" s="121">
        <v>-0.645</v>
      </c>
      <c r="M413" s="122">
        <f t="shared" si="18"/>
        <v>0.413</v>
      </c>
      <c r="N413" s="120">
        <v>43.4</v>
      </c>
      <c r="O413" s="120">
        <v>21.339049806295396</v>
      </c>
      <c r="P413" s="123">
        <v>26.820196005635456</v>
      </c>
      <c r="Q413" s="120">
        <v>0.9</v>
      </c>
      <c r="R413" s="120">
        <v>1.2568599000000003</v>
      </c>
      <c r="S413" s="15"/>
      <c r="T413" s="161"/>
      <c r="AA413" s="15"/>
      <c r="AB413" s="15"/>
      <c r="AC413" s="15"/>
      <c r="AD413" s="15"/>
      <c r="AE413" s="15"/>
    </row>
    <row r="414" ht="15.0" customHeight="1">
      <c r="A414" s="134" t="s">
        <v>249</v>
      </c>
      <c r="B414" s="3" t="s">
        <v>258</v>
      </c>
      <c r="C414" s="3" t="s">
        <v>65</v>
      </c>
      <c r="D414" s="3" t="s">
        <v>251</v>
      </c>
      <c r="E414" s="8">
        <v>5.0</v>
      </c>
      <c r="F414" s="171" t="s">
        <v>236</v>
      </c>
      <c r="G414" s="137">
        <v>15.1449841</v>
      </c>
      <c r="H414" s="137">
        <v>0.24893441</v>
      </c>
      <c r="I414" s="137">
        <v>9.48350585</v>
      </c>
      <c r="J414" s="120">
        <f t="shared" si="1"/>
        <v>60.83925521</v>
      </c>
      <c r="K414" s="121">
        <v>-0.321</v>
      </c>
      <c r="L414" s="121">
        <v>-0.763</v>
      </c>
      <c r="M414" s="122">
        <f t="shared" si="18"/>
        <v>0.442</v>
      </c>
      <c r="N414" s="120">
        <v>33.1</v>
      </c>
      <c r="O414" s="120">
        <v>21.455895588235293</v>
      </c>
      <c r="P414" s="123">
        <v>26.339913974522652</v>
      </c>
      <c r="Q414" s="120">
        <v>0.9</v>
      </c>
      <c r="R414" s="120">
        <v>1.2276306000000001</v>
      </c>
      <c r="S414" s="15"/>
      <c r="T414" s="161"/>
      <c r="AA414" s="15"/>
      <c r="AB414" s="15"/>
      <c r="AC414" s="15"/>
      <c r="AD414" s="15"/>
      <c r="AE414" s="15"/>
    </row>
    <row r="415" ht="15.0" customHeight="1">
      <c r="A415" s="134" t="s">
        <v>249</v>
      </c>
      <c r="B415" s="3" t="s">
        <v>258</v>
      </c>
      <c r="C415" s="3" t="s">
        <v>65</v>
      </c>
      <c r="D415" s="3" t="s">
        <v>251</v>
      </c>
      <c r="E415" s="8">
        <v>6.0</v>
      </c>
      <c r="F415" s="171" t="s">
        <v>236</v>
      </c>
      <c r="G415" s="137">
        <v>16.5644632</v>
      </c>
      <c r="H415" s="137">
        <v>0.36018425</v>
      </c>
      <c r="I415" s="137">
        <v>11.3804802</v>
      </c>
      <c r="J415" s="120">
        <f t="shared" si="1"/>
        <v>45.98886042</v>
      </c>
      <c r="K415" s="121">
        <v>-0.227</v>
      </c>
      <c r="L415" s="121">
        <v>-0.832</v>
      </c>
      <c r="M415" s="122">
        <f t="shared" si="18"/>
        <v>0.605</v>
      </c>
      <c r="N415" s="120">
        <v>39.2</v>
      </c>
      <c r="O415" s="120">
        <v>18.810711074380166</v>
      </c>
      <c r="P415" s="123">
        <v>24.192252357080733</v>
      </c>
      <c r="Q415" s="120">
        <v>0.4</v>
      </c>
      <c r="R415" s="120">
        <v>1.2860892000000004</v>
      </c>
      <c r="S415" s="15"/>
      <c r="T415" s="161"/>
      <c r="AA415" s="15"/>
      <c r="AB415" s="15"/>
      <c r="AC415" s="15"/>
      <c r="AD415" s="15"/>
      <c r="AE415" s="15"/>
    </row>
    <row r="416" ht="15.0" customHeight="1">
      <c r="A416" s="134" t="s">
        <v>256</v>
      </c>
      <c r="B416" s="3" t="s">
        <v>239</v>
      </c>
      <c r="C416" s="3" t="s">
        <v>73</v>
      </c>
      <c r="D416" s="135" t="s">
        <v>240</v>
      </c>
      <c r="E416" s="8">
        <v>1.0</v>
      </c>
      <c r="F416" s="171" t="s">
        <v>236</v>
      </c>
      <c r="G416" s="137">
        <v>14.3419854</v>
      </c>
      <c r="H416" s="137">
        <v>0.269947</v>
      </c>
      <c r="I416" s="137">
        <v>7.20306233</v>
      </c>
      <c r="J416" s="120">
        <f t="shared" si="1"/>
        <v>53.12889345</v>
      </c>
      <c r="K416" s="121">
        <v>-0.42</v>
      </c>
      <c r="L416" s="121">
        <v>-0.667</v>
      </c>
      <c r="M416" s="122">
        <f t="shared" si="18"/>
        <v>0.247</v>
      </c>
      <c r="N416" s="120">
        <v>41.3</v>
      </c>
      <c r="O416" s="120">
        <v>29.16219566801619</v>
      </c>
      <c r="P416" s="123">
        <v>34.09562263356583</v>
      </c>
      <c r="Q416" s="120">
        <v>0.9</v>
      </c>
      <c r="R416" s="120">
        <v>1.1691720000000003</v>
      </c>
      <c r="S416" s="15"/>
      <c r="T416" s="161"/>
      <c r="AA416" s="15"/>
      <c r="AB416" s="15"/>
      <c r="AC416" s="15"/>
      <c r="AD416" s="15"/>
      <c r="AE416" s="15"/>
    </row>
    <row r="417" ht="15.0" customHeight="1">
      <c r="A417" s="134" t="s">
        <v>256</v>
      </c>
      <c r="B417" s="3" t="s">
        <v>239</v>
      </c>
      <c r="C417" s="3" t="s">
        <v>73</v>
      </c>
      <c r="D417" s="135" t="s">
        <v>240</v>
      </c>
      <c r="E417" s="8">
        <v>2.0</v>
      </c>
      <c r="F417" s="171" t="s">
        <v>236</v>
      </c>
      <c r="G417" s="137">
        <v>11.8122112</v>
      </c>
      <c r="H417" s="137">
        <v>0.24879915</v>
      </c>
      <c r="I417" s="137">
        <v>8.16453916</v>
      </c>
      <c r="J417" s="120">
        <f t="shared" si="1"/>
        <v>47.47689532</v>
      </c>
      <c r="K417" s="121">
        <v>-0.36</v>
      </c>
      <c r="L417" s="121">
        <v>-0.592</v>
      </c>
      <c r="M417" s="122">
        <f t="shared" si="18"/>
        <v>0.232</v>
      </c>
      <c r="N417" s="120">
        <v>32.2</v>
      </c>
      <c r="O417" s="120">
        <v>35.191979137931035</v>
      </c>
      <c r="P417" s="123">
        <v>42.68843200637762</v>
      </c>
      <c r="Q417" s="120">
        <v>0.6</v>
      </c>
      <c r="R417" s="120">
        <v>1.2130159500000004</v>
      </c>
      <c r="S417" s="15"/>
      <c r="T417" s="161"/>
      <c r="AA417" s="15"/>
      <c r="AB417" s="15"/>
      <c r="AC417" s="15"/>
      <c r="AD417" s="15"/>
      <c r="AE417" s="15"/>
    </row>
    <row r="418" ht="15.0" customHeight="1">
      <c r="A418" s="134" t="s">
        <v>256</v>
      </c>
      <c r="B418" s="3" t="s">
        <v>239</v>
      </c>
      <c r="C418" s="3" t="s">
        <v>73</v>
      </c>
      <c r="D418" s="135" t="s">
        <v>240</v>
      </c>
      <c r="E418" s="8">
        <v>3.0</v>
      </c>
      <c r="F418" s="171" t="s">
        <v>236</v>
      </c>
      <c r="G418" s="137">
        <v>11.1803627</v>
      </c>
      <c r="H418" s="137">
        <v>0.1691674</v>
      </c>
      <c r="I418" s="137">
        <v>7.08313071</v>
      </c>
      <c r="J418" s="120">
        <f t="shared" si="1"/>
        <v>66.09052749</v>
      </c>
      <c r="K418" s="121">
        <v>-0.313</v>
      </c>
      <c r="L418" s="121">
        <v>-0.77</v>
      </c>
      <c r="M418" s="122">
        <f t="shared" si="18"/>
        <v>0.457</v>
      </c>
      <c r="N418" s="120">
        <v>48.9</v>
      </c>
      <c r="O418" s="120">
        <v>15.49919192560175</v>
      </c>
      <c r="P418" s="123">
        <v>17.215160160937668</v>
      </c>
      <c r="Q418" s="120">
        <v>0.5</v>
      </c>
      <c r="R418" s="120">
        <v>1.1107134</v>
      </c>
      <c r="S418" s="15"/>
      <c r="T418" s="161"/>
      <c r="AA418" s="15"/>
      <c r="AB418" s="15"/>
      <c r="AC418" s="15"/>
      <c r="AD418" s="15"/>
      <c r="AE418" s="15"/>
    </row>
    <row r="419" ht="15.0" customHeight="1">
      <c r="A419" s="134" t="s">
        <v>256</v>
      </c>
      <c r="B419" s="3" t="s">
        <v>239</v>
      </c>
      <c r="C419" s="3" t="s">
        <v>73</v>
      </c>
      <c r="D419" s="135" t="s">
        <v>240</v>
      </c>
      <c r="E419" s="8">
        <v>4.0</v>
      </c>
      <c r="F419" s="171" t="s">
        <v>236</v>
      </c>
      <c r="G419" s="137">
        <v>14.5180843</v>
      </c>
      <c r="H419" s="137">
        <v>0.23261308</v>
      </c>
      <c r="I419" s="137">
        <v>8.81460344</v>
      </c>
      <c r="J419" s="120">
        <f t="shared" si="1"/>
        <v>62.41301779</v>
      </c>
      <c r="K419" s="121">
        <v>-0.384</v>
      </c>
      <c r="L419" s="121">
        <v>-0.658</v>
      </c>
      <c r="M419" s="122">
        <f t="shared" si="18"/>
        <v>0.274</v>
      </c>
      <c r="N419" s="120">
        <v>35.0</v>
      </c>
      <c r="O419" s="120">
        <v>32.170085547445254</v>
      </c>
      <c r="P419" s="123">
        <v>32.440663311471994</v>
      </c>
      <c r="Q419" s="120">
        <v>0.4</v>
      </c>
      <c r="R419" s="120">
        <v>1.0084108500000002</v>
      </c>
      <c r="S419" s="15"/>
      <c r="T419" s="161"/>
      <c r="AA419" s="15"/>
      <c r="AB419" s="15"/>
      <c r="AC419" s="15"/>
      <c r="AD419" s="15"/>
      <c r="AE419" s="15"/>
    </row>
    <row r="420" ht="15.0" customHeight="1">
      <c r="A420" s="134" t="s">
        <v>256</v>
      </c>
      <c r="B420" s="3" t="s">
        <v>239</v>
      </c>
      <c r="C420" s="3" t="s">
        <v>73</v>
      </c>
      <c r="D420" s="135" t="s">
        <v>240</v>
      </c>
      <c r="E420" s="8">
        <v>5.0</v>
      </c>
      <c r="F420" s="171" t="s">
        <v>236</v>
      </c>
      <c r="G420" s="137">
        <v>14.0521791</v>
      </c>
      <c r="H420" s="137">
        <v>0.27438515</v>
      </c>
      <c r="I420" s="137">
        <v>10.2218772</v>
      </c>
      <c r="J420" s="120">
        <f t="shared" si="1"/>
        <v>51.2133368</v>
      </c>
      <c r="K420" s="121">
        <v>-0.41</v>
      </c>
      <c r="L420" s="121">
        <v>-0.804</v>
      </c>
      <c r="M420" s="122">
        <f t="shared" si="18"/>
        <v>0.394</v>
      </c>
      <c r="N420" s="120">
        <v>35.3</v>
      </c>
      <c r="O420" s="120">
        <v>25.943850761421313</v>
      </c>
      <c r="P420" s="123">
        <v>25.40374000153721</v>
      </c>
      <c r="Q420" s="120">
        <v>0.0</v>
      </c>
      <c r="R420" s="120">
        <v>0.9791815500000003</v>
      </c>
      <c r="S420" s="15"/>
      <c r="T420" s="161"/>
      <c r="AA420" s="15"/>
      <c r="AB420" s="15"/>
      <c r="AC420" s="15"/>
      <c r="AD420" s="15"/>
      <c r="AE420" s="15"/>
    </row>
    <row r="421" ht="15.0" customHeight="1">
      <c r="A421" s="134" t="s">
        <v>256</v>
      </c>
      <c r="B421" s="3" t="s">
        <v>239</v>
      </c>
      <c r="C421" s="3" t="s">
        <v>73</v>
      </c>
      <c r="D421" s="135" t="s">
        <v>240</v>
      </c>
      <c r="E421" s="8">
        <v>6.0</v>
      </c>
      <c r="F421" s="171" t="s">
        <v>236</v>
      </c>
      <c r="G421" s="137">
        <v>15.7497549</v>
      </c>
      <c r="H421" s="137">
        <v>0.29334108</v>
      </c>
      <c r="I421" s="137">
        <v>10.5879783</v>
      </c>
      <c r="J421" s="120">
        <f t="shared" si="1"/>
        <v>53.69092832</v>
      </c>
      <c r="K421" s="121">
        <v>-0.277</v>
      </c>
      <c r="L421" s="121">
        <v>-0.845</v>
      </c>
      <c r="M421" s="122">
        <f t="shared" si="18"/>
        <v>0.568</v>
      </c>
      <c r="N421" s="120">
        <v>43.1</v>
      </c>
      <c r="O421" s="120">
        <v>18.640806866197185</v>
      </c>
      <c r="P421" s="123">
        <v>22.06673831343257</v>
      </c>
      <c r="Q421" s="120">
        <v>0.2</v>
      </c>
      <c r="R421" s="120">
        <v>1.1837866500000003</v>
      </c>
      <c r="S421" s="15"/>
      <c r="T421" s="161"/>
      <c r="AA421" s="15"/>
      <c r="AB421" s="15"/>
      <c r="AC421" s="15"/>
      <c r="AD421" s="15"/>
      <c r="AE421" s="15"/>
    </row>
    <row r="422" ht="15.0" customHeight="1">
      <c r="A422" s="134" t="s">
        <v>244</v>
      </c>
      <c r="B422" s="3" t="s">
        <v>258</v>
      </c>
      <c r="C422" s="3" t="s">
        <v>80</v>
      </c>
      <c r="D422" s="3" t="s">
        <v>251</v>
      </c>
      <c r="E422" s="8">
        <v>1.0</v>
      </c>
      <c r="F422" s="171" t="s">
        <v>236</v>
      </c>
      <c r="G422" s="137">
        <v>20.2775506</v>
      </c>
      <c r="H422" s="137">
        <v>0.37393421</v>
      </c>
      <c r="I422" s="137">
        <v>8.97911391</v>
      </c>
      <c r="J422" s="120">
        <f t="shared" si="1"/>
        <v>54.22758886</v>
      </c>
      <c r="K422" s="121">
        <v>-0.38</v>
      </c>
      <c r="L422" s="121">
        <v>-0.68</v>
      </c>
      <c r="M422" s="122">
        <f t="shared" si="18"/>
        <v>0.3</v>
      </c>
      <c r="N422" s="120">
        <v>48.0</v>
      </c>
      <c r="O422" s="120">
        <v>29.930379699999996</v>
      </c>
      <c r="P422" s="123">
        <v>38.493138084069244</v>
      </c>
      <c r="Q422" s="120">
        <v>0.6</v>
      </c>
      <c r="R422" s="120">
        <v>1.2860892000000004</v>
      </c>
      <c r="S422" s="15"/>
      <c r="T422" s="161"/>
      <c r="AA422" s="15"/>
      <c r="AB422" s="15"/>
      <c r="AC422" s="15"/>
      <c r="AD422" s="15"/>
      <c r="AE422" s="15"/>
    </row>
    <row r="423" ht="15.0" customHeight="1">
      <c r="A423" s="134" t="s">
        <v>244</v>
      </c>
      <c r="B423" s="3" t="s">
        <v>258</v>
      </c>
      <c r="C423" s="3" t="s">
        <v>80</v>
      </c>
      <c r="D423" s="3" t="s">
        <v>251</v>
      </c>
      <c r="E423" s="8">
        <v>2.0</v>
      </c>
      <c r="F423" s="171" t="s">
        <v>236</v>
      </c>
      <c r="G423" s="137">
        <v>12.7565946</v>
      </c>
      <c r="H423" s="137">
        <v>0.24251617</v>
      </c>
      <c r="I423" s="137">
        <v>8.12432002</v>
      </c>
      <c r="J423" s="120">
        <f t="shared" si="1"/>
        <v>52.60100636</v>
      </c>
      <c r="K423" s="121">
        <v>-0.292</v>
      </c>
      <c r="L423" s="121">
        <v>-0.732</v>
      </c>
      <c r="M423" s="122">
        <f t="shared" si="18"/>
        <v>0.44</v>
      </c>
      <c r="N423" s="120">
        <v>44.9</v>
      </c>
      <c r="O423" s="120">
        <v>18.464363681818185</v>
      </c>
      <c r="P423" s="123">
        <v>20.238765951186313</v>
      </c>
      <c r="Q423" s="120">
        <v>0.8</v>
      </c>
      <c r="R423" s="120">
        <v>1.0960987500000003</v>
      </c>
      <c r="S423" s="15"/>
      <c r="T423" s="161"/>
      <c r="AA423" s="15"/>
      <c r="AB423" s="15"/>
      <c r="AC423" s="15"/>
      <c r="AD423" s="15"/>
      <c r="AE423" s="15"/>
    </row>
    <row r="424" ht="15.0" customHeight="1">
      <c r="A424" s="134" t="s">
        <v>244</v>
      </c>
      <c r="B424" s="3" t="s">
        <v>258</v>
      </c>
      <c r="C424" s="3" t="s">
        <v>80</v>
      </c>
      <c r="D424" s="3" t="s">
        <v>251</v>
      </c>
      <c r="E424" s="8">
        <v>3.0</v>
      </c>
      <c r="F424" s="171" t="s">
        <v>236</v>
      </c>
      <c r="G424" s="137">
        <v>20.0060046</v>
      </c>
      <c r="H424" s="137">
        <v>0.33327812</v>
      </c>
      <c r="I424" s="137">
        <v>10.9470341</v>
      </c>
      <c r="J424" s="120">
        <f t="shared" si="1"/>
        <v>60.02795683</v>
      </c>
      <c r="K424" s="121">
        <v>-0.364</v>
      </c>
      <c r="L424" s="121">
        <v>-0.542</v>
      </c>
      <c r="M424" s="122">
        <f t="shared" si="18"/>
        <v>0.178</v>
      </c>
      <c r="N424" s="120">
        <v>39.4</v>
      </c>
      <c r="O424" s="120">
        <v>61.50019157303369</v>
      </c>
      <c r="P424" s="123">
        <v>80.89233972955533</v>
      </c>
      <c r="Q424" s="120">
        <v>0.6</v>
      </c>
      <c r="R424" s="120">
        <v>1.3153185000000003</v>
      </c>
      <c r="S424" s="15"/>
      <c r="T424" s="161"/>
      <c r="AA424" s="15"/>
      <c r="AB424" s="15"/>
      <c r="AC424" s="15"/>
      <c r="AD424" s="15"/>
      <c r="AE424" s="15"/>
    </row>
    <row r="425" ht="15.0" customHeight="1">
      <c r="A425" s="134" t="s">
        <v>244</v>
      </c>
      <c r="B425" s="3" t="s">
        <v>258</v>
      </c>
      <c r="C425" s="3" t="s">
        <v>80</v>
      </c>
      <c r="D425" s="3" t="s">
        <v>251</v>
      </c>
      <c r="E425" s="8">
        <v>4.0</v>
      </c>
      <c r="F425" s="171" t="s">
        <v>236</v>
      </c>
      <c r="G425" s="137">
        <v>17.6690978</v>
      </c>
      <c r="H425" s="137">
        <v>0.33379635</v>
      </c>
      <c r="I425" s="137">
        <v>11.2552945</v>
      </c>
      <c r="J425" s="120">
        <f t="shared" si="1"/>
        <v>52.93376575</v>
      </c>
      <c r="K425" s="121">
        <v>-0.396</v>
      </c>
      <c r="L425" s="121">
        <v>-0.72</v>
      </c>
      <c r="M425" s="122">
        <f t="shared" si="18"/>
        <v>0.324</v>
      </c>
      <c r="N425" s="120">
        <v>44.6</v>
      </c>
      <c r="O425" s="120">
        <v>34.738563271604946</v>
      </c>
      <c r="P425" s="123">
        <v>42.64612327225834</v>
      </c>
      <c r="Q425" s="120">
        <v>0.5</v>
      </c>
      <c r="R425" s="120">
        <v>1.2276306000000001</v>
      </c>
      <c r="S425" s="15"/>
      <c r="T425" s="161"/>
      <c r="AA425" s="15"/>
      <c r="AB425" s="15"/>
      <c r="AC425" s="15"/>
      <c r="AD425" s="15"/>
      <c r="AE425" s="15"/>
    </row>
    <row r="426" ht="15.0" customHeight="1">
      <c r="A426" s="134" t="s">
        <v>244</v>
      </c>
      <c r="B426" s="3" t="s">
        <v>258</v>
      </c>
      <c r="C426" s="3" t="s">
        <v>80</v>
      </c>
      <c r="D426" s="3" t="s">
        <v>251</v>
      </c>
      <c r="E426" s="8">
        <v>5.0</v>
      </c>
      <c r="F426" s="171" t="s">
        <v>236</v>
      </c>
      <c r="G426" s="137">
        <v>11.1769003</v>
      </c>
      <c r="H426" s="137">
        <v>0.26204745</v>
      </c>
      <c r="I426" s="137">
        <v>9.74737509</v>
      </c>
      <c r="J426" s="120">
        <f t="shared" si="1"/>
        <v>42.6522002</v>
      </c>
      <c r="K426" s="121">
        <v>-0.14</v>
      </c>
      <c r="L426" s="121">
        <v>-0.767</v>
      </c>
      <c r="M426" s="122">
        <f t="shared" si="18"/>
        <v>0.627</v>
      </c>
      <c r="N426" s="120">
        <v>42.3</v>
      </c>
      <c r="O426" s="120">
        <v>15.546052775119618</v>
      </c>
      <c r="P426" s="123">
        <v>15.904008413293141</v>
      </c>
      <c r="Q426" s="120">
        <v>0.4</v>
      </c>
      <c r="R426" s="120">
        <v>1.0230255000000004</v>
      </c>
      <c r="S426" s="15"/>
      <c r="T426" s="161"/>
      <c r="AA426" s="15"/>
      <c r="AB426" s="15"/>
      <c r="AC426" s="15"/>
      <c r="AD426" s="15"/>
      <c r="AE426" s="15"/>
    </row>
    <row r="427" ht="15.0" customHeight="1">
      <c r="A427" s="134" t="s">
        <v>244</v>
      </c>
      <c r="B427" s="3" t="s">
        <v>258</v>
      </c>
      <c r="C427" s="3" t="s">
        <v>80</v>
      </c>
      <c r="D427" s="3" t="s">
        <v>251</v>
      </c>
      <c r="E427" s="8">
        <v>6.0</v>
      </c>
      <c r="F427" s="171" t="s">
        <v>236</v>
      </c>
      <c r="G427" s="137">
        <v>17.3978875</v>
      </c>
      <c r="H427" s="137">
        <v>0.3034519</v>
      </c>
      <c r="I427" s="137">
        <v>10.681379</v>
      </c>
      <c r="J427" s="120">
        <f t="shared" si="1"/>
        <v>57.3332627</v>
      </c>
      <c r="K427" s="121">
        <v>-0.368</v>
      </c>
      <c r="L427" s="121">
        <v>-0.826</v>
      </c>
      <c r="M427" s="122">
        <f t="shared" si="18"/>
        <v>0.458</v>
      </c>
      <c r="N427" s="120">
        <v>37.5</v>
      </c>
      <c r="O427" s="120">
        <v>23.32178820960699</v>
      </c>
      <c r="P427" s="123">
        <v>27.948861308717692</v>
      </c>
      <c r="Q427" s="120">
        <v>0.7</v>
      </c>
      <c r="R427" s="120">
        <v>1.1984013000000002</v>
      </c>
      <c r="S427" s="15"/>
      <c r="T427" s="161"/>
      <c r="AA427" s="15"/>
      <c r="AB427" s="15"/>
      <c r="AC427" s="15"/>
      <c r="AD427" s="15"/>
      <c r="AE427" s="15"/>
    </row>
    <row r="428" ht="15.0" customHeight="1">
      <c r="A428" s="134" t="s">
        <v>256</v>
      </c>
      <c r="B428" s="3" t="s">
        <v>250</v>
      </c>
      <c r="C428" s="3" t="s">
        <v>94</v>
      </c>
      <c r="D428" s="3" t="s">
        <v>251</v>
      </c>
      <c r="E428" s="8">
        <v>1.0</v>
      </c>
      <c r="F428" s="171" t="s">
        <v>236</v>
      </c>
      <c r="G428" s="137">
        <v>15.4355611</v>
      </c>
      <c r="H428" s="137">
        <v>0.27646813</v>
      </c>
      <c r="I428" s="137">
        <v>8.04265447</v>
      </c>
      <c r="J428" s="120">
        <f t="shared" si="1"/>
        <v>55.83124934</v>
      </c>
      <c r="K428" s="121">
        <v>-0.36</v>
      </c>
      <c r="L428" s="121">
        <v>-0.736</v>
      </c>
      <c r="M428" s="122">
        <f t="shared" si="18"/>
        <v>0.376</v>
      </c>
      <c r="N428" s="120">
        <v>37.3</v>
      </c>
      <c r="O428" s="120">
        <v>21.390038484042556</v>
      </c>
      <c r="P428" s="123">
        <v>26.25906577818825</v>
      </c>
      <c r="Q428" s="120">
        <v>0.7</v>
      </c>
      <c r="R428" s="120">
        <v>1.2276306000000001</v>
      </c>
      <c r="S428" s="15"/>
      <c r="T428" s="161"/>
      <c r="AA428" s="15"/>
      <c r="AB428" s="15"/>
      <c r="AC428" s="15"/>
      <c r="AD428" s="15"/>
      <c r="AE428" s="15"/>
    </row>
    <row r="429" ht="15.0" customHeight="1">
      <c r="A429" s="134" t="s">
        <v>256</v>
      </c>
      <c r="B429" s="3" t="s">
        <v>250</v>
      </c>
      <c r="C429" s="3" t="s">
        <v>94</v>
      </c>
      <c r="D429" s="3" t="s">
        <v>251</v>
      </c>
      <c r="E429" s="8">
        <v>2.0</v>
      </c>
      <c r="F429" s="171" t="s">
        <v>236</v>
      </c>
      <c r="G429" s="137">
        <v>17.3216876</v>
      </c>
      <c r="H429" s="137">
        <v>0.30330139</v>
      </c>
      <c r="I429" s="137">
        <v>9.57201453</v>
      </c>
      <c r="J429" s="120">
        <f t="shared" si="1"/>
        <v>57.11047879</v>
      </c>
      <c r="K429" s="121">
        <v>-0.337</v>
      </c>
      <c r="L429" s="121">
        <v>-0.747</v>
      </c>
      <c r="M429" s="122">
        <f t="shared" si="18"/>
        <v>0.41</v>
      </c>
      <c r="N429" s="120">
        <v>41.6</v>
      </c>
      <c r="O429" s="120">
        <v>23.346376902439026</v>
      </c>
      <c r="P429" s="123">
        <v>23.883938903806143</v>
      </c>
      <c r="Q429" s="120">
        <v>0.2</v>
      </c>
      <c r="R429" s="120">
        <v>1.0230255000000004</v>
      </c>
      <c r="S429" s="15"/>
      <c r="T429" s="161"/>
      <c r="AA429" s="15"/>
      <c r="AB429" s="15"/>
      <c r="AC429" s="15"/>
      <c r="AD429" s="15"/>
      <c r="AE429" s="15"/>
    </row>
    <row r="430" ht="15.0" customHeight="1">
      <c r="A430" s="134" t="s">
        <v>256</v>
      </c>
      <c r="B430" s="3" t="s">
        <v>250</v>
      </c>
      <c r="C430" s="3" t="s">
        <v>94</v>
      </c>
      <c r="D430" s="3" t="s">
        <v>251</v>
      </c>
      <c r="E430" s="8">
        <v>3.0</v>
      </c>
      <c r="F430" s="171" t="s">
        <v>236</v>
      </c>
      <c r="G430" s="137">
        <v>17.9879604</v>
      </c>
      <c r="H430" s="137">
        <v>0.25787092</v>
      </c>
      <c r="I430" s="137">
        <v>9.24934738</v>
      </c>
      <c r="J430" s="120">
        <f t="shared" si="1"/>
        <v>69.75567621</v>
      </c>
      <c r="K430" s="121">
        <v>-0.23</v>
      </c>
      <c r="L430" s="121">
        <v>-0.533</v>
      </c>
      <c r="M430" s="122">
        <f t="shared" si="18"/>
        <v>0.303</v>
      </c>
      <c r="N430" s="120">
        <v>43.0</v>
      </c>
      <c r="O430" s="120">
        <v>30.525898943894383</v>
      </c>
      <c r="P430" s="123">
        <v>33.013274346028574</v>
      </c>
      <c r="Q430" s="120">
        <v>0.0</v>
      </c>
      <c r="R430" s="120">
        <v>1.0814841000000002</v>
      </c>
      <c r="S430" s="15"/>
      <c r="T430" s="161"/>
      <c r="AA430" s="15"/>
      <c r="AB430" s="15"/>
      <c r="AC430" s="15"/>
      <c r="AD430" s="15"/>
      <c r="AE430" s="15"/>
    </row>
    <row r="431" ht="15.0" customHeight="1">
      <c r="A431" s="134" t="s">
        <v>256</v>
      </c>
      <c r="B431" s="3" t="s">
        <v>250</v>
      </c>
      <c r="C431" s="3" t="s">
        <v>94</v>
      </c>
      <c r="D431" s="3" t="s">
        <v>251</v>
      </c>
      <c r="E431" s="8">
        <v>4.0</v>
      </c>
      <c r="F431" s="171" t="s">
        <v>236</v>
      </c>
      <c r="G431" s="137">
        <v>10.7716639</v>
      </c>
      <c r="H431" s="137">
        <v>0.1758464</v>
      </c>
      <c r="I431" s="137">
        <v>7.36892637</v>
      </c>
      <c r="J431" s="120">
        <f t="shared" si="1"/>
        <v>61.25609566</v>
      </c>
      <c r="K431" s="121">
        <v>-0.305</v>
      </c>
      <c r="L431" s="121">
        <v>-0.663</v>
      </c>
      <c r="M431" s="122">
        <f t="shared" si="18"/>
        <v>0.358</v>
      </c>
      <c r="N431" s="120">
        <v>40.9</v>
      </c>
      <c r="O431" s="120">
        <v>20.5835932122905</v>
      </c>
      <c r="P431" s="123">
        <v>22.561650790500106</v>
      </c>
      <c r="Q431" s="120">
        <v>0.3</v>
      </c>
      <c r="R431" s="120">
        <v>1.0960987500000003</v>
      </c>
      <c r="S431" s="15"/>
      <c r="T431" s="161"/>
      <c r="AA431" s="15"/>
      <c r="AB431" s="15"/>
      <c r="AC431" s="15"/>
      <c r="AD431" s="15"/>
      <c r="AE431" s="15"/>
    </row>
    <row r="432" ht="15.0" customHeight="1">
      <c r="A432" s="134" t="s">
        <v>256</v>
      </c>
      <c r="B432" s="3" t="s">
        <v>250</v>
      </c>
      <c r="C432" s="3" t="s">
        <v>94</v>
      </c>
      <c r="D432" s="3" t="s">
        <v>251</v>
      </c>
      <c r="E432" s="8">
        <v>5.0</v>
      </c>
      <c r="F432" s="171" t="s">
        <v>236</v>
      </c>
      <c r="G432" s="137">
        <v>13.8642243</v>
      </c>
      <c r="H432" s="137">
        <v>0.19512391</v>
      </c>
      <c r="I432" s="137">
        <v>8.20815759</v>
      </c>
      <c r="J432" s="120">
        <f t="shared" si="1"/>
        <v>71.05343625</v>
      </c>
      <c r="K432" s="121">
        <v>-0.38</v>
      </c>
      <c r="L432" s="121">
        <v>-0.735</v>
      </c>
      <c r="M432" s="122">
        <f t="shared" si="18"/>
        <v>0.355</v>
      </c>
      <c r="N432" s="120">
        <v>33.8</v>
      </c>
      <c r="O432" s="120">
        <v>23.12157067605634</v>
      </c>
      <c r="P432" s="123">
        <v>21.96438808725375</v>
      </c>
      <c r="Q432" s="120">
        <v>0.4</v>
      </c>
      <c r="R432" s="120">
        <v>0.9499522500000003</v>
      </c>
      <c r="S432" s="15"/>
      <c r="T432" s="161"/>
      <c r="AA432" s="15"/>
      <c r="AB432" s="15"/>
      <c r="AC432" s="15"/>
      <c r="AD432" s="15"/>
      <c r="AE432" s="15"/>
    </row>
    <row r="433" ht="15.0" customHeight="1">
      <c r="A433" s="134" t="s">
        <v>256</v>
      </c>
      <c r="B433" s="3" t="s">
        <v>250</v>
      </c>
      <c r="C433" s="3" t="s">
        <v>94</v>
      </c>
      <c r="D433" s="3" t="s">
        <v>251</v>
      </c>
      <c r="E433" s="8">
        <v>6.0</v>
      </c>
      <c r="F433" s="171" t="s">
        <v>236</v>
      </c>
      <c r="G433" s="137">
        <v>15.0208759</v>
      </c>
      <c r="H433" s="137">
        <v>0.25221555</v>
      </c>
      <c r="I433" s="137">
        <v>9.73279237</v>
      </c>
      <c r="J433" s="120">
        <f t="shared" si="1"/>
        <v>59.555709</v>
      </c>
      <c r="K433" s="121">
        <v>-0.23</v>
      </c>
      <c r="L433" s="121">
        <v>-0.675</v>
      </c>
      <c r="M433" s="122">
        <f t="shared" si="18"/>
        <v>0.445</v>
      </c>
      <c r="N433" s="120">
        <v>44.5</v>
      </c>
      <c r="O433" s="120">
        <v>21.871443528089884</v>
      </c>
      <c r="P433" s="123">
        <v>29.0875577863597</v>
      </c>
      <c r="Q433" s="120">
        <v>1.6</v>
      </c>
      <c r="R433" s="120">
        <v>1.3299331500000002</v>
      </c>
      <c r="S433" s="15"/>
      <c r="T433" s="161"/>
      <c r="AA433" s="15"/>
      <c r="AB433" s="15"/>
      <c r="AC433" s="15"/>
      <c r="AD433" s="15"/>
      <c r="AE433" s="15"/>
    </row>
    <row r="434" ht="15.0" customHeight="1">
      <c r="A434" s="134" t="s">
        <v>249</v>
      </c>
      <c r="B434" s="3" t="s">
        <v>239</v>
      </c>
      <c r="C434" s="3" t="s">
        <v>101</v>
      </c>
      <c r="D434" s="135" t="s">
        <v>240</v>
      </c>
      <c r="E434" s="8">
        <v>1.0</v>
      </c>
      <c r="F434" s="171" t="s">
        <v>236</v>
      </c>
      <c r="G434" s="137">
        <v>18.3084639</v>
      </c>
      <c r="H434" s="137">
        <v>0.29689924</v>
      </c>
      <c r="I434" s="137">
        <v>8.24881202</v>
      </c>
      <c r="J434" s="120">
        <f t="shared" si="1"/>
        <v>61.66558022</v>
      </c>
      <c r="K434" s="121">
        <v>-0.36</v>
      </c>
      <c r="L434" s="121">
        <v>-0.652</v>
      </c>
      <c r="M434" s="122">
        <f t="shared" si="18"/>
        <v>0.292</v>
      </c>
      <c r="N434" s="120">
        <v>38.4</v>
      </c>
      <c r="O434" s="120">
        <v>28.24935623287671</v>
      </c>
      <c r="P434" s="123">
        <v>24.35841279005989</v>
      </c>
      <c r="Q434" s="120">
        <v>0.7</v>
      </c>
      <c r="R434" s="120">
        <v>0.8622643500000002</v>
      </c>
      <c r="S434" s="15"/>
      <c r="T434" s="161"/>
      <c r="AA434" s="15"/>
      <c r="AB434" s="15"/>
      <c r="AC434" s="15"/>
      <c r="AD434" s="15"/>
      <c r="AE434" s="15"/>
    </row>
    <row r="435" ht="15.0" customHeight="1">
      <c r="A435" s="134" t="s">
        <v>249</v>
      </c>
      <c r="B435" s="3" t="s">
        <v>239</v>
      </c>
      <c r="C435" s="3" t="s">
        <v>101</v>
      </c>
      <c r="D435" s="135" t="s">
        <v>240</v>
      </c>
      <c r="E435" s="8">
        <v>2.0</v>
      </c>
      <c r="F435" s="171" t="s">
        <v>236</v>
      </c>
      <c r="G435" s="137">
        <v>17.4896251</v>
      </c>
      <c r="H435" s="137">
        <v>0.33530813</v>
      </c>
      <c r="I435" s="137">
        <v>10.1380604</v>
      </c>
      <c r="J435" s="120">
        <f t="shared" si="1"/>
        <v>52.15985995</v>
      </c>
      <c r="K435" s="121">
        <v>-0.318</v>
      </c>
      <c r="L435" s="121">
        <v>-0.599</v>
      </c>
      <c r="M435" s="122">
        <f t="shared" si="18"/>
        <v>0.281</v>
      </c>
      <c r="N435" s="120">
        <v>44.8</v>
      </c>
      <c r="O435" s="120">
        <v>36.07850676156584</v>
      </c>
      <c r="P435" s="123">
        <v>40.07288091206179</v>
      </c>
      <c r="Q435" s="120">
        <v>1.0</v>
      </c>
      <c r="R435" s="120">
        <v>1.1107134</v>
      </c>
      <c r="S435" s="15"/>
      <c r="T435" s="161"/>
      <c r="AA435" s="15"/>
      <c r="AB435" s="15"/>
      <c r="AC435" s="15"/>
      <c r="AD435" s="15"/>
      <c r="AE435" s="15"/>
    </row>
    <row r="436" ht="15.0" customHeight="1">
      <c r="A436" s="134" t="s">
        <v>249</v>
      </c>
      <c r="B436" s="3" t="s">
        <v>239</v>
      </c>
      <c r="C436" s="3" t="s">
        <v>101</v>
      </c>
      <c r="D436" s="135" t="s">
        <v>240</v>
      </c>
      <c r="E436" s="8">
        <v>3.0</v>
      </c>
      <c r="F436" s="171" t="s">
        <v>236</v>
      </c>
      <c r="G436" s="137">
        <v>9.96591278</v>
      </c>
      <c r="H436" s="137">
        <v>0.18408943</v>
      </c>
      <c r="I436" s="137">
        <v>7.97038863</v>
      </c>
      <c r="J436" s="120">
        <f t="shared" si="1"/>
        <v>54.13625747</v>
      </c>
      <c r="K436" s="121">
        <v>-0.302</v>
      </c>
      <c r="L436" s="121">
        <v>-0.532</v>
      </c>
      <c r="M436" s="122">
        <f t="shared" si="18"/>
        <v>0.23</v>
      </c>
      <c r="N436" s="120">
        <v>38.2</v>
      </c>
      <c r="O436" s="120">
        <v>34.65386360869565</v>
      </c>
      <c r="P436" s="123">
        <v>38.49051067195061</v>
      </c>
      <c r="Q436" s="120">
        <v>0.6</v>
      </c>
      <c r="R436" s="120">
        <v>1.1107134</v>
      </c>
      <c r="S436" s="15"/>
      <c r="T436" s="161"/>
      <c r="AA436" s="15"/>
      <c r="AB436" s="15"/>
      <c r="AC436" s="15"/>
      <c r="AD436" s="15"/>
      <c r="AE436" s="15"/>
    </row>
    <row r="437" ht="15.0" customHeight="1">
      <c r="A437" s="134" t="s">
        <v>249</v>
      </c>
      <c r="B437" s="3" t="s">
        <v>239</v>
      </c>
      <c r="C437" s="3" t="s">
        <v>101</v>
      </c>
      <c r="D437" s="135" t="s">
        <v>240</v>
      </c>
      <c r="E437" s="8">
        <v>4.0</v>
      </c>
      <c r="F437" s="171" t="s">
        <v>236</v>
      </c>
      <c r="G437" s="137">
        <v>16.0945907</v>
      </c>
      <c r="H437" s="137">
        <v>0.33033058</v>
      </c>
      <c r="I437" s="137">
        <v>10.8862706</v>
      </c>
      <c r="J437" s="120">
        <f t="shared" si="1"/>
        <v>48.72267866</v>
      </c>
      <c r="K437" s="121">
        <v>-0.249</v>
      </c>
      <c r="L437" s="121">
        <v>-0.694</v>
      </c>
      <c r="M437" s="122">
        <f t="shared" si="18"/>
        <v>0.445</v>
      </c>
      <c r="N437" s="120">
        <v>39.6</v>
      </c>
      <c r="O437" s="120">
        <v>24.463529438202247</v>
      </c>
      <c r="P437" s="123">
        <v>25.741866276289624</v>
      </c>
      <c r="Q437" s="120">
        <v>0.2</v>
      </c>
      <c r="R437" s="120">
        <v>1.0522548000000003</v>
      </c>
      <c r="S437" s="15"/>
      <c r="T437" s="161"/>
      <c r="AA437" s="15"/>
      <c r="AB437" s="15"/>
      <c r="AC437" s="15"/>
      <c r="AD437" s="15"/>
      <c r="AE437" s="15"/>
    </row>
    <row r="438" ht="15.0" customHeight="1">
      <c r="A438" s="134" t="s">
        <v>249</v>
      </c>
      <c r="B438" s="3" t="s">
        <v>239</v>
      </c>
      <c r="C438" s="3" t="s">
        <v>101</v>
      </c>
      <c r="D438" s="135" t="s">
        <v>240</v>
      </c>
      <c r="E438" s="8">
        <v>5.0</v>
      </c>
      <c r="F438" s="171" t="s">
        <v>236</v>
      </c>
      <c r="G438" s="137">
        <v>10.565341</v>
      </c>
      <c r="H438" s="137">
        <v>0.24936846</v>
      </c>
      <c r="I438" s="137">
        <v>9.7864281</v>
      </c>
      <c r="J438" s="120">
        <f t="shared" si="1"/>
        <v>42.36839334</v>
      </c>
      <c r="K438" s="121">
        <v>-0.394</v>
      </c>
      <c r="L438" s="121">
        <v>-0.684</v>
      </c>
      <c r="M438" s="122">
        <f t="shared" si="18"/>
        <v>0.29</v>
      </c>
      <c r="N438" s="120">
        <v>47.9</v>
      </c>
      <c r="O438" s="120">
        <v>33.74630379310344</v>
      </c>
      <c r="P438" s="123">
        <v>43.400756848229385</v>
      </c>
      <c r="Q438" s="120">
        <v>0.7</v>
      </c>
      <c r="R438" s="120">
        <v>1.2860892000000004</v>
      </c>
      <c r="S438" s="15"/>
      <c r="T438" s="161"/>
      <c r="AA438" s="15"/>
      <c r="AB438" s="15"/>
      <c r="AC438" s="15"/>
      <c r="AD438" s="15"/>
      <c r="AE438" s="15"/>
    </row>
    <row r="439" ht="15.0" customHeight="1">
      <c r="A439" s="134" t="s">
        <v>249</v>
      </c>
      <c r="B439" s="3" t="s">
        <v>239</v>
      </c>
      <c r="C439" s="3" t="s">
        <v>101</v>
      </c>
      <c r="D439" s="135" t="s">
        <v>240</v>
      </c>
      <c r="E439" s="8">
        <v>6.0</v>
      </c>
      <c r="F439" s="171" t="s">
        <v>236</v>
      </c>
      <c r="G439" s="137">
        <v>12.9476952</v>
      </c>
      <c r="H439" s="137">
        <v>0.31498204</v>
      </c>
      <c r="I439" s="137">
        <v>10.8429336</v>
      </c>
      <c r="J439" s="120">
        <f t="shared" si="1"/>
        <v>41.10613799</v>
      </c>
      <c r="K439" s="121">
        <v>-0.16</v>
      </c>
      <c r="L439" s="121">
        <v>-0.75</v>
      </c>
      <c r="M439" s="122">
        <f t="shared" si="18"/>
        <v>0.59</v>
      </c>
      <c r="N439" s="120">
        <v>34.3</v>
      </c>
      <c r="O439" s="120">
        <v>18.377853559322034</v>
      </c>
      <c r="P439" s="123">
        <v>20.94970000661818</v>
      </c>
      <c r="Q439" s="120">
        <v>0.4</v>
      </c>
      <c r="R439" s="120">
        <v>1.1399427000000004</v>
      </c>
      <c r="S439" s="15"/>
      <c r="T439" s="161"/>
      <c r="AA439" s="15"/>
      <c r="AB439" s="15"/>
      <c r="AC439" s="15"/>
      <c r="AD439" s="15"/>
      <c r="AE439" s="15"/>
    </row>
    <row r="440" ht="15.0" customHeight="1">
      <c r="A440" s="134" t="s">
        <v>256</v>
      </c>
      <c r="B440" s="3" t="s">
        <v>258</v>
      </c>
      <c r="C440" s="3" t="s">
        <v>108</v>
      </c>
      <c r="D440" s="3" t="s">
        <v>251</v>
      </c>
      <c r="E440" s="8">
        <v>1.0</v>
      </c>
      <c r="F440" s="171" t="s">
        <v>236</v>
      </c>
      <c r="G440" s="137">
        <v>16.9413737</v>
      </c>
      <c r="H440" s="137">
        <v>0.2939286</v>
      </c>
      <c r="I440" s="137">
        <v>8.18348581</v>
      </c>
      <c r="J440" s="120">
        <f t="shared" si="1"/>
        <v>57.6377178</v>
      </c>
      <c r="K440" s="121">
        <v>-0.302</v>
      </c>
      <c r="L440" s="121">
        <v>-0.667</v>
      </c>
      <c r="M440" s="122">
        <f t="shared" si="18"/>
        <v>0.365</v>
      </c>
      <c r="N440" s="120">
        <v>38.9</v>
      </c>
      <c r="O440" s="120">
        <v>22.42050906849315</v>
      </c>
      <c r="P440" s="123">
        <v>23.264420392907596</v>
      </c>
      <c r="Q440" s="120">
        <v>0.4</v>
      </c>
      <c r="R440" s="120">
        <v>1.03764015</v>
      </c>
      <c r="S440" s="15"/>
      <c r="T440" s="161"/>
      <c r="AA440" s="15"/>
      <c r="AB440" s="15"/>
      <c r="AC440" s="15"/>
      <c r="AD440" s="15"/>
      <c r="AE440" s="15"/>
    </row>
    <row r="441" ht="15.0" customHeight="1">
      <c r="A441" s="134" t="s">
        <v>256</v>
      </c>
      <c r="B441" s="3" t="s">
        <v>258</v>
      </c>
      <c r="C441" s="3" t="s">
        <v>108</v>
      </c>
      <c r="D441" s="3" t="s">
        <v>251</v>
      </c>
      <c r="E441" s="8">
        <v>2.0</v>
      </c>
      <c r="F441" s="171" t="s">
        <v>236</v>
      </c>
      <c r="G441" s="137">
        <v>15.8302887</v>
      </c>
      <c r="H441" s="137">
        <v>0.30546801</v>
      </c>
      <c r="I441" s="137">
        <v>9.25179529</v>
      </c>
      <c r="J441" s="120">
        <f t="shared" si="1"/>
        <v>51.82306553</v>
      </c>
      <c r="K441" s="121">
        <v>-0.222</v>
      </c>
      <c r="L441" s="121">
        <v>-0.519</v>
      </c>
      <c r="M441" s="122">
        <f t="shared" si="18"/>
        <v>0.297</v>
      </c>
      <c r="N441" s="120">
        <v>42.7</v>
      </c>
      <c r="O441" s="120">
        <v>31.150825892255888</v>
      </c>
      <c r="P441" s="123">
        <v>29.136538728080485</v>
      </c>
      <c r="Q441" s="120">
        <v>0.7</v>
      </c>
      <c r="R441" s="120">
        <v>0.9353376000000002</v>
      </c>
      <c r="S441" s="15"/>
      <c r="T441" s="161"/>
      <c r="AA441" s="15"/>
      <c r="AB441" s="15"/>
      <c r="AC441" s="15"/>
      <c r="AD441" s="15"/>
      <c r="AE441" s="15"/>
    </row>
    <row r="442" ht="15.0" customHeight="1">
      <c r="A442" s="134" t="s">
        <v>256</v>
      </c>
      <c r="B442" s="3" t="s">
        <v>258</v>
      </c>
      <c r="C442" s="3" t="s">
        <v>108</v>
      </c>
      <c r="D442" s="3" t="s">
        <v>251</v>
      </c>
      <c r="E442" s="8">
        <v>3.0</v>
      </c>
      <c r="F442" s="171" t="s">
        <v>236</v>
      </c>
      <c r="G442" s="137">
        <v>17.2637698</v>
      </c>
      <c r="H442" s="137">
        <v>0.24403711</v>
      </c>
      <c r="I442" s="137">
        <v>9.06794523</v>
      </c>
      <c r="J442" s="120">
        <f t="shared" si="1"/>
        <v>70.7423957</v>
      </c>
      <c r="K442" s="121">
        <v>-0.12</v>
      </c>
      <c r="L442" s="121">
        <v>-0.685</v>
      </c>
      <c r="M442" s="122">
        <f t="shared" si="18"/>
        <v>0.565</v>
      </c>
      <c r="N442" s="120">
        <v>41.3</v>
      </c>
      <c r="O442" s="120">
        <v>16.049460584070793</v>
      </c>
      <c r="P442" s="123">
        <v>20.875595172124136</v>
      </c>
      <c r="Q442" s="120">
        <v>0.5</v>
      </c>
      <c r="R442" s="120">
        <v>1.3007038500000003</v>
      </c>
      <c r="S442" s="15"/>
      <c r="T442" s="161"/>
      <c r="AA442" s="15"/>
      <c r="AB442" s="15"/>
      <c r="AC442" s="15"/>
      <c r="AD442" s="15"/>
      <c r="AE442" s="15"/>
    </row>
    <row r="443" ht="15.0" customHeight="1">
      <c r="A443" s="134" t="s">
        <v>256</v>
      </c>
      <c r="B443" s="3" t="s">
        <v>258</v>
      </c>
      <c r="C443" s="3" t="s">
        <v>108</v>
      </c>
      <c r="D443" s="3" t="s">
        <v>251</v>
      </c>
      <c r="E443" s="8">
        <v>4.0</v>
      </c>
      <c r="F443" s="171" t="s">
        <v>236</v>
      </c>
      <c r="G443" s="137">
        <v>13.9660725</v>
      </c>
      <c r="H443" s="137">
        <v>0.29246515</v>
      </c>
      <c r="I443" s="137">
        <v>10.6040984</v>
      </c>
      <c r="J443" s="120">
        <f t="shared" si="1"/>
        <v>47.75294595</v>
      </c>
      <c r="K443" s="121">
        <v>-0.257</v>
      </c>
      <c r="L443" s="121">
        <v>-0.63</v>
      </c>
      <c r="M443" s="122">
        <f t="shared" si="18"/>
        <v>0.373</v>
      </c>
      <c r="N443" s="120">
        <v>27.2</v>
      </c>
      <c r="O443" s="120">
        <v>28.429218230563002</v>
      </c>
      <c r="P443" s="123">
        <v>36.5625105307702</v>
      </c>
      <c r="Q443" s="120">
        <v>0.6</v>
      </c>
      <c r="R443" s="120">
        <v>1.2860892000000004</v>
      </c>
      <c r="S443" s="15"/>
      <c r="T443" s="161"/>
      <c r="AA443" s="15"/>
      <c r="AB443" s="15"/>
      <c r="AC443" s="15"/>
      <c r="AD443" s="15"/>
      <c r="AE443" s="15"/>
    </row>
    <row r="444" ht="15.0" customHeight="1">
      <c r="A444" s="134" t="s">
        <v>256</v>
      </c>
      <c r="B444" s="3" t="s">
        <v>258</v>
      </c>
      <c r="C444" s="3" t="s">
        <v>108</v>
      </c>
      <c r="D444" s="3" t="s">
        <v>251</v>
      </c>
      <c r="E444" s="8">
        <v>5.0</v>
      </c>
      <c r="F444" s="171" t="s">
        <v>236</v>
      </c>
      <c r="G444" s="137">
        <v>18.9455357</v>
      </c>
      <c r="H444" s="137">
        <v>0.36049236</v>
      </c>
      <c r="I444" s="137">
        <v>12.2621975</v>
      </c>
      <c r="J444" s="120">
        <f t="shared" si="1"/>
        <v>52.55461087</v>
      </c>
      <c r="K444" s="121">
        <v>-0.282</v>
      </c>
      <c r="L444" s="121">
        <v>-0.667</v>
      </c>
      <c r="M444" s="122">
        <f t="shared" si="18"/>
        <v>0.385</v>
      </c>
      <c r="N444" s="120">
        <v>23.9</v>
      </c>
      <c r="O444" s="120">
        <v>31.84986363636363</v>
      </c>
      <c r="P444" s="123">
        <v>40.03081642501364</v>
      </c>
      <c r="Q444" s="120">
        <v>1.1</v>
      </c>
      <c r="R444" s="120">
        <v>1.2568599000000003</v>
      </c>
      <c r="S444" s="15"/>
      <c r="T444" s="161"/>
      <c r="AA444" s="15"/>
      <c r="AB444" s="15"/>
      <c r="AC444" s="15"/>
      <c r="AD444" s="15"/>
      <c r="AE444" s="15"/>
    </row>
    <row r="445" ht="15.0" customHeight="1">
      <c r="A445" s="134" t="s">
        <v>256</v>
      </c>
      <c r="B445" s="3" t="s">
        <v>258</v>
      </c>
      <c r="C445" s="3" t="s">
        <v>108</v>
      </c>
      <c r="D445" s="3" t="s">
        <v>251</v>
      </c>
      <c r="E445" s="8">
        <v>6.0</v>
      </c>
      <c r="F445" s="171" t="s">
        <v>236</v>
      </c>
      <c r="G445" s="137">
        <v>13.3471469</v>
      </c>
      <c r="H445" s="137">
        <v>0.23712749</v>
      </c>
      <c r="I445" s="137">
        <v>9.61344951</v>
      </c>
      <c r="J445" s="120">
        <f t="shared" si="1"/>
        <v>56.28679703</v>
      </c>
      <c r="K445" s="121">
        <v>-0.302</v>
      </c>
      <c r="L445" s="121">
        <v>-0.796</v>
      </c>
      <c r="M445" s="122">
        <f t="shared" si="18"/>
        <v>0.494</v>
      </c>
      <c r="N445" s="120">
        <v>41.0</v>
      </c>
      <c r="O445" s="120">
        <v>19.46042410931174</v>
      </c>
      <c r="P445" s="123">
        <v>23.605804838359692</v>
      </c>
      <c r="Q445" s="120">
        <v>0.6</v>
      </c>
      <c r="R445" s="120">
        <v>1.2130159500000004</v>
      </c>
      <c r="S445" s="15"/>
      <c r="T445" s="161"/>
      <c r="AA445" s="15"/>
      <c r="AB445" s="15"/>
      <c r="AC445" s="15"/>
      <c r="AD445" s="15"/>
      <c r="AE445" s="15"/>
    </row>
    <row r="446" ht="15.0" customHeight="1">
      <c r="A446" s="134" t="s">
        <v>244</v>
      </c>
      <c r="B446" s="3" t="s">
        <v>257</v>
      </c>
      <c r="C446" s="3" t="s">
        <v>115</v>
      </c>
      <c r="D446" s="135" t="s">
        <v>240</v>
      </c>
      <c r="E446" s="48">
        <v>1.0</v>
      </c>
      <c r="F446" s="171" t="s">
        <v>236</v>
      </c>
      <c r="G446" s="137">
        <v>15.2080793</v>
      </c>
      <c r="H446" s="137">
        <v>0.26398813</v>
      </c>
      <c r="I446" s="137">
        <v>7.41324696</v>
      </c>
      <c r="J446" s="120">
        <f t="shared" si="1"/>
        <v>57.60895121</v>
      </c>
      <c r="K446" s="121">
        <v>-0.214</v>
      </c>
      <c r="L446" s="121">
        <v>-0.74</v>
      </c>
      <c r="M446" s="122">
        <f t="shared" si="18"/>
        <v>0.526</v>
      </c>
      <c r="N446" s="120">
        <v>42.2</v>
      </c>
      <c r="O446" s="120">
        <v>14.093625399239544</v>
      </c>
      <c r="P446" s="123">
        <v>15.44800518307472</v>
      </c>
      <c r="Q446" s="120">
        <v>0.7</v>
      </c>
      <c r="R446" s="120">
        <v>1.0960987500000003</v>
      </c>
      <c r="S446" s="15"/>
      <c r="T446" s="161"/>
      <c r="AA446" s="15"/>
      <c r="AB446" s="15"/>
      <c r="AC446" s="15"/>
      <c r="AD446" s="15"/>
      <c r="AE446" s="15"/>
    </row>
    <row r="447" ht="15.0" customHeight="1">
      <c r="A447" s="134" t="s">
        <v>244</v>
      </c>
      <c r="B447" s="3" t="s">
        <v>257</v>
      </c>
      <c r="C447" s="3" t="s">
        <v>115</v>
      </c>
      <c r="D447" s="135" t="s">
        <v>240</v>
      </c>
      <c r="E447" s="48">
        <v>2.0</v>
      </c>
      <c r="F447" s="171" t="s">
        <v>236</v>
      </c>
      <c r="G447" s="137">
        <v>13.2437941</v>
      </c>
      <c r="H447" s="137">
        <v>0.30907499</v>
      </c>
      <c r="I447" s="137">
        <v>9.52471245</v>
      </c>
      <c r="J447" s="120">
        <f t="shared" si="1"/>
        <v>42.84977604</v>
      </c>
      <c r="K447" s="121">
        <v>-0.382</v>
      </c>
      <c r="L447" s="121">
        <v>-0.662</v>
      </c>
      <c r="M447" s="122">
        <f t="shared" si="18"/>
        <v>0.28</v>
      </c>
      <c r="N447" s="120">
        <v>49.0</v>
      </c>
      <c r="O447" s="120">
        <v>34.01683017857143</v>
      </c>
      <c r="P447" s="123">
        <v>27.342923694309246</v>
      </c>
      <c r="Q447" s="120">
        <v>0.0</v>
      </c>
      <c r="R447" s="120">
        <v>0.8038057500000002</v>
      </c>
      <c r="S447" s="15"/>
      <c r="T447" s="161"/>
      <c r="AA447" s="15"/>
      <c r="AB447" s="15"/>
      <c r="AC447" s="15"/>
      <c r="AD447" s="15"/>
      <c r="AE447" s="15"/>
    </row>
    <row r="448" ht="15.0" customHeight="1">
      <c r="A448" s="134" t="s">
        <v>244</v>
      </c>
      <c r="B448" s="3" t="s">
        <v>257</v>
      </c>
      <c r="C448" s="3" t="s">
        <v>115</v>
      </c>
      <c r="D448" s="135" t="s">
        <v>240</v>
      </c>
      <c r="E448" s="48">
        <v>3.0</v>
      </c>
      <c r="F448" s="171" t="s">
        <v>236</v>
      </c>
      <c r="G448" s="137">
        <v>11.5142824</v>
      </c>
      <c r="H448" s="137">
        <v>0.19160385</v>
      </c>
      <c r="I448" s="137">
        <v>7.60650281</v>
      </c>
      <c r="J448" s="120">
        <f t="shared" si="1"/>
        <v>60.09421209</v>
      </c>
      <c r="K448" s="121">
        <v>-0.36</v>
      </c>
      <c r="L448" s="121">
        <v>-0.73</v>
      </c>
      <c r="M448" s="122">
        <f t="shared" si="18"/>
        <v>0.37</v>
      </c>
      <c r="N448" s="120">
        <v>39.2</v>
      </c>
      <c r="O448" s="120">
        <v>20.558115702702704</v>
      </c>
      <c r="P448" s="123">
        <v>20.731026930160784</v>
      </c>
      <c r="Q448" s="120">
        <v>1.0</v>
      </c>
      <c r="R448" s="120">
        <v>1.0084108500000002</v>
      </c>
      <c r="S448" s="15"/>
      <c r="T448" s="161"/>
      <c r="AA448" s="15"/>
      <c r="AB448" s="15"/>
      <c r="AC448" s="15"/>
      <c r="AD448" s="15"/>
      <c r="AE448" s="15"/>
    </row>
    <row r="449" ht="15.0" customHeight="1">
      <c r="A449" s="134" t="s">
        <v>244</v>
      </c>
      <c r="B449" s="3" t="s">
        <v>257</v>
      </c>
      <c r="C449" s="3" t="s">
        <v>115</v>
      </c>
      <c r="D449" s="135" t="s">
        <v>240</v>
      </c>
      <c r="E449" s="48">
        <v>4.0</v>
      </c>
      <c r="F449" s="171" t="s">
        <v>236</v>
      </c>
      <c r="G449" s="137">
        <v>15.0423302</v>
      </c>
      <c r="H449" s="137">
        <v>0.31339436</v>
      </c>
      <c r="I449" s="137">
        <v>11.2401757</v>
      </c>
      <c r="J449" s="120">
        <f t="shared" si="1"/>
        <v>47.99808841</v>
      </c>
      <c r="K449" s="121">
        <v>-0.381</v>
      </c>
      <c r="L449" s="121">
        <v>-0.708</v>
      </c>
      <c r="M449" s="122">
        <f t="shared" si="18"/>
        <v>0.327</v>
      </c>
      <c r="N449" s="120">
        <v>29.9</v>
      </c>
      <c r="O449" s="120">
        <v>34.3736259938838</v>
      </c>
      <c r="P449" s="123">
        <v>42.700473616178684</v>
      </c>
      <c r="Q449" s="120">
        <v>1.0</v>
      </c>
      <c r="R449" s="120">
        <v>1.2422452500000003</v>
      </c>
      <c r="S449" s="15"/>
      <c r="T449" s="161"/>
      <c r="AA449" s="15"/>
      <c r="AB449" s="15"/>
      <c r="AC449" s="15"/>
      <c r="AD449" s="15"/>
      <c r="AE449" s="15"/>
    </row>
    <row r="450" ht="15.0" customHeight="1">
      <c r="A450" s="134" t="s">
        <v>244</v>
      </c>
      <c r="B450" s="3" t="s">
        <v>257</v>
      </c>
      <c r="C450" s="3" t="s">
        <v>115</v>
      </c>
      <c r="D450" s="135" t="s">
        <v>240</v>
      </c>
      <c r="E450" s="48">
        <v>5.0</v>
      </c>
      <c r="F450" s="171" t="s">
        <v>236</v>
      </c>
      <c r="G450" s="137">
        <v>14.9781192</v>
      </c>
      <c r="H450" s="137">
        <v>0.29594837</v>
      </c>
      <c r="I450" s="137">
        <v>11.0476872</v>
      </c>
      <c r="J450" s="120">
        <f t="shared" si="1"/>
        <v>50.61058184</v>
      </c>
      <c r="K450" s="121">
        <v>-0.382</v>
      </c>
      <c r="L450" s="121">
        <v>-0.65</v>
      </c>
      <c r="M450" s="122">
        <f t="shared" si="18"/>
        <v>0.268</v>
      </c>
      <c r="N450" s="120">
        <v>37.7</v>
      </c>
      <c r="O450" s="120">
        <v>41.22271343283582</v>
      </c>
      <c r="P450" s="123">
        <v>48.79889783856673</v>
      </c>
      <c r="Q450" s="120">
        <v>0.8</v>
      </c>
      <c r="R450" s="120">
        <v>1.1837866500000003</v>
      </c>
      <c r="S450" s="15"/>
      <c r="T450" s="161"/>
      <c r="AA450" s="15"/>
      <c r="AB450" s="15"/>
      <c r="AC450" s="15"/>
      <c r="AD450" s="15"/>
      <c r="AE450" s="15"/>
    </row>
    <row r="451" ht="15.0" customHeight="1">
      <c r="A451" s="134" t="s">
        <v>244</v>
      </c>
      <c r="B451" s="3" t="s">
        <v>257</v>
      </c>
      <c r="C451" s="3" t="s">
        <v>115</v>
      </c>
      <c r="D451" s="135" t="s">
        <v>240</v>
      </c>
      <c r="E451" s="48">
        <v>6.0</v>
      </c>
      <c r="F451" s="171" t="s">
        <v>236</v>
      </c>
      <c r="G451" s="137">
        <v>11.3826272</v>
      </c>
      <c r="H451" s="137">
        <v>0.26648078</v>
      </c>
      <c r="I451" s="137">
        <v>9.71348484</v>
      </c>
      <c r="J451" s="120">
        <f t="shared" si="1"/>
        <v>42.7146273</v>
      </c>
      <c r="K451" s="121">
        <v>-0.387</v>
      </c>
      <c r="L451" s="121">
        <v>-0.683</v>
      </c>
      <c r="M451" s="122">
        <f t="shared" si="18"/>
        <v>0.296</v>
      </c>
      <c r="N451" s="120">
        <v>48.0</v>
      </c>
      <c r="O451" s="120">
        <v>32.81582716216216</v>
      </c>
      <c r="P451" s="123">
        <v>42.20408090232341</v>
      </c>
      <c r="Q451" s="120">
        <v>0.6</v>
      </c>
      <c r="R451" s="120">
        <v>1.2860892000000004</v>
      </c>
      <c r="S451" s="15"/>
      <c r="T451" s="161"/>
      <c r="AA451" s="15"/>
      <c r="AB451" s="15"/>
      <c r="AC451" s="15"/>
      <c r="AD451" s="15"/>
      <c r="AE451" s="15"/>
    </row>
    <row r="452" ht="15.0" customHeight="1">
      <c r="A452" s="134" t="s">
        <v>238</v>
      </c>
      <c r="B452" s="3" t="s">
        <v>250</v>
      </c>
      <c r="C452" s="3" t="s">
        <v>122</v>
      </c>
      <c r="D452" s="3" t="s">
        <v>251</v>
      </c>
      <c r="E452" s="48">
        <v>1.0</v>
      </c>
      <c r="F452" s="171" t="s">
        <v>236</v>
      </c>
      <c r="G452" s="137">
        <v>15.1001064</v>
      </c>
      <c r="H452" s="137">
        <v>0.26346049</v>
      </c>
      <c r="I452" s="137">
        <v>7.42028818</v>
      </c>
      <c r="J452" s="120">
        <f t="shared" si="1"/>
        <v>57.31450055</v>
      </c>
      <c r="K452" s="121">
        <v>-0.384</v>
      </c>
      <c r="L452" s="121">
        <v>-0.73</v>
      </c>
      <c r="M452" s="122">
        <f t="shared" si="18"/>
        <v>0.346</v>
      </c>
      <c r="N452" s="120">
        <v>25.0</v>
      </c>
      <c r="O452" s="120">
        <v>21.445919595375724</v>
      </c>
      <c r="P452" s="123">
        <v>18.17862731124436</v>
      </c>
      <c r="Q452" s="120">
        <v>0.0</v>
      </c>
      <c r="R452" s="120">
        <v>0.8476497000000002</v>
      </c>
      <c r="S452" s="15"/>
      <c r="T452" s="161"/>
      <c r="AA452" s="15"/>
      <c r="AB452" s="15"/>
      <c r="AC452" s="15"/>
      <c r="AD452" s="15"/>
      <c r="AE452" s="15"/>
    </row>
    <row r="453" ht="15.0" customHeight="1">
      <c r="A453" s="134" t="s">
        <v>238</v>
      </c>
      <c r="B453" s="3" t="s">
        <v>250</v>
      </c>
      <c r="C453" s="3" t="s">
        <v>122</v>
      </c>
      <c r="D453" s="3" t="s">
        <v>251</v>
      </c>
      <c r="E453" s="48">
        <v>2.0</v>
      </c>
      <c r="F453" s="171" t="s">
        <v>236</v>
      </c>
      <c r="G453" s="137">
        <v>6.52841539</v>
      </c>
      <c r="H453" s="137">
        <v>0.07336439</v>
      </c>
      <c r="I453" s="137">
        <v>3.24386085</v>
      </c>
      <c r="J453" s="120">
        <f t="shared" si="1"/>
        <v>88.98616059</v>
      </c>
      <c r="K453" s="121">
        <v>-0.298</v>
      </c>
      <c r="L453" s="121">
        <v>-0.64</v>
      </c>
      <c r="M453" s="122">
        <f t="shared" si="18"/>
        <v>0.342</v>
      </c>
      <c r="N453" s="120">
        <v>40.4</v>
      </c>
      <c r="O453" s="120">
        <v>9.484973245614034</v>
      </c>
      <c r="P453" s="123">
        <v>8.31717385464079</v>
      </c>
      <c r="Q453" s="120">
        <v>0.7</v>
      </c>
      <c r="R453" s="120">
        <v>0.8768790000000003</v>
      </c>
      <c r="S453" s="15"/>
      <c r="T453" s="161"/>
      <c r="AA453" s="15"/>
      <c r="AB453" s="15"/>
      <c r="AC453" s="15"/>
      <c r="AD453" s="15"/>
      <c r="AE453" s="15"/>
    </row>
    <row r="454" ht="15.0" customHeight="1">
      <c r="A454" s="134" t="s">
        <v>238</v>
      </c>
      <c r="B454" s="3" t="s">
        <v>250</v>
      </c>
      <c r="C454" s="3" t="s">
        <v>122</v>
      </c>
      <c r="D454" s="3" t="s">
        <v>251</v>
      </c>
      <c r="E454" s="48">
        <v>3.0</v>
      </c>
      <c r="F454" s="171" t="s">
        <v>236</v>
      </c>
      <c r="G454" s="137">
        <v>16.6041347</v>
      </c>
      <c r="H454" s="137">
        <v>0.28368499</v>
      </c>
      <c r="I454" s="137">
        <v>10.1148315</v>
      </c>
      <c r="J454" s="120">
        <f t="shared" si="1"/>
        <v>58.53018413</v>
      </c>
      <c r="K454" s="121">
        <v>-0.31</v>
      </c>
      <c r="L454" s="121">
        <v>-0.87</v>
      </c>
      <c r="M454" s="122">
        <f t="shared" si="18"/>
        <v>0.56</v>
      </c>
      <c r="N454" s="120">
        <v>29.2</v>
      </c>
      <c r="O454" s="120">
        <v>18.062199107142852</v>
      </c>
      <c r="P454" s="123">
        <v>19.797953863590404</v>
      </c>
      <c r="Q454" s="120">
        <v>0.0</v>
      </c>
      <c r="R454" s="120">
        <v>1.0960987500000003</v>
      </c>
      <c r="S454" s="15"/>
      <c r="T454" s="161"/>
      <c r="AA454" s="15"/>
      <c r="AB454" s="15"/>
      <c r="AC454" s="15"/>
      <c r="AD454" s="15"/>
      <c r="AE454" s="15"/>
    </row>
    <row r="455" ht="15.0" customHeight="1">
      <c r="A455" s="134" t="s">
        <v>238</v>
      </c>
      <c r="B455" s="3" t="s">
        <v>250</v>
      </c>
      <c r="C455" s="3" t="s">
        <v>122</v>
      </c>
      <c r="D455" s="3" t="s">
        <v>251</v>
      </c>
      <c r="E455" s="48">
        <v>4.0</v>
      </c>
      <c r="F455" s="171" t="s">
        <v>236</v>
      </c>
      <c r="G455" s="137">
        <v>11.9463223</v>
      </c>
      <c r="H455" s="137">
        <v>0.21083301</v>
      </c>
      <c r="I455" s="137">
        <v>8.46638737</v>
      </c>
      <c r="J455" s="120">
        <f t="shared" si="1"/>
        <v>56.66248516</v>
      </c>
      <c r="K455" s="121">
        <v>-0.287</v>
      </c>
      <c r="L455" s="121">
        <v>-0.675</v>
      </c>
      <c r="M455" s="122">
        <f t="shared" si="18"/>
        <v>0.388</v>
      </c>
      <c r="N455" s="120">
        <v>28.1</v>
      </c>
      <c r="O455" s="120">
        <v>21.820586005154635</v>
      </c>
      <c r="P455" s="123">
        <v>23.59861681725726</v>
      </c>
      <c r="Q455" s="120">
        <v>0.7</v>
      </c>
      <c r="R455" s="120">
        <v>1.0814841000000002</v>
      </c>
      <c r="S455" s="15"/>
      <c r="T455" s="161"/>
      <c r="AA455" s="15"/>
      <c r="AB455" s="15"/>
      <c r="AC455" s="15"/>
      <c r="AD455" s="15"/>
      <c r="AE455" s="15"/>
    </row>
    <row r="456" ht="15.0" customHeight="1">
      <c r="A456" s="134" t="s">
        <v>238</v>
      </c>
      <c r="B456" s="3" t="s">
        <v>250</v>
      </c>
      <c r="C456" s="3" t="s">
        <v>122</v>
      </c>
      <c r="D456" s="3" t="s">
        <v>251</v>
      </c>
      <c r="E456" s="48">
        <v>5.0</v>
      </c>
      <c r="F456" s="171" t="s">
        <v>236</v>
      </c>
      <c r="G456" s="137">
        <v>13.0993082</v>
      </c>
      <c r="H456" s="137">
        <v>0.24579853</v>
      </c>
      <c r="I456" s="137">
        <v>9.76596645</v>
      </c>
      <c r="J456" s="120">
        <f t="shared" si="1"/>
        <v>53.29286632</v>
      </c>
      <c r="K456" s="121">
        <v>-0.312</v>
      </c>
      <c r="L456" s="121">
        <v>-0.665</v>
      </c>
      <c r="M456" s="122">
        <f t="shared" si="18"/>
        <v>0.353</v>
      </c>
      <c r="N456" s="120">
        <v>38.8</v>
      </c>
      <c r="O456" s="120">
        <v>27.66562733711048</v>
      </c>
      <c r="P456" s="123">
        <v>33.963170687233344</v>
      </c>
      <c r="Q456" s="120">
        <v>0.7</v>
      </c>
      <c r="R456" s="120">
        <v>1.2276306000000001</v>
      </c>
      <c r="S456" s="15"/>
      <c r="T456" s="161"/>
      <c r="AA456" s="15"/>
      <c r="AB456" s="15"/>
      <c r="AC456" s="15"/>
      <c r="AD456" s="15"/>
      <c r="AE456" s="15"/>
    </row>
    <row r="457" ht="15.0" customHeight="1">
      <c r="A457" s="134" t="s">
        <v>238</v>
      </c>
      <c r="B457" s="3" t="s">
        <v>250</v>
      </c>
      <c r="C457" s="3" t="s">
        <v>122</v>
      </c>
      <c r="D457" s="3" t="s">
        <v>251</v>
      </c>
      <c r="E457" s="48">
        <v>6.0</v>
      </c>
      <c r="F457" s="171" t="s">
        <v>236</v>
      </c>
      <c r="G457" s="137">
        <v>14.2638715</v>
      </c>
      <c r="H457" s="137">
        <v>0.32547136</v>
      </c>
      <c r="I457" s="137">
        <v>11.2222845</v>
      </c>
      <c r="J457" s="120">
        <f t="shared" si="1"/>
        <v>43.8252739</v>
      </c>
      <c r="K457" s="121">
        <v>-0.202</v>
      </c>
      <c r="L457" s="121">
        <v>-0.675</v>
      </c>
      <c r="M457" s="122">
        <f t="shared" si="18"/>
        <v>0.473</v>
      </c>
      <c r="N457" s="120">
        <v>36.5</v>
      </c>
      <c r="O457" s="120">
        <v>23.725760042283298</v>
      </c>
      <c r="P457" s="123">
        <v>30.860187431174054</v>
      </c>
      <c r="Q457" s="120">
        <v>0.4</v>
      </c>
      <c r="R457" s="120">
        <v>1.3007038500000003</v>
      </c>
      <c r="S457" s="15"/>
      <c r="T457" s="161"/>
      <c r="AA457" s="15"/>
      <c r="AB457" s="15"/>
      <c r="AC457" s="15"/>
      <c r="AD457" s="15"/>
      <c r="AE457" s="15"/>
    </row>
    <row r="458" ht="15.0" customHeight="1">
      <c r="A458" s="134" t="s">
        <v>238</v>
      </c>
      <c r="B458" s="3" t="s">
        <v>257</v>
      </c>
      <c r="C458" s="3" t="s">
        <v>129</v>
      </c>
      <c r="D458" s="135" t="s">
        <v>240</v>
      </c>
      <c r="E458" s="48">
        <v>1.0</v>
      </c>
      <c r="F458" s="171" t="s">
        <v>236</v>
      </c>
      <c r="G458" s="137">
        <v>21.0989219</v>
      </c>
      <c r="H458" s="137">
        <v>0.47337559</v>
      </c>
      <c r="I458" s="137">
        <v>10.8215192</v>
      </c>
      <c r="J458" s="120">
        <f t="shared" si="1"/>
        <v>44.57120803</v>
      </c>
      <c r="K458" s="121">
        <v>-0.372</v>
      </c>
      <c r="L458" s="121">
        <v>-0.78</v>
      </c>
      <c r="M458" s="122">
        <f t="shared" si="18"/>
        <v>0.408</v>
      </c>
      <c r="N458" s="120">
        <v>44.5</v>
      </c>
      <c r="O458" s="120">
        <v>26.523331372549016</v>
      </c>
      <c r="P458" s="123">
        <v>20.93197706156647</v>
      </c>
      <c r="Q458" s="120">
        <v>0.0</v>
      </c>
      <c r="R458" s="120">
        <v>0.7891911000000001</v>
      </c>
      <c r="S458" s="15"/>
      <c r="T458" s="161"/>
      <c r="AA458" s="15"/>
      <c r="AB458" s="15"/>
      <c r="AC458" s="15"/>
      <c r="AD458" s="15"/>
      <c r="AE458" s="15"/>
    </row>
    <row r="459" ht="15.0" customHeight="1">
      <c r="A459" s="134" t="s">
        <v>238</v>
      </c>
      <c r="B459" s="3" t="s">
        <v>257</v>
      </c>
      <c r="C459" s="3" t="s">
        <v>129</v>
      </c>
      <c r="D459" s="135" t="s">
        <v>240</v>
      </c>
      <c r="E459" s="48">
        <v>2.0</v>
      </c>
      <c r="F459" s="171" t="s">
        <v>236</v>
      </c>
      <c r="G459" s="137">
        <v>15.7026961</v>
      </c>
      <c r="H459" s="137">
        <v>0.36711276</v>
      </c>
      <c r="I459" s="137">
        <v>11.001869</v>
      </c>
      <c r="J459" s="120">
        <f t="shared" si="1"/>
        <v>42.77349581</v>
      </c>
      <c r="K459" s="121">
        <v>-0.343</v>
      </c>
      <c r="L459" s="121">
        <v>-0.787</v>
      </c>
      <c r="M459" s="122">
        <f t="shared" si="18"/>
        <v>0.444</v>
      </c>
      <c r="N459" s="120">
        <v>56.9</v>
      </c>
      <c r="O459" s="120">
        <v>24.778984234234233</v>
      </c>
      <c r="P459" s="123">
        <v>27.88448600929156</v>
      </c>
      <c r="Q459" s="120">
        <v>0.8</v>
      </c>
      <c r="R459" s="120">
        <v>1.1253280500000002</v>
      </c>
      <c r="S459" s="15"/>
      <c r="T459" s="161"/>
      <c r="AA459" s="15"/>
      <c r="AB459" s="15"/>
      <c r="AC459" s="15"/>
      <c r="AD459" s="15"/>
      <c r="AE459" s="15"/>
    </row>
    <row r="460" ht="15.0" customHeight="1">
      <c r="A460" s="134" t="s">
        <v>238</v>
      </c>
      <c r="B460" s="3" t="s">
        <v>257</v>
      </c>
      <c r="C460" s="3" t="s">
        <v>129</v>
      </c>
      <c r="D460" s="135" t="s">
        <v>240</v>
      </c>
      <c r="E460" s="48">
        <v>3.0</v>
      </c>
      <c r="F460" s="171" t="s">
        <v>236</v>
      </c>
      <c r="G460" s="137">
        <v>15.919822</v>
      </c>
      <c r="H460" s="137">
        <v>0.31629043</v>
      </c>
      <c r="I460" s="137">
        <v>10.2797864</v>
      </c>
      <c r="J460" s="120">
        <f t="shared" si="1"/>
        <v>50.33292345</v>
      </c>
      <c r="K460" s="121">
        <v>-0.273</v>
      </c>
      <c r="L460" s="121">
        <v>-0.868</v>
      </c>
      <c r="M460" s="122">
        <f t="shared" si="18"/>
        <v>0.595</v>
      </c>
      <c r="N460" s="120">
        <v>48.9</v>
      </c>
      <c r="O460" s="120">
        <v>17.276951932773112</v>
      </c>
      <c r="P460" s="123">
        <v>19.4422386284513</v>
      </c>
      <c r="Q460" s="120">
        <v>0.7</v>
      </c>
      <c r="R460" s="120">
        <v>1.1253280500000002</v>
      </c>
      <c r="S460" s="15"/>
      <c r="T460" s="161"/>
      <c r="AA460" s="15"/>
      <c r="AB460" s="15"/>
      <c r="AC460" s="15"/>
      <c r="AD460" s="15"/>
      <c r="AE460" s="15"/>
    </row>
    <row r="461" ht="15.0" customHeight="1">
      <c r="A461" s="134" t="s">
        <v>238</v>
      </c>
      <c r="B461" s="3" t="s">
        <v>257</v>
      </c>
      <c r="C461" s="3" t="s">
        <v>129</v>
      </c>
      <c r="D461" s="135" t="s">
        <v>240</v>
      </c>
      <c r="E461" s="48">
        <v>4.0</v>
      </c>
      <c r="F461" s="171" t="s">
        <v>236</v>
      </c>
      <c r="G461" s="137">
        <v>6.53689928</v>
      </c>
      <c r="H461" s="137">
        <v>0.12490424</v>
      </c>
      <c r="I461" s="137">
        <v>6.35941339</v>
      </c>
      <c r="J461" s="120">
        <f t="shared" si="1"/>
        <v>52.33528726</v>
      </c>
      <c r="K461" s="121">
        <v>-0.378</v>
      </c>
      <c r="L461" s="121">
        <v>-0.747</v>
      </c>
      <c r="M461" s="122">
        <f t="shared" si="18"/>
        <v>0.369</v>
      </c>
      <c r="N461" s="120">
        <v>43.9</v>
      </c>
      <c r="O461" s="120">
        <v>17.234182628726288</v>
      </c>
      <c r="P461" s="123">
        <v>18.386622942308772</v>
      </c>
      <c r="Q461" s="120">
        <v>0.7</v>
      </c>
      <c r="R461" s="120">
        <v>1.0668694500000002</v>
      </c>
      <c r="S461" s="15"/>
      <c r="T461" s="161"/>
      <c r="AA461" s="15"/>
      <c r="AB461" s="15"/>
      <c r="AC461" s="15"/>
      <c r="AD461" s="15"/>
      <c r="AE461" s="15"/>
    </row>
    <row r="462" ht="15.0" customHeight="1">
      <c r="A462" s="134" t="s">
        <v>238</v>
      </c>
      <c r="B462" s="3" t="s">
        <v>257</v>
      </c>
      <c r="C462" s="3" t="s">
        <v>129</v>
      </c>
      <c r="D462" s="135" t="s">
        <v>240</v>
      </c>
      <c r="E462" s="48">
        <v>5.0</v>
      </c>
      <c r="F462" s="171" t="s">
        <v>236</v>
      </c>
      <c r="G462" s="137">
        <v>13.4795973</v>
      </c>
      <c r="H462" s="137">
        <v>0.22297149</v>
      </c>
      <c r="I462" s="137">
        <v>9.25137017</v>
      </c>
      <c r="J462" s="120">
        <f t="shared" si="1"/>
        <v>60.4543536</v>
      </c>
      <c r="K462" s="121">
        <v>-0.42</v>
      </c>
      <c r="L462" s="121">
        <v>-0.75</v>
      </c>
      <c r="M462" s="122">
        <f t="shared" si="18"/>
        <v>0.33</v>
      </c>
      <c r="N462" s="120">
        <v>42.4</v>
      </c>
      <c r="O462" s="120">
        <v>28.034455060606057</v>
      </c>
      <c r="P462" s="123">
        <v>29.909103651558507</v>
      </c>
      <c r="Q462" s="120">
        <v>0.6</v>
      </c>
      <c r="R462" s="120">
        <v>1.0668694500000002</v>
      </c>
      <c r="S462" s="15"/>
      <c r="T462" s="161"/>
      <c r="AA462" s="15"/>
      <c r="AB462" s="15"/>
      <c r="AC462" s="15"/>
      <c r="AD462" s="15"/>
      <c r="AE462" s="15"/>
    </row>
    <row r="463" ht="15.0" customHeight="1">
      <c r="A463" s="134" t="s">
        <v>238</v>
      </c>
      <c r="B463" s="3" t="s">
        <v>257</v>
      </c>
      <c r="C463" s="3" t="s">
        <v>129</v>
      </c>
      <c r="D463" s="135" t="s">
        <v>240</v>
      </c>
      <c r="E463" s="48">
        <v>6.0</v>
      </c>
      <c r="F463" s="171" t="s">
        <v>236</v>
      </c>
      <c r="G463" s="137">
        <v>6.71925151</v>
      </c>
      <c r="H463" s="137">
        <v>0.15091416</v>
      </c>
      <c r="I463" s="137">
        <v>6.993014</v>
      </c>
      <c r="J463" s="120">
        <f t="shared" si="1"/>
        <v>44.52366504</v>
      </c>
      <c r="K463" s="121">
        <v>-0.344</v>
      </c>
      <c r="L463" s="121">
        <v>-0.85</v>
      </c>
      <c r="M463" s="122">
        <f t="shared" si="18"/>
        <v>0.506</v>
      </c>
      <c r="N463" s="120">
        <v>32.9</v>
      </c>
      <c r="O463" s="120">
        <v>13.820185770750987</v>
      </c>
      <c r="P463" s="123">
        <v>18.98585472960356</v>
      </c>
      <c r="Q463" s="120">
        <v>1.0</v>
      </c>
      <c r="R463" s="120">
        <v>1.3737771000000003</v>
      </c>
      <c r="S463" s="15"/>
      <c r="T463" s="161"/>
      <c r="AA463" s="15"/>
      <c r="AB463" s="15"/>
      <c r="AC463" s="15"/>
      <c r="AD463" s="15"/>
      <c r="AE463" s="15"/>
    </row>
    <row r="464" ht="15.0" customHeight="1">
      <c r="A464" s="134" t="s">
        <v>238</v>
      </c>
      <c r="B464" s="3" t="s">
        <v>258</v>
      </c>
      <c r="C464" s="3" t="s">
        <v>136</v>
      </c>
      <c r="D464" s="3" t="s">
        <v>251</v>
      </c>
      <c r="E464" s="48">
        <v>1.0</v>
      </c>
      <c r="F464" s="171" t="s">
        <v>236</v>
      </c>
      <c r="G464" s="137">
        <v>19.9363775</v>
      </c>
      <c r="H464" s="137">
        <v>0.34824689</v>
      </c>
      <c r="I464" s="137">
        <v>9.49644198</v>
      </c>
      <c r="J464" s="120">
        <f t="shared" si="1"/>
        <v>57.24782639</v>
      </c>
      <c r="K464" s="121">
        <v>-0.45</v>
      </c>
      <c r="L464" s="121">
        <v>-0.79</v>
      </c>
      <c r="M464" s="122">
        <f t="shared" si="18"/>
        <v>0.34</v>
      </c>
      <c r="N464" s="120">
        <v>42.2</v>
      </c>
      <c r="O464" s="120">
        <v>27.930711705882352</v>
      </c>
      <c r="P464" s="123">
        <v>27.34923758076903</v>
      </c>
      <c r="Q464" s="120">
        <v>1.1</v>
      </c>
      <c r="R464" s="120">
        <v>0.9791815500000003</v>
      </c>
      <c r="S464" s="15"/>
      <c r="T464" s="161"/>
      <c r="AA464" s="15"/>
      <c r="AB464" s="15"/>
      <c r="AC464" s="15"/>
      <c r="AD464" s="15"/>
      <c r="AE464" s="15"/>
    </row>
    <row r="465" ht="15.0" customHeight="1">
      <c r="A465" s="134" t="s">
        <v>238</v>
      </c>
      <c r="B465" s="3" t="s">
        <v>258</v>
      </c>
      <c r="C465" s="3" t="s">
        <v>136</v>
      </c>
      <c r="D465" s="3" t="s">
        <v>251</v>
      </c>
      <c r="E465" s="48">
        <v>2.0</v>
      </c>
      <c r="F465" s="171" t="s">
        <v>236</v>
      </c>
      <c r="G465" s="137">
        <v>15.3138177</v>
      </c>
      <c r="H465" s="137">
        <v>0.25928466</v>
      </c>
      <c r="I465" s="137">
        <v>8.95349226</v>
      </c>
      <c r="J465" s="120">
        <f t="shared" si="1"/>
        <v>59.06179602</v>
      </c>
      <c r="K465" s="121">
        <v>-0.317</v>
      </c>
      <c r="L465" s="121">
        <v>-0.78</v>
      </c>
      <c r="M465" s="122">
        <f t="shared" si="18"/>
        <v>0.463</v>
      </c>
      <c r="N465" s="120">
        <v>29.1</v>
      </c>
      <c r="O465" s="120">
        <v>19.337996241900647</v>
      </c>
      <c r="P465" s="123">
        <v>15.261374525941443</v>
      </c>
      <c r="Q465" s="120">
        <v>0.2</v>
      </c>
      <c r="R465" s="120">
        <v>0.7891911000000001</v>
      </c>
      <c r="S465" s="15"/>
      <c r="T465" s="161"/>
      <c r="AA465" s="15"/>
      <c r="AB465" s="15"/>
      <c r="AC465" s="15"/>
      <c r="AD465" s="15"/>
      <c r="AE465" s="15"/>
    </row>
    <row r="466" ht="15.0" customHeight="1">
      <c r="A466" s="134" t="s">
        <v>238</v>
      </c>
      <c r="B466" s="3" t="s">
        <v>258</v>
      </c>
      <c r="C466" s="3" t="s">
        <v>136</v>
      </c>
      <c r="D466" s="3" t="s">
        <v>251</v>
      </c>
      <c r="E466" s="48">
        <v>3.0</v>
      </c>
      <c r="F466" s="171" t="s">
        <v>236</v>
      </c>
      <c r="G466" s="137">
        <v>18.7178275</v>
      </c>
      <c r="H466" s="137">
        <v>0.35674056</v>
      </c>
      <c r="I466" s="137">
        <v>10.9917075</v>
      </c>
      <c r="J466" s="120">
        <f t="shared" si="1"/>
        <v>52.46901978</v>
      </c>
      <c r="K466" s="121">
        <v>-0.205</v>
      </c>
      <c r="L466" s="121">
        <v>-0.665</v>
      </c>
      <c r="M466" s="122">
        <f t="shared" si="18"/>
        <v>0.46</v>
      </c>
      <c r="N466" s="120">
        <v>41.5</v>
      </c>
      <c r="O466" s="120">
        <v>23.895016304347823</v>
      </c>
      <c r="P466" s="123">
        <v>30.03268780278098</v>
      </c>
      <c r="Q466" s="120">
        <v>0.9</v>
      </c>
      <c r="R466" s="120">
        <v>1.2568599000000003</v>
      </c>
      <c r="S466" s="15"/>
      <c r="T466" s="161"/>
      <c r="AA466" s="15"/>
      <c r="AB466" s="15"/>
      <c r="AC466" s="15"/>
      <c r="AD466" s="15"/>
      <c r="AE466" s="15"/>
    </row>
    <row r="467" ht="15.0" customHeight="1">
      <c r="A467" s="134" t="s">
        <v>238</v>
      </c>
      <c r="B467" s="3" t="s">
        <v>258</v>
      </c>
      <c r="C467" s="3" t="s">
        <v>136</v>
      </c>
      <c r="D467" s="3" t="s">
        <v>251</v>
      </c>
      <c r="E467" s="48">
        <v>4.0</v>
      </c>
      <c r="F467" s="171" t="s">
        <v>236</v>
      </c>
      <c r="G467" s="137">
        <v>15.8806168</v>
      </c>
      <c r="H467" s="137">
        <v>0.32147368</v>
      </c>
      <c r="I467" s="137">
        <v>11.1168949</v>
      </c>
      <c r="J467" s="120">
        <f t="shared" si="1"/>
        <v>49.39943077</v>
      </c>
      <c r="K467" s="121">
        <v>-0.225</v>
      </c>
      <c r="L467" s="121">
        <v>-0.782</v>
      </c>
      <c r="M467" s="122">
        <f t="shared" si="18"/>
        <v>0.557</v>
      </c>
      <c r="N467" s="120">
        <v>37.0</v>
      </c>
      <c r="O467" s="120">
        <v>19.958518671454218</v>
      </c>
      <c r="P467" s="123">
        <v>21.876507367632637</v>
      </c>
      <c r="Q467" s="120">
        <v>0.7</v>
      </c>
      <c r="R467" s="120">
        <v>1.0960987500000003</v>
      </c>
      <c r="S467" s="15"/>
      <c r="T467" s="161"/>
      <c r="AA467" s="15"/>
      <c r="AB467" s="15"/>
      <c r="AC467" s="15"/>
      <c r="AD467" s="15"/>
      <c r="AE467" s="15"/>
    </row>
    <row r="468" ht="15.0" customHeight="1">
      <c r="A468" s="134" t="s">
        <v>238</v>
      </c>
      <c r="B468" s="3" t="s">
        <v>258</v>
      </c>
      <c r="C468" s="3" t="s">
        <v>136</v>
      </c>
      <c r="D468" s="3" t="s">
        <v>251</v>
      </c>
      <c r="E468" s="48">
        <v>5.0</v>
      </c>
      <c r="F468" s="171" t="s">
        <v>236</v>
      </c>
      <c r="G468" s="137">
        <v>16.0351481</v>
      </c>
      <c r="H468" s="137">
        <v>0.36887997</v>
      </c>
      <c r="I468" s="137">
        <v>11.2366826</v>
      </c>
      <c r="J468" s="120">
        <f t="shared" si="1"/>
        <v>43.46982597</v>
      </c>
      <c r="K468" s="121">
        <v>-0.358</v>
      </c>
      <c r="L468" s="121">
        <v>-0.752</v>
      </c>
      <c r="M468" s="122">
        <f t="shared" si="18"/>
        <v>0.394</v>
      </c>
      <c r="N468" s="120">
        <v>31.3</v>
      </c>
      <c r="O468" s="120">
        <v>28.519498984771573</v>
      </c>
      <c r="P468" s="123">
        <v>34.17780465869894</v>
      </c>
      <c r="Q468" s="120">
        <v>0.7</v>
      </c>
      <c r="R468" s="120">
        <v>1.1984013000000002</v>
      </c>
      <c r="S468" s="15"/>
      <c r="T468" s="161"/>
      <c r="AA468" s="15"/>
      <c r="AB468" s="15"/>
      <c r="AC468" s="15"/>
      <c r="AD468" s="15"/>
      <c r="AE468" s="15"/>
    </row>
    <row r="469" ht="15.0" customHeight="1">
      <c r="A469" s="134" t="s">
        <v>238</v>
      </c>
      <c r="B469" s="3" t="s">
        <v>258</v>
      </c>
      <c r="C469" s="3" t="s">
        <v>136</v>
      </c>
      <c r="D469" s="3" t="s">
        <v>251</v>
      </c>
      <c r="E469" s="48">
        <v>6.0</v>
      </c>
      <c r="F469" s="171" t="s">
        <v>236</v>
      </c>
      <c r="G469" s="137">
        <v>12.8433225</v>
      </c>
      <c r="H469" s="137">
        <v>0.2776197</v>
      </c>
      <c r="I469" s="137">
        <v>10.3347024</v>
      </c>
      <c r="J469" s="120">
        <f t="shared" si="1"/>
        <v>46.26228794</v>
      </c>
      <c r="K469" s="121">
        <v>-0.316</v>
      </c>
      <c r="L469" s="121">
        <v>-0.875</v>
      </c>
      <c r="M469" s="122">
        <f t="shared" si="18"/>
        <v>0.559</v>
      </c>
      <c r="N469" s="120">
        <v>36.7</v>
      </c>
      <c r="O469" s="120">
        <v>18.487839713774598</v>
      </c>
      <c r="P469" s="123">
        <v>21.885657840506195</v>
      </c>
      <c r="Q469" s="120">
        <v>0.2</v>
      </c>
      <c r="R469" s="120">
        <v>1.1837866500000003</v>
      </c>
      <c r="S469" s="15"/>
      <c r="T469" s="161"/>
      <c r="AA469" s="15"/>
      <c r="AB469" s="15"/>
      <c r="AC469" s="15"/>
      <c r="AD469" s="15"/>
      <c r="AE469" s="15"/>
    </row>
    <row r="470" ht="15.0" customHeight="1">
      <c r="A470" s="134" t="s">
        <v>249</v>
      </c>
      <c r="B470" s="3" t="s">
        <v>257</v>
      </c>
      <c r="C470" s="3" t="s">
        <v>143</v>
      </c>
      <c r="D470" s="135" t="s">
        <v>240</v>
      </c>
      <c r="E470" s="48">
        <v>1.0</v>
      </c>
      <c r="F470" s="171" t="s">
        <v>236</v>
      </c>
      <c r="G470" s="137">
        <v>19.0003593</v>
      </c>
      <c r="H470" s="137">
        <v>0.33621733</v>
      </c>
      <c r="I470" s="137">
        <v>9.54826754</v>
      </c>
      <c r="J470" s="120">
        <f t="shared" si="1"/>
        <v>56.51213547</v>
      </c>
      <c r="K470" s="121">
        <v>-0.218</v>
      </c>
      <c r="L470" s="121">
        <v>-0.6</v>
      </c>
      <c r="M470" s="122">
        <f t="shared" si="18"/>
        <v>0.382</v>
      </c>
      <c r="N470" s="120">
        <v>38.0</v>
      </c>
      <c r="O470" s="120">
        <v>24.995464764397905</v>
      </c>
      <c r="P470" s="123">
        <v>24.840397900092537</v>
      </c>
      <c r="Q470" s="120">
        <v>0.3</v>
      </c>
      <c r="R470" s="120">
        <v>0.9937962000000001</v>
      </c>
      <c r="S470" s="15"/>
      <c r="T470" s="161"/>
      <c r="AA470" s="15"/>
      <c r="AB470" s="15"/>
      <c r="AC470" s="15"/>
      <c r="AD470" s="15"/>
      <c r="AE470" s="15"/>
    </row>
    <row r="471" ht="15.0" customHeight="1">
      <c r="A471" s="134" t="s">
        <v>249</v>
      </c>
      <c r="B471" s="3" t="s">
        <v>257</v>
      </c>
      <c r="C471" s="3" t="s">
        <v>143</v>
      </c>
      <c r="D471" s="135" t="s">
        <v>240</v>
      </c>
      <c r="E471" s="48">
        <v>2.0</v>
      </c>
      <c r="F471" s="171" t="s">
        <v>236</v>
      </c>
      <c r="G471" s="137">
        <v>17.1989098</v>
      </c>
      <c r="H471" s="137">
        <v>0.31013302</v>
      </c>
      <c r="I471" s="137">
        <v>10.1661562</v>
      </c>
      <c r="J471" s="120">
        <f t="shared" si="1"/>
        <v>55.45655796</v>
      </c>
      <c r="K471" s="121">
        <v>-0.387</v>
      </c>
      <c r="L471" s="121">
        <v>-0.65</v>
      </c>
      <c r="M471" s="122">
        <f t="shared" si="18"/>
        <v>0.263</v>
      </c>
      <c r="N471" s="120">
        <v>26.2</v>
      </c>
      <c r="O471" s="120">
        <v>38.65458631178707</v>
      </c>
      <c r="P471" s="123">
        <v>39.544627488909136</v>
      </c>
      <c r="Q471" s="120">
        <v>0.8</v>
      </c>
      <c r="R471" s="120">
        <v>1.0230255000000004</v>
      </c>
      <c r="S471" s="15"/>
      <c r="T471" s="161"/>
      <c r="AA471" s="15"/>
      <c r="AB471" s="15"/>
      <c r="AC471" s="15"/>
      <c r="AD471" s="15"/>
      <c r="AE471" s="15"/>
    </row>
    <row r="472" ht="15.0" customHeight="1">
      <c r="A472" s="134" t="s">
        <v>249</v>
      </c>
      <c r="B472" s="3" t="s">
        <v>257</v>
      </c>
      <c r="C472" s="3" t="s">
        <v>143</v>
      </c>
      <c r="D472" s="135" t="s">
        <v>240</v>
      </c>
      <c r="E472" s="48">
        <v>3.0</v>
      </c>
      <c r="F472" s="171" t="s">
        <v>236</v>
      </c>
      <c r="G472" s="137">
        <v>20.0367565</v>
      </c>
      <c r="H472" s="137">
        <v>0.37649583</v>
      </c>
      <c r="I472" s="137">
        <v>11.4504926</v>
      </c>
      <c r="J472" s="120">
        <f t="shared" si="1"/>
        <v>53.2190662</v>
      </c>
      <c r="K472" s="121">
        <v>-0.197</v>
      </c>
      <c r="L472" s="121">
        <v>-0.634</v>
      </c>
      <c r="M472" s="122">
        <f t="shared" si="18"/>
        <v>0.437</v>
      </c>
      <c r="N472" s="120">
        <v>35.5</v>
      </c>
      <c r="O472" s="120">
        <v>26.202500228832953</v>
      </c>
      <c r="P472" s="123">
        <v>29.486408487637146</v>
      </c>
      <c r="Q472" s="120">
        <v>0.6</v>
      </c>
      <c r="R472" s="120">
        <v>1.1253280500000002</v>
      </c>
      <c r="S472" s="15"/>
      <c r="T472" s="161"/>
      <c r="AA472" s="15"/>
      <c r="AB472" s="15"/>
      <c r="AC472" s="15"/>
      <c r="AD472" s="15"/>
      <c r="AE472" s="15"/>
    </row>
    <row r="473" ht="15.0" customHeight="1">
      <c r="A473" s="134" t="s">
        <v>249</v>
      </c>
      <c r="B473" s="3" t="s">
        <v>257</v>
      </c>
      <c r="C473" s="3" t="s">
        <v>143</v>
      </c>
      <c r="D473" s="135" t="s">
        <v>240</v>
      </c>
      <c r="E473" s="48">
        <v>4.0</v>
      </c>
      <c r="F473" s="171" t="s">
        <v>236</v>
      </c>
      <c r="G473" s="137">
        <v>13.9399947</v>
      </c>
      <c r="H473" s="137">
        <v>0.3273378</v>
      </c>
      <c r="I473" s="137">
        <v>11.2638442</v>
      </c>
      <c r="J473" s="120">
        <f t="shared" si="1"/>
        <v>42.58596074</v>
      </c>
      <c r="K473" s="121">
        <v>-0.392</v>
      </c>
      <c r="L473" s="121">
        <v>-0.688</v>
      </c>
      <c r="M473" s="122">
        <f t="shared" si="18"/>
        <v>0.296</v>
      </c>
      <c r="N473" s="120">
        <v>35.6</v>
      </c>
      <c r="O473" s="120">
        <v>38.05352770270271</v>
      </c>
      <c r="P473" s="123">
        <v>41.710424148022824</v>
      </c>
      <c r="Q473" s="120">
        <v>0.8</v>
      </c>
      <c r="R473" s="120">
        <v>1.0960987500000003</v>
      </c>
      <c r="S473" s="15"/>
      <c r="T473" s="161"/>
      <c r="AA473" s="15"/>
      <c r="AB473" s="15"/>
      <c r="AC473" s="15"/>
      <c r="AD473" s="15"/>
      <c r="AE473" s="15"/>
    </row>
    <row r="474" ht="15.0" customHeight="1">
      <c r="A474" s="134" t="s">
        <v>249</v>
      </c>
      <c r="B474" s="3" t="s">
        <v>257</v>
      </c>
      <c r="C474" s="3" t="s">
        <v>143</v>
      </c>
      <c r="D474" s="135" t="s">
        <v>240</v>
      </c>
      <c r="E474" s="48">
        <v>5.0</v>
      </c>
      <c r="F474" s="171" t="s">
        <v>236</v>
      </c>
      <c r="G474" s="137">
        <v>17.9051133</v>
      </c>
      <c r="H474" s="137">
        <v>0.42332518</v>
      </c>
      <c r="I474" s="137">
        <v>12.8647527</v>
      </c>
      <c r="J474" s="120">
        <f t="shared" si="1"/>
        <v>42.29635785</v>
      </c>
      <c r="K474" s="121">
        <v>-0.362</v>
      </c>
      <c r="L474" s="121">
        <v>-0.758</v>
      </c>
      <c r="M474" s="122">
        <f t="shared" si="18"/>
        <v>0.396</v>
      </c>
      <c r="N474" s="120">
        <v>38.8</v>
      </c>
      <c r="O474" s="120">
        <v>32.48674924242424</v>
      </c>
      <c r="P474" s="123">
        <v>37.033032645632055</v>
      </c>
      <c r="Q474" s="120">
        <v>0.4</v>
      </c>
      <c r="R474" s="120">
        <v>1.1399427000000004</v>
      </c>
      <c r="S474" s="15"/>
      <c r="T474" s="161"/>
      <c r="AA474" s="15"/>
      <c r="AB474" s="15"/>
      <c r="AC474" s="15"/>
      <c r="AD474" s="15"/>
      <c r="AE474" s="15"/>
    </row>
    <row r="475" ht="15.0" customHeight="1">
      <c r="A475" s="134" t="s">
        <v>249</v>
      </c>
      <c r="B475" s="3" t="s">
        <v>257</v>
      </c>
      <c r="C475" s="3" t="s">
        <v>143</v>
      </c>
      <c r="D475" s="135" t="s">
        <v>240</v>
      </c>
      <c r="E475" s="48">
        <v>6.0</v>
      </c>
      <c r="F475" s="171" t="s">
        <v>236</v>
      </c>
      <c r="G475" s="137">
        <v>17.2033539</v>
      </c>
      <c r="H475" s="137">
        <v>0.36717969</v>
      </c>
      <c r="I475" s="137">
        <v>11.7760525</v>
      </c>
      <c r="J475" s="120">
        <f t="shared" si="1"/>
        <v>46.85268376</v>
      </c>
      <c r="K475" s="121">
        <v>-0.307</v>
      </c>
      <c r="L475" s="121">
        <v>-0.763</v>
      </c>
      <c r="M475" s="122">
        <f t="shared" si="18"/>
        <v>0.456</v>
      </c>
      <c r="N475" s="120">
        <v>27.9</v>
      </c>
      <c r="O475" s="120">
        <v>25.82467653508772</v>
      </c>
      <c r="P475" s="123">
        <v>27.928977060340465</v>
      </c>
      <c r="Q475" s="120">
        <v>0.7</v>
      </c>
      <c r="R475" s="120">
        <v>1.0814841000000002</v>
      </c>
      <c r="S475" s="15"/>
      <c r="T475" s="161"/>
      <c r="AA475" s="15"/>
      <c r="AB475" s="15"/>
      <c r="AC475" s="15"/>
      <c r="AD475" s="15"/>
      <c r="AE475" s="15"/>
    </row>
    <row r="476" ht="15.0" customHeight="1">
      <c r="A476" s="134" t="s">
        <v>244</v>
      </c>
      <c r="B476" s="3" t="s">
        <v>250</v>
      </c>
      <c r="C476" s="3" t="s">
        <v>164</v>
      </c>
      <c r="D476" s="3" t="s">
        <v>251</v>
      </c>
      <c r="E476" s="48">
        <v>1.0</v>
      </c>
      <c r="F476" s="171" t="s">
        <v>236</v>
      </c>
      <c r="G476" s="137">
        <v>21.7784291</v>
      </c>
      <c r="H476" s="137">
        <v>0.38849756</v>
      </c>
      <c r="I476" s="137">
        <v>10.6317092</v>
      </c>
      <c r="J476" s="120">
        <f t="shared" si="1"/>
        <v>56.05808464</v>
      </c>
      <c r="K476" s="121">
        <v>-0.297</v>
      </c>
      <c r="L476" s="121">
        <v>-0.564</v>
      </c>
      <c r="M476" s="122">
        <f t="shared" si="18"/>
        <v>0.267</v>
      </c>
      <c r="N476" s="120">
        <v>42.5</v>
      </c>
      <c r="O476" s="120">
        <v>39.819135580524346</v>
      </c>
      <c r="P476" s="123">
        <v>36.08044924833844</v>
      </c>
      <c r="Q476" s="120">
        <v>0.5</v>
      </c>
      <c r="R476" s="120">
        <v>0.9061083000000002</v>
      </c>
      <c r="S476" s="15"/>
      <c r="T476" s="161"/>
      <c r="AA476" s="15"/>
      <c r="AB476" s="15"/>
      <c r="AC476" s="15"/>
      <c r="AD476" s="15"/>
      <c r="AE476" s="15"/>
    </row>
    <row r="477" ht="15.0" customHeight="1">
      <c r="A477" s="134" t="s">
        <v>244</v>
      </c>
      <c r="B477" s="3" t="s">
        <v>250</v>
      </c>
      <c r="C477" s="3" t="s">
        <v>164</v>
      </c>
      <c r="D477" s="3" t="s">
        <v>251</v>
      </c>
      <c r="E477" s="48">
        <v>2.0</v>
      </c>
      <c r="F477" s="171" t="s">
        <v>236</v>
      </c>
      <c r="G477" s="137">
        <v>12.6048321</v>
      </c>
      <c r="H477" s="137">
        <v>0.21038647</v>
      </c>
      <c r="I477" s="137">
        <v>7.80998943</v>
      </c>
      <c r="J477" s="120">
        <f t="shared" si="1"/>
        <v>59.91275057</v>
      </c>
      <c r="K477" s="121">
        <v>-0.4</v>
      </c>
      <c r="L477" s="121">
        <v>-0.645</v>
      </c>
      <c r="M477" s="122">
        <f t="shared" si="18"/>
        <v>0.245</v>
      </c>
      <c r="N477" s="120">
        <v>37.1</v>
      </c>
      <c r="O477" s="120">
        <v>31.87750787755102</v>
      </c>
      <c r="P477" s="123">
        <v>38.66792550172004</v>
      </c>
      <c r="Q477" s="120">
        <v>0.8</v>
      </c>
      <c r="R477" s="120">
        <v>1.2130159500000004</v>
      </c>
      <c r="S477" s="15"/>
      <c r="T477" s="161"/>
      <c r="AA477" s="15"/>
      <c r="AB477" s="15"/>
      <c r="AC477" s="15"/>
      <c r="AD477" s="15"/>
      <c r="AE477" s="15"/>
    </row>
    <row r="478" ht="15.0" customHeight="1">
      <c r="A478" s="134" t="s">
        <v>244</v>
      </c>
      <c r="B478" s="3" t="s">
        <v>250</v>
      </c>
      <c r="C478" s="3" t="s">
        <v>164</v>
      </c>
      <c r="D478" s="3" t="s">
        <v>251</v>
      </c>
      <c r="E478" s="48">
        <v>3.0</v>
      </c>
      <c r="F478" s="171" t="s">
        <v>236</v>
      </c>
      <c r="G478" s="137">
        <v>18.7451266</v>
      </c>
      <c r="H478" s="137">
        <v>0.32729687</v>
      </c>
      <c r="I478" s="137">
        <v>10.922653</v>
      </c>
      <c r="J478" s="120">
        <f t="shared" si="1"/>
        <v>57.27255076</v>
      </c>
      <c r="K478" s="121">
        <v>-0.185</v>
      </c>
      <c r="L478" s="121">
        <v>-0.8</v>
      </c>
      <c r="M478" s="122">
        <f t="shared" si="18"/>
        <v>0.615</v>
      </c>
      <c r="N478" s="120">
        <v>35.7</v>
      </c>
      <c r="O478" s="120">
        <v>17.760411382113823</v>
      </c>
      <c r="P478" s="123">
        <v>19.46716471542074</v>
      </c>
      <c r="Q478" s="120">
        <v>0.8</v>
      </c>
      <c r="R478" s="120">
        <v>1.0960987500000003</v>
      </c>
      <c r="S478" s="15"/>
      <c r="T478" s="161"/>
      <c r="AA478" s="15"/>
      <c r="AB478" s="15"/>
      <c r="AC478" s="15"/>
      <c r="AD478" s="15"/>
      <c r="AE478" s="15"/>
    </row>
    <row r="479" ht="15.0" customHeight="1">
      <c r="A479" s="134" t="s">
        <v>244</v>
      </c>
      <c r="B479" s="3" t="s">
        <v>250</v>
      </c>
      <c r="C479" s="3" t="s">
        <v>164</v>
      </c>
      <c r="D479" s="3" t="s">
        <v>251</v>
      </c>
      <c r="E479" s="48">
        <v>4.0</v>
      </c>
      <c r="F479" s="171" t="s">
        <v>236</v>
      </c>
      <c r="G479" s="137">
        <v>13.8472295</v>
      </c>
      <c r="H479" s="137">
        <v>0.27226567</v>
      </c>
      <c r="I479" s="137">
        <v>9.95903977</v>
      </c>
      <c r="J479" s="120">
        <f t="shared" si="1"/>
        <v>50.85925633</v>
      </c>
      <c r="K479" s="121">
        <v>-0.31</v>
      </c>
      <c r="L479" s="121">
        <v>-0.796</v>
      </c>
      <c r="M479" s="122">
        <f t="shared" si="18"/>
        <v>0.486</v>
      </c>
      <c r="N479" s="120">
        <v>39.4</v>
      </c>
      <c r="O479" s="120">
        <v>20.49185137860082</v>
      </c>
      <c r="P479" s="123">
        <v>25.156423803022555</v>
      </c>
      <c r="Q479" s="120">
        <v>1.0</v>
      </c>
      <c r="R479" s="120">
        <v>1.2276306000000001</v>
      </c>
      <c r="S479" s="15"/>
      <c r="T479" s="161"/>
      <c r="AA479" s="15"/>
      <c r="AB479" s="15"/>
      <c r="AC479" s="15"/>
      <c r="AD479" s="15"/>
      <c r="AE479" s="15"/>
    </row>
    <row r="480" ht="15.0" customHeight="1">
      <c r="A480" s="134" t="s">
        <v>244</v>
      </c>
      <c r="B480" s="3" t="s">
        <v>250</v>
      </c>
      <c r="C480" s="3" t="s">
        <v>164</v>
      </c>
      <c r="D480" s="3" t="s">
        <v>251</v>
      </c>
      <c r="E480" s="48">
        <v>5.0</v>
      </c>
      <c r="F480" s="171" t="s">
        <v>236</v>
      </c>
      <c r="G480" s="137">
        <v>15.3981034</v>
      </c>
      <c r="H480" s="137">
        <v>0.29552017</v>
      </c>
      <c r="I480" s="137">
        <v>11.0508511</v>
      </c>
      <c r="J480" s="120">
        <f t="shared" si="1"/>
        <v>52.1050844</v>
      </c>
      <c r="K480" s="121">
        <v>-0.312</v>
      </c>
      <c r="L480" s="121">
        <v>-0.745</v>
      </c>
      <c r="M480" s="122">
        <f t="shared" si="18"/>
        <v>0.433</v>
      </c>
      <c r="N480" s="120">
        <v>45.0</v>
      </c>
      <c r="O480" s="120">
        <v>25.521596073903</v>
      </c>
      <c r="P480" s="123">
        <v>32.82304907740906</v>
      </c>
      <c r="Q480" s="120">
        <v>1.1</v>
      </c>
      <c r="R480" s="120">
        <v>1.2860892000000004</v>
      </c>
      <c r="S480" s="15"/>
      <c r="T480" s="161"/>
      <c r="AA480" s="15"/>
      <c r="AB480" s="15"/>
      <c r="AC480" s="15"/>
      <c r="AD480" s="15"/>
      <c r="AE480" s="15"/>
    </row>
    <row r="481" ht="15.0" customHeight="1">
      <c r="A481" s="153" t="s">
        <v>244</v>
      </c>
      <c r="B481" s="154" t="s">
        <v>250</v>
      </c>
      <c r="C481" s="154" t="s">
        <v>164</v>
      </c>
      <c r="D481" s="154" t="s">
        <v>251</v>
      </c>
      <c r="E481" s="155">
        <v>6.0</v>
      </c>
      <c r="F481" s="172" t="s">
        <v>236</v>
      </c>
      <c r="G481" s="157">
        <v>16.8013592</v>
      </c>
      <c r="H481" s="157">
        <v>0.41425727</v>
      </c>
      <c r="I481" s="157">
        <v>12.2311215</v>
      </c>
      <c r="J481" s="145">
        <f t="shared" si="1"/>
        <v>40.55778961</v>
      </c>
      <c r="K481" s="158">
        <v>-0.42</v>
      </c>
      <c r="L481" s="158">
        <v>-0.76</v>
      </c>
      <c r="M481" s="159">
        <f t="shared" si="18"/>
        <v>0.34</v>
      </c>
      <c r="N481" s="145">
        <v>39.4</v>
      </c>
      <c r="O481" s="145">
        <v>35.97388676470588</v>
      </c>
      <c r="P481" s="173">
        <v>42.58540690067052</v>
      </c>
      <c r="Q481" s="145">
        <v>0.8</v>
      </c>
      <c r="R481" s="145">
        <v>1.1837866500000003</v>
      </c>
      <c r="S481" s="174"/>
      <c r="T481" s="175"/>
      <c r="AA481" s="15"/>
      <c r="AB481" s="15"/>
      <c r="AC481" s="15"/>
      <c r="AD481" s="15"/>
      <c r="AE481" s="15"/>
    </row>
    <row r="482" ht="15.0" customHeight="1">
      <c r="A482" s="176"/>
      <c r="G482" s="5"/>
      <c r="H482" s="5"/>
      <c r="I482" s="5"/>
      <c r="M482" s="177"/>
      <c r="O482" s="15"/>
      <c r="P482" s="178"/>
      <c r="Q482" s="15"/>
      <c r="R482" s="15"/>
      <c r="S482" s="15"/>
      <c r="T482" s="161"/>
      <c r="AA482" s="15"/>
      <c r="AB482" s="15"/>
      <c r="AC482" s="15"/>
      <c r="AD482" s="15"/>
      <c r="AE482" s="15"/>
    </row>
    <row r="483" ht="15.0" customHeight="1">
      <c r="A483" s="176"/>
      <c r="G483" s="5"/>
      <c r="I483" s="5"/>
      <c r="M483" s="177"/>
      <c r="O483" s="15"/>
      <c r="P483" s="178"/>
      <c r="Q483" s="15"/>
      <c r="R483" s="15"/>
      <c r="S483" s="15"/>
      <c r="T483" s="161"/>
      <c r="AA483" s="15"/>
      <c r="AB483" s="15"/>
      <c r="AC483" s="15"/>
      <c r="AD483" s="15"/>
      <c r="AE483" s="15"/>
    </row>
    <row r="484" ht="15.0" customHeight="1">
      <c r="A484" s="176"/>
      <c r="G484" s="5"/>
      <c r="H484" s="5"/>
      <c r="I484" s="5"/>
      <c r="M484" s="177"/>
      <c r="O484" s="15"/>
      <c r="P484" s="178"/>
      <c r="Q484" s="15"/>
      <c r="R484" s="15"/>
      <c r="S484" s="15"/>
      <c r="T484" s="161"/>
      <c r="AA484" s="15"/>
      <c r="AB484" s="15"/>
      <c r="AC484" s="15"/>
      <c r="AD484" s="15"/>
      <c r="AE484" s="15"/>
    </row>
    <row r="485" ht="15.0" customHeight="1">
      <c r="A485" s="176"/>
      <c r="G485" s="5"/>
      <c r="I485" s="5"/>
      <c r="M485" s="177"/>
      <c r="O485" s="15"/>
      <c r="P485" s="178"/>
      <c r="Q485" s="15"/>
      <c r="R485" s="15"/>
      <c r="S485" s="15"/>
      <c r="T485" s="161"/>
      <c r="AA485" s="15"/>
      <c r="AB485" s="15"/>
      <c r="AC485" s="15"/>
      <c r="AD485" s="15"/>
      <c r="AE485" s="15"/>
    </row>
    <row r="486" ht="15.0" customHeight="1">
      <c r="A486" s="176"/>
      <c r="G486" s="5"/>
      <c r="H486" s="5"/>
      <c r="I486" s="5"/>
      <c r="M486" s="177"/>
      <c r="O486" s="15"/>
      <c r="P486" s="178"/>
      <c r="Q486" s="15"/>
      <c r="R486" s="15"/>
      <c r="S486" s="15"/>
      <c r="T486" s="161"/>
      <c r="AA486" s="15"/>
      <c r="AB486" s="15"/>
      <c r="AC486" s="15"/>
      <c r="AD486" s="15"/>
      <c r="AE486" s="15"/>
    </row>
    <row r="487" ht="15.0" customHeight="1">
      <c r="A487" s="176"/>
      <c r="G487" s="5"/>
      <c r="H487" s="5"/>
      <c r="I487" s="5"/>
      <c r="M487" s="177"/>
      <c r="O487" s="15"/>
      <c r="P487" s="178"/>
      <c r="Q487" s="15"/>
      <c r="R487" s="15"/>
      <c r="S487" s="15"/>
      <c r="T487" s="161"/>
      <c r="AA487" s="15"/>
      <c r="AB487" s="15"/>
      <c r="AC487" s="15"/>
      <c r="AD487" s="15"/>
      <c r="AE487" s="15"/>
    </row>
    <row r="488" ht="15.0" customHeight="1">
      <c r="A488" s="176"/>
      <c r="G488" s="5"/>
      <c r="H488" s="5"/>
      <c r="I488" s="5"/>
      <c r="M488" s="177"/>
      <c r="O488" s="15"/>
      <c r="P488" s="178"/>
      <c r="Q488" s="15"/>
      <c r="R488" s="15"/>
      <c r="S488" s="15"/>
      <c r="T488" s="161"/>
      <c r="AA488" s="15"/>
      <c r="AB488" s="15"/>
      <c r="AC488" s="15"/>
      <c r="AD488" s="15"/>
      <c r="AE488" s="15"/>
    </row>
    <row r="489" ht="15.0" customHeight="1">
      <c r="A489" s="176"/>
      <c r="G489" s="5"/>
      <c r="H489" s="5"/>
      <c r="I489" s="5"/>
      <c r="M489" s="177"/>
      <c r="O489" s="15"/>
      <c r="P489" s="178"/>
      <c r="Q489" s="15"/>
      <c r="R489" s="15"/>
      <c r="S489" s="15"/>
      <c r="T489" s="161"/>
      <c r="AA489" s="15"/>
      <c r="AB489" s="15"/>
      <c r="AC489" s="15"/>
      <c r="AD489" s="15"/>
      <c r="AE489" s="15"/>
    </row>
    <row r="490" ht="15.0" customHeight="1">
      <c r="A490" s="176"/>
      <c r="G490" s="5"/>
      <c r="H490" s="5"/>
      <c r="I490" s="5"/>
      <c r="M490" s="177"/>
      <c r="O490" s="15"/>
      <c r="P490" s="178"/>
      <c r="Q490" s="15"/>
      <c r="R490" s="15"/>
      <c r="S490" s="15"/>
      <c r="T490" s="161"/>
      <c r="AA490" s="15"/>
      <c r="AB490" s="15"/>
      <c r="AC490" s="15"/>
      <c r="AD490" s="15"/>
      <c r="AE490" s="15"/>
    </row>
    <row r="491" ht="15.0" customHeight="1">
      <c r="A491" s="176"/>
      <c r="G491" s="5"/>
      <c r="H491" s="5"/>
      <c r="I491" s="5"/>
      <c r="M491" s="177"/>
      <c r="O491" s="15"/>
      <c r="P491" s="178"/>
      <c r="Q491" s="15"/>
      <c r="R491" s="15"/>
      <c r="S491" s="15"/>
      <c r="T491" s="161"/>
      <c r="AA491" s="15"/>
      <c r="AB491" s="15"/>
      <c r="AC491" s="15"/>
      <c r="AD491" s="15"/>
      <c r="AE491" s="15"/>
    </row>
    <row r="492" ht="15.0" customHeight="1">
      <c r="A492" s="176"/>
      <c r="G492" s="5"/>
      <c r="H492" s="5"/>
      <c r="I492" s="5"/>
      <c r="M492" s="177"/>
      <c r="O492" s="15"/>
      <c r="P492" s="178"/>
      <c r="Q492" s="15"/>
      <c r="R492" s="15"/>
      <c r="S492" s="15"/>
      <c r="T492" s="161"/>
      <c r="AA492" s="15"/>
      <c r="AB492" s="15"/>
      <c r="AC492" s="15"/>
      <c r="AD492" s="15"/>
      <c r="AE492" s="15"/>
    </row>
    <row r="493" ht="15.0" customHeight="1">
      <c r="A493" s="176"/>
      <c r="G493" s="5"/>
      <c r="H493" s="5"/>
      <c r="I493" s="5"/>
      <c r="M493" s="177"/>
      <c r="O493" s="15"/>
      <c r="P493" s="178"/>
      <c r="Q493" s="15"/>
      <c r="R493" s="15"/>
      <c r="S493" s="15"/>
      <c r="T493" s="161"/>
      <c r="AA493" s="15"/>
      <c r="AB493" s="15"/>
      <c r="AC493" s="15"/>
      <c r="AD493" s="15"/>
      <c r="AE493" s="15"/>
    </row>
    <row r="494" ht="15.0" customHeight="1">
      <c r="A494" s="176"/>
      <c r="G494" s="5"/>
      <c r="H494" s="5"/>
      <c r="I494" s="5"/>
      <c r="M494" s="177"/>
      <c r="O494" s="15"/>
      <c r="P494" s="178"/>
      <c r="Q494" s="15"/>
      <c r="R494" s="15"/>
      <c r="S494" s="15"/>
      <c r="T494" s="161"/>
      <c r="AA494" s="15"/>
      <c r="AB494" s="15"/>
      <c r="AC494" s="15"/>
      <c r="AD494" s="15"/>
      <c r="AE494" s="15"/>
    </row>
    <row r="495" ht="15.0" customHeight="1">
      <c r="A495" s="176"/>
      <c r="G495" s="5"/>
      <c r="H495" s="5"/>
      <c r="I495" s="5"/>
      <c r="M495" s="177"/>
      <c r="O495" s="15"/>
      <c r="P495" s="178"/>
      <c r="Q495" s="15"/>
      <c r="R495" s="15"/>
      <c r="S495" s="15"/>
      <c r="T495" s="161"/>
      <c r="AA495" s="15"/>
      <c r="AB495" s="15"/>
      <c r="AC495" s="15"/>
      <c r="AD495" s="15"/>
      <c r="AE495" s="15"/>
    </row>
    <row r="496" ht="15.0" customHeight="1">
      <c r="A496" s="176"/>
      <c r="G496" s="5"/>
      <c r="H496" s="5"/>
      <c r="I496" s="5"/>
      <c r="M496" s="177"/>
      <c r="O496" s="15"/>
      <c r="P496" s="178"/>
      <c r="Q496" s="15"/>
      <c r="R496" s="15"/>
      <c r="S496" s="15"/>
      <c r="T496" s="161"/>
      <c r="AA496" s="15"/>
      <c r="AB496" s="15"/>
      <c r="AC496" s="15"/>
      <c r="AD496" s="15"/>
      <c r="AE496" s="15"/>
    </row>
    <row r="497" ht="15.0" customHeight="1">
      <c r="A497" s="176"/>
      <c r="G497" s="5"/>
      <c r="H497" s="5"/>
      <c r="I497" s="5"/>
      <c r="M497" s="177"/>
      <c r="O497" s="15"/>
      <c r="P497" s="178"/>
      <c r="Q497" s="15"/>
      <c r="R497" s="15"/>
      <c r="S497" s="15"/>
      <c r="T497" s="161"/>
      <c r="AA497" s="15"/>
      <c r="AB497" s="15"/>
      <c r="AC497" s="15"/>
      <c r="AD497" s="15"/>
      <c r="AE497" s="15"/>
    </row>
    <row r="498" ht="15.0" customHeight="1">
      <c r="A498" s="176"/>
      <c r="G498" s="5"/>
      <c r="H498" s="5"/>
      <c r="I498" s="5"/>
      <c r="M498" s="177"/>
      <c r="O498" s="15"/>
      <c r="P498" s="178"/>
      <c r="Q498" s="15"/>
      <c r="R498" s="15"/>
      <c r="S498" s="15"/>
      <c r="T498" s="161"/>
      <c r="AA498" s="15"/>
      <c r="AB498" s="15"/>
      <c r="AC498" s="15"/>
      <c r="AD498" s="15"/>
      <c r="AE498" s="15"/>
    </row>
    <row r="499" ht="15.0" customHeight="1">
      <c r="A499" s="176"/>
      <c r="G499" s="5"/>
      <c r="H499" s="5"/>
      <c r="I499" s="5"/>
      <c r="M499" s="177"/>
      <c r="O499" s="15"/>
      <c r="P499" s="178"/>
      <c r="Q499" s="15"/>
      <c r="R499" s="15"/>
      <c r="S499" s="15"/>
      <c r="T499" s="161"/>
      <c r="AA499" s="15"/>
      <c r="AB499" s="15"/>
      <c r="AC499" s="15"/>
      <c r="AD499" s="15"/>
      <c r="AE499" s="15"/>
    </row>
    <row r="500" ht="15.0" customHeight="1">
      <c r="A500" s="176"/>
      <c r="G500" s="5"/>
      <c r="H500" s="5"/>
      <c r="I500" s="5"/>
      <c r="M500" s="177"/>
      <c r="O500" s="15"/>
      <c r="P500" s="178"/>
      <c r="Q500" s="15"/>
      <c r="R500" s="15"/>
      <c r="S500" s="15"/>
      <c r="T500" s="161"/>
      <c r="AA500" s="15"/>
      <c r="AB500" s="15"/>
      <c r="AC500" s="15"/>
      <c r="AD500" s="15"/>
      <c r="AE500" s="15"/>
    </row>
    <row r="501" ht="15.0" customHeight="1">
      <c r="A501" s="176"/>
      <c r="G501" s="5"/>
      <c r="H501" s="5"/>
      <c r="I501" s="5"/>
      <c r="M501" s="177"/>
      <c r="O501" s="15"/>
      <c r="P501" s="178"/>
      <c r="Q501" s="15"/>
      <c r="R501" s="15"/>
      <c r="S501" s="15"/>
      <c r="T501" s="161"/>
      <c r="AA501" s="15"/>
      <c r="AB501" s="15"/>
      <c r="AC501" s="15"/>
      <c r="AD501" s="15"/>
      <c r="AE501" s="15"/>
    </row>
    <row r="502" ht="15.0" customHeight="1">
      <c r="A502" s="176"/>
      <c r="G502" s="5"/>
      <c r="H502" s="5"/>
      <c r="I502" s="5"/>
      <c r="M502" s="177"/>
      <c r="O502" s="15"/>
      <c r="P502" s="178"/>
      <c r="Q502" s="15"/>
      <c r="R502" s="15"/>
      <c r="S502" s="15"/>
      <c r="T502" s="161"/>
      <c r="AA502" s="15"/>
      <c r="AB502" s="15"/>
      <c r="AC502" s="15"/>
      <c r="AD502" s="15"/>
      <c r="AE502" s="15"/>
    </row>
    <row r="503" ht="15.0" customHeight="1">
      <c r="A503" s="176"/>
      <c r="G503" s="5"/>
      <c r="H503" s="5"/>
      <c r="I503" s="5"/>
      <c r="M503" s="177"/>
      <c r="O503" s="15"/>
      <c r="P503" s="178"/>
      <c r="Q503" s="15"/>
      <c r="R503" s="15"/>
      <c r="S503" s="15"/>
      <c r="T503" s="161"/>
      <c r="AA503" s="15"/>
      <c r="AB503" s="15"/>
      <c r="AC503" s="15"/>
      <c r="AD503" s="15"/>
      <c r="AE503" s="15"/>
    </row>
    <row r="504" ht="15.0" customHeight="1">
      <c r="A504" s="176"/>
      <c r="G504" s="5"/>
      <c r="H504" s="5"/>
      <c r="I504" s="5"/>
      <c r="M504" s="177"/>
      <c r="O504" s="15"/>
      <c r="P504" s="178"/>
      <c r="Q504" s="15"/>
      <c r="R504" s="15"/>
      <c r="S504" s="15"/>
      <c r="T504" s="161"/>
      <c r="AA504" s="15"/>
      <c r="AB504" s="15"/>
      <c r="AC504" s="15"/>
      <c r="AD504" s="15"/>
      <c r="AE504" s="15"/>
    </row>
    <row r="505" ht="15.0" customHeight="1">
      <c r="A505" s="176"/>
      <c r="G505" s="5"/>
      <c r="H505" s="5"/>
      <c r="I505" s="5"/>
      <c r="M505" s="177"/>
      <c r="O505" s="15"/>
      <c r="P505" s="178"/>
      <c r="Q505" s="15"/>
      <c r="R505" s="15"/>
      <c r="S505" s="15"/>
      <c r="T505" s="161"/>
      <c r="AA505" s="15"/>
      <c r="AB505" s="15"/>
      <c r="AC505" s="15"/>
      <c r="AD505" s="15"/>
      <c r="AE505" s="15"/>
    </row>
    <row r="506" ht="15.0" customHeight="1">
      <c r="A506" s="176"/>
      <c r="G506" s="5"/>
      <c r="H506" s="5"/>
      <c r="I506" s="5"/>
      <c r="M506" s="177"/>
      <c r="O506" s="15"/>
      <c r="P506" s="178"/>
      <c r="Q506" s="15"/>
      <c r="R506" s="15"/>
      <c r="S506" s="15"/>
      <c r="T506" s="161"/>
      <c r="AA506" s="15"/>
      <c r="AB506" s="15"/>
      <c r="AC506" s="15"/>
      <c r="AD506" s="15"/>
      <c r="AE506" s="15"/>
    </row>
    <row r="507" ht="15.0" customHeight="1">
      <c r="A507" s="176"/>
      <c r="G507" s="5"/>
      <c r="H507" s="5"/>
      <c r="I507" s="5"/>
      <c r="M507" s="177"/>
      <c r="O507" s="15"/>
      <c r="P507" s="178"/>
      <c r="Q507" s="15"/>
      <c r="R507" s="15"/>
      <c r="S507" s="15"/>
      <c r="T507" s="161"/>
      <c r="AA507" s="15"/>
      <c r="AB507" s="15"/>
      <c r="AC507" s="15"/>
      <c r="AD507" s="15"/>
      <c r="AE507" s="15"/>
    </row>
    <row r="508" ht="15.0" customHeight="1">
      <c r="A508" s="176"/>
      <c r="G508" s="5"/>
      <c r="H508" s="5"/>
      <c r="I508" s="5"/>
      <c r="M508" s="177"/>
      <c r="O508" s="15"/>
      <c r="P508" s="178"/>
      <c r="Q508" s="15"/>
      <c r="R508" s="15"/>
      <c r="S508" s="15"/>
      <c r="T508" s="161"/>
      <c r="AA508" s="15"/>
      <c r="AB508" s="15"/>
      <c r="AC508" s="15"/>
      <c r="AD508" s="15"/>
      <c r="AE508" s="15"/>
    </row>
    <row r="509" ht="15.0" customHeight="1">
      <c r="A509" s="176"/>
      <c r="G509" s="5"/>
      <c r="H509" s="5"/>
      <c r="I509" s="5"/>
      <c r="M509" s="177"/>
      <c r="O509" s="15"/>
      <c r="P509" s="178"/>
      <c r="Q509" s="15"/>
      <c r="R509" s="15"/>
      <c r="S509" s="15"/>
      <c r="T509" s="161"/>
      <c r="AA509" s="15"/>
      <c r="AB509" s="15"/>
      <c r="AC509" s="15"/>
      <c r="AD509" s="15"/>
      <c r="AE509" s="15"/>
    </row>
    <row r="510" ht="15.0" customHeight="1">
      <c r="A510" s="176"/>
      <c r="G510" s="5"/>
      <c r="H510" s="5"/>
      <c r="I510" s="5"/>
      <c r="M510" s="177"/>
      <c r="O510" s="15"/>
      <c r="P510" s="178"/>
      <c r="Q510" s="15"/>
      <c r="R510" s="15"/>
      <c r="S510" s="15"/>
      <c r="T510" s="161"/>
      <c r="AA510" s="15"/>
      <c r="AB510" s="15"/>
      <c r="AC510" s="15"/>
      <c r="AD510" s="15"/>
      <c r="AE510" s="15"/>
    </row>
    <row r="511" ht="15.0" customHeight="1">
      <c r="A511" s="176"/>
      <c r="G511" s="5"/>
      <c r="H511" s="5"/>
      <c r="I511" s="5"/>
      <c r="M511" s="177"/>
      <c r="O511" s="15"/>
      <c r="P511" s="178"/>
      <c r="Q511" s="15"/>
      <c r="R511" s="15"/>
      <c r="S511" s="15"/>
      <c r="T511" s="161"/>
      <c r="AA511" s="15"/>
      <c r="AB511" s="15"/>
      <c r="AC511" s="15"/>
      <c r="AD511" s="15"/>
      <c r="AE511" s="15"/>
    </row>
    <row r="512" ht="15.0" customHeight="1">
      <c r="A512" s="176"/>
      <c r="G512" s="5"/>
      <c r="H512" s="5"/>
      <c r="I512" s="5"/>
      <c r="M512" s="177"/>
      <c r="O512" s="15"/>
      <c r="P512" s="178"/>
      <c r="Q512" s="15"/>
      <c r="R512" s="15"/>
      <c r="S512" s="15"/>
      <c r="T512" s="161"/>
      <c r="AA512" s="15"/>
      <c r="AB512" s="15"/>
      <c r="AC512" s="15"/>
      <c r="AD512" s="15"/>
      <c r="AE512" s="15"/>
    </row>
    <row r="513" ht="15.0" customHeight="1">
      <c r="A513" s="176"/>
      <c r="G513" s="5"/>
      <c r="H513" s="5"/>
      <c r="I513" s="5"/>
      <c r="M513" s="177"/>
      <c r="O513" s="15"/>
      <c r="P513" s="178"/>
      <c r="Q513" s="15"/>
      <c r="R513" s="15"/>
      <c r="S513" s="15"/>
      <c r="T513" s="161"/>
      <c r="AA513" s="15"/>
      <c r="AB513" s="15"/>
      <c r="AC513" s="15"/>
      <c r="AD513" s="15"/>
      <c r="AE513" s="15"/>
    </row>
    <row r="514" ht="15.0" customHeight="1">
      <c r="A514" s="176"/>
      <c r="G514" s="5"/>
      <c r="H514" s="5"/>
      <c r="I514" s="5"/>
      <c r="M514" s="177"/>
      <c r="O514" s="15"/>
      <c r="P514" s="178"/>
      <c r="Q514" s="15"/>
      <c r="R514" s="15"/>
      <c r="S514" s="15"/>
      <c r="T514" s="161"/>
      <c r="AA514" s="15"/>
      <c r="AB514" s="15"/>
      <c r="AC514" s="15"/>
      <c r="AD514" s="15"/>
      <c r="AE514" s="15"/>
    </row>
    <row r="515" ht="15.0" customHeight="1">
      <c r="A515" s="176"/>
      <c r="G515" s="5"/>
      <c r="H515" s="5"/>
      <c r="I515" s="5"/>
      <c r="M515" s="177"/>
      <c r="O515" s="15"/>
      <c r="P515" s="178"/>
      <c r="Q515" s="15"/>
      <c r="R515" s="15"/>
      <c r="S515" s="15"/>
      <c r="T515" s="161"/>
      <c r="AA515" s="15"/>
      <c r="AB515" s="15"/>
      <c r="AC515" s="15"/>
      <c r="AD515" s="15"/>
      <c r="AE515" s="15"/>
    </row>
    <row r="516" ht="15.0" customHeight="1">
      <c r="A516" s="176"/>
      <c r="G516" s="5"/>
      <c r="H516" s="5"/>
      <c r="I516" s="5"/>
      <c r="M516" s="177"/>
      <c r="O516" s="15"/>
      <c r="P516" s="178"/>
      <c r="Q516" s="15"/>
      <c r="R516" s="15"/>
      <c r="S516" s="15"/>
      <c r="T516" s="161"/>
      <c r="AA516" s="15"/>
      <c r="AB516" s="15"/>
      <c r="AC516" s="15"/>
      <c r="AD516" s="15"/>
      <c r="AE516" s="15"/>
    </row>
    <row r="517" ht="15.0" customHeight="1">
      <c r="A517" s="176"/>
      <c r="G517" s="5"/>
      <c r="H517" s="5"/>
      <c r="I517" s="5"/>
      <c r="M517" s="177"/>
      <c r="O517" s="15"/>
      <c r="P517" s="178"/>
      <c r="Q517" s="15"/>
      <c r="R517" s="15"/>
      <c r="S517" s="15"/>
      <c r="T517" s="161"/>
      <c r="AA517" s="15"/>
      <c r="AB517" s="15"/>
      <c r="AC517" s="15"/>
      <c r="AD517" s="15"/>
      <c r="AE517" s="15"/>
    </row>
    <row r="518" ht="15.0" customHeight="1">
      <c r="A518" s="176"/>
      <c r="G518" s="5"/>
      <c r="H518" s="5"/>
      <c r="I518" s="5"/>
      <c r="M518" s="177"/>
      <c r="O518" s="15"/>
      <c r="P518" s="178"/>
      <c r="Q518" s="15"/>
      <c r="R518" s="15"/>
      <c r="S518" s="15"/>
      <c r="T518" s="161"/>
      <c r="AA518" s="15"/>
      <c r="AB518" s="15"/>
      <c r="AC518" s="15"/>
      <c r="AD518" s="15"/>
      <c r="AE518" s="15"/>
    </row>
    <row r="519" ht="15.0" customHeight="1">
      <c r="A519" s="176"/>
      <c r="G519" s="5"/>
      <c r="H519" s="5"/>
      <c r="I519" s="5"/>
      <c r="M519" s="177"/>
      <c r="O519" s="15"/>
      <c r="P519" s="178"/>
      <c r="Q519" s="15"/>
      <c r="R519" s="15"/>
      <c r="S519" s="15"/>
      <c r="T519" s="161"/>
      <c r="AA519" s="15"/>
      <c r="AB519" s="15"/>
      <c r="AC519" s="15"/>
      <c r="AD519" s="15"/>
      <c r="AE519" s="15"/>
    </row>
    <row r="520" ht="15.0" customHeight="1">
      <c r="A520" s="176"/>
      <c r="G520" s="5"/>
      <c r="H520" s="5"/>
      <c r="I520" s="5"/>
      <c r="M520" s="177"/>
      <c r="O520" s="15"/>
      <c r="P520" s="178"/>
      <c r="Q520" s="15"/>
      <c r="R520" s="15"/>
      <c r="S520" s="15"/>
      <c r="T520" s="161"/>
      <c r="AA520" s="15"/>
      <c r="AB520" s="15"/>
      <c r="AC520" s="15"/>
      <c r="AD520" s="15"/>
      <c r="AE520" s="15"/>
    </row>
    <row r="521" ht="15.0" customHeight="1">
      <c r="A521" s="176"/>
      <c r="G521" s="5"/>
      <c r="H521" s="5"/>
      <c r="I521" s="5"/>
      <c r="M521" s="177"/>
      <c r="O521" s="15"/>
      <c r="P521" s="178"/>
      <c r="Q521" s="15"/>
      <c r="R521" s="15"/>
      <c r="S521" s="15"/>
      <c r="T521" s="161"/>
      <c r="AA521" s="15"/>
      <c r="AB521" s="15"/>
      <c r="AC521" s="15"/>
      <c r="AD521" s="15"/>
      <c r="AE521" s="15"/>
    </row>
    <row r="522" ht="15.0" customHeight="1">
      <c r="A522" s="176"/>
      <c r="G522" s="5"/>
      <c r="H522" s="5"/>
      <c r="I522" s="5"/>
      <c r="M522" s="177"/>
      <c r="O522" s="15"/>
      <c r="P522" s="178"/>
      <c r="Q522" s="15"/>
      <c r="R522" s="15"/>
      <c r="S522" s="15"/>
      <c r="T522" s="161"/>
      <c r="AA522" s="15"/>
      <c r="AB522" s="15"/>
      <c r="AC522" s="15"/>
      <c r="AD522" s="15"/>
      <c r="AE522" s="15"/>
    </row>
    <row r="523" ht="15.0" customHeight="1">
      <c r="A523" s="176"/>
      <c r="G523" s="5"/>
      <c r="H523" s="5"/>
      <c r="I523" s="5"/>
      <c r="M523" s="177"/>
      <c r="O523" s="15"/>
      <c r="P523" s="178"/>
      <c r="Q523" s="15"/>
      <c r="R523" s="15"/>
      <c r="S523" s="15"/>
      <c r="T523" s="161"/>
      <c r="AA523" s="15"/>
      <c r="AB523" s="15"/>
      <c r="AC523" s="15"/>
      <c r="AD523" s="15"/>
      <c r="AE523" s="15"/>
    </row>
    <row r="524" ht="15.0" customHeight="1">
      <c r="A524" s="176"/>
      <c r="G524" s="5"/>
      <c r="H524" s="5"/>
      <c r="I524" s="5"/>
      <c r="M524" s="177"/>
      <c r="O524" s="15"/>
      <c r="P524" s="178"/>
      <c r="Q524" s="15"/>
      <c r="R524" s="15"/>
      <c r="S524" s="15"/>
      <c r="T524" s="161"/>
      <c r="AA524" s="15"/>
      <c r="AB524" s="15"/>
      <c r="AC524" s="15"/>
      <c r="AD524" s="15"/>
      <c r="AE524" s="15"/>
    </row>
    <row r="525" ht="15.0" customHeight="1">
      <c r="A525" s="176"/>
      <c r="G525" s="5"/>
      <c r="H525" s="5"/>
      <c r="I525" s="5"/>
      <c r="M525" s="177"/>
      <c r="O525" s="15"/>
      <c r="P525" s="178"/>
      <c r="Q525" s="15"/>
      <c r="R525" s="15"/>
      <c r="S525" s="15"/>
      <c r="T525" s="161"/>
      <c r="AA525" s="15"/>
      <c r="AB525" s="15"/>
      <c r="AC525" s="15"/>
      <c r="AD525" s="15"/>
      <c r="AE525" s="15"/>
    </row>
    <row r="526" ht="15.0" customHeight="1">
      <c r="A526" s="176"/>
      <c r="G526" s="5"/>
      <c r="H526" s="5"/>
      <c r="I526" s="5"/>
      <c r="M526" s="177"/>
      <c r="O526" s="15"/>
      <c r="P526" s="178"/>
      <c r="Q526" s="15"/>
      <c r="R526" s="15"/>
      <c r="S526" s="15"/>
      <c r="T526" s="161"/>
      <c r="AA526" s="15"/>
      <c r="AB526" s="15"/>
      <c r="AC526" s="15"/>
      <c r="AD526" s="15"/>
      <c r="AE526" s="15"/>
    </row>
    <row r="527" ht="15.0" customHeight="1">
      <c r="A527" s="176"/>
      <c r="G527" s="5"/>
      <c r="H527" s="5"/>
      <c r="I527" s="5"/>
      <c r="M527" s="177"/>
      <c r="O527" s="15"/>
      <c r="P527" s="178"/>
      <c r="Q527" s="15"/>
      <c r="R527" s="15"/>
      <c r="S527" s="15"/>
      <c r="T527" s="161"/>
      <c r="AA527" s="15"/>
      <c r="AB527" s="15"/>
      <c r="AC527" s="15"/>
      <c r="AD527" s="15"/>
      <c r="AE527" s="15"/>
    </row>
    <row r="528" ht="15.0" customHeight="1">
      <c r="A528" s="176"/>
      <c r="G528" s="5"/>
      <c r="H528" s="5"/>
      <c r="I528" s="5"/>
      <c r="M528" s="177"/>
      <c r="O528" s="15"/>
      <c r="P528" s="178"/>
      <c r="Q528" s="15"/>
      <c r="R528" s="15"/>
      <c r="S528" s="15"/>
      <c r="T528" s="161"/>
      <c r="AA528" s="15"/>
      <c r="AB528" s="15"/>
      <c r="AC528" s="15"/>
      <c r="AD528" s="15"/>
      <c r="AE528" s="15"/>
    </row>
    <row r="529" ht="15.0" customHeight="1">
      <c r="A529" s="176"/>
      <c r="G529" s="5"/>
      <c r="H529" s="5"/>
      <c r="I529" s="5"/>
      <c r="M529" s="177"/>
      <c r="O529" s="15"/>
      <c r="P529" s="178"/>
      <c r="Q529" s="15"/>
      <c r="R529" s="15"/>
      <c r="S529" s="15"/>
      <c r="T529" s="161"/>
      <c r="AA529" s="15"/>
      <c r="AB529" s="15"/>
      <c r="AC529" s="15"/>
      <c r="AD529" s="15"/>
      <c r="AE529" s="15"/>
    </row>
    <row r="530" ht="15.0" customHeight="1">
      <c r="A530" s="176"/>
      <c r="G530" s="5"/>
      <c r="H530" s="5"/>
      <c r="I530" s="5"/>
      <c r="M530" s="177"/>
      <c r="O530" s="15"/>
      <c r="P530" s="178"/>
      <c r="Q530" s="15"/>
      <c r="R530" s="15"/>
      <c r="S530" s="15"/>
      <c r="T530" s="161"/>
      <c r="AA530" s="15"/>
      <c r="AB530" s="15"/>
      <c r="AC530" s="15"/>
      <c r="AD530" s="15"/>
      <c r="AE530" s="15"/>
    </row>
    <row r="531" ht="15.0" customHeight="1">
      <c r="A531" s="176"/>
      <c r="G531" s="5"/>
      <c r="H531" s="5"/>
      <c r="I531" s="5"/>
      <c r="M531" s="177"/>
      <c r="O531" s="15"/>
      <c r="P531" s="178"/>
      <c r="Q531" s="15"/>
      <c r="R531" s="15"/>
      <c r="S531" s="15"/>
      <c r="T531" s="161"/>
      <c r="AA531" s="15"/>
      <c r="AB531" s="15"/>
      <c r="AC531" s="15"/>
      <c r="AD531" s="15"/>
      <c r="AE531" s="15"/>
    </row>
    <row r="532" ht="15.0" customHeight="1">
      <c r="A532" s="176"/>
      <c r="G532" s="5"/>
      <c r="H532" s="5"/>
      <c r="I532" s="5"/>
      <c r="M532" s="177"/>
      <c r="O532" s="15"/>
      <c r="P532" s="178"/>
      <c r="Q532" s="15"/>
      <c r="R532" s="15"/>
      <c r="S532" s="15"/>
      <c r="T532" s="161"/>
      <c r="AA532" s="15"/>
      <c r="AB532" s="15"/>
      <c r="AC532" s="15"/>
      <c r="AD532" s="15"/>
      <c r="AE532" s="15"/>
    </row>
    <row r="533" ht="15.0" customHeight="1">
      <c r="A533" s="176"/>
      <c r="G533" s="5"/>
      <c r="H533" s="5"/>
      <c r="I533" s="5"/>
      <c r="M533" s="177"/>
      <c r="O533" s="15"/>
      <c r="P533" s="178"/>
      <c r="Q533" s="15"/>
      <c r="R533" s="15"/>
      <c r="S533" s="15"/>
      <c r="T533" s="161"/>
      <c r="AA533" s="15"/>
      <c r="AB533" s="15"/>
      <c r="AC533" s="15"/>
      <c r="AD533" s="15"/>
      <c r="AE533" s="15"/>
    </row>
    <row r="534" ht="15.0" customHeight="1">
      <c r="A534" s="176"/>
      <c r="G534" s="5"/>
      <c r="H534" s="5"/>
      <c r="I534" s="5"/>
      <c r="M534" s="177"/>
      <c r="O534" s="15"/>
      <c r="P534" s="178"/>
      <c r="Q534" s="15"/>
      <c r="R534" s="15"/>
      <c r="S534" s="15"/>
      <c r="T534" s="161"/>
      <c r="AA534" s="15"/>
      <c r="AB534" s="15"/>
      <c r="AC534" s="15"/>
      <c r="AD534" s="15"/>
      <c r="AE534" s="15"/>
    </row>
    <row r="535" ht="15.0" customHeight="1">
      <c r="A535" s="176"/>
      <c r="G535" s="5"/>
      <c r="H535" s="5"/>
      <c r="I535" s="5"/>
      <c r="M535" s="177"/>
      <c r="O535" s="15"/>
      <c r="P535" s="178"/>
      <c r="Q535" s="15"/>
      <c r="R535" s="15"/>
      <c r="S535" s="15"/>
      <c r="T535" s="161"/>
      <c r="AA535" s="15"/>
      <c r="AB535" s="15"/>
      <c r="AC535" s="15"/>
      <c r="AD535" s="15"/>
      <c r="AE535" s="15"/>
    </row>
    <row r="536" ht="15.0" customHeight="1">
      <c r="A536" s="176"/>
      <c r="G536" s="5"/>
      <c r="H536" s="5"/>
      <c r="I536" s="5"/>
      <c r="M536" s="177"/>
      <c r="O536" s="15"/>
      <c r="P536" s="178"/>
      <c r="Q536" s="15"/>
      <c r="R536" s="15"/>
      <c r="S536" s="15"/>
      <c r="T536" s="161"/>
      <c r="AA536" s="15"/>
      <c r="AB536" s="15"/>
      <c r="AC536" s="15"/>
      <c r="AD536" s="15"/>
      <c r="AE536" s="15"/>
    </row>
    <row r="537" ht="15.0" customHeight="1">
      <c r="A537" s="176"/>
      <c r="G537" s="5"/>
      <c r="H537" s="5"/>
      <c r="I537" s="5"/>
      <c r="M537" s="177"/>
      <c r="O537" s="15"/>
      <c r="P537" s="178"/>
      <c r="Q537" s="15"/>
      <c r="R537" s="15"/>
      <c r="S537" s="15"/>
      <c r="T537" s="161"/>
      <c r="AA537" s="15"/>
      <c r="AB537" s="15"/>
      <c r="AC537" s="15"/>
      <c r="AD537" s="15"/>
      <c r="AE537" s="15"/>
    </row>
    <row r="538" ht="15.0" customHeight="1">
      <c r="A538" s="176"/>
      <c r="G538" s="5"/>
      <c r="H538" s="5"/>
      <c r="I538" s="5"/>
      <c r="M538" s="177"/>
      <c r="O538" s="15"/>
      <c r="P538" s="178"/>
      <c r="Q538" s="15"/>
      <c r="R538" s="15"/>
      <c r="S538" s="15"/>
      <c r="T538" s="161"/>
      <c r="AA538" s="15"/>
      <c r="AB538" s="15"/>
      <c r="AC538" s="15"/>
      <c r="AD538" s="15"/>
      <c r="AE538" s="15"/>
    </row>
    <row r="539" ht="15.0" customHeight="1">
      <c r="A539" s="176"/>
      <c r="G539" s="5"/>
      <c r="H539" s="5"/>
      <c r="I539" s="5"/>
      <c r="M539" s="177"/>
      <c r="O539" s="15"/>
      <c r="P539" s="178"/>
      <c r="Q539" s="15"/>
      <c r="R539" s="15"/>
      <c r="S539" s="15"/>
      <c r="T539" s="161"/>
      <c r="AA539" s="15"/>
      <c r="AB539" s="15"/>
      <c r="AC539" s="15"/>
      <c r="AD539" s="15"/>
      <c r="AE539" s="15"/>
    </row>
    <row r="540" ht="15.0" customHeight="1">
      <c r="A540" s="176"/>
      <c r="G540" s="5"/>
      <c r="H540" s="5"/>
      <c r="I540" s="5"/>
      <c r="M540" s="177"/>
      <c r="O540" s="15"/>
      <c r="P540" s="178"/>
      <c r="Q540" s="15"/>
      <c r="R540" s="15"/>
      <c r="S540" s="15"/>
      <c r="T540" s="161"/>
      <c r="AA540" s="15"/>
      <c r="AB540" s="15"/>
      <c r="AC540" s="15"/>
      <c r="AD540" s="15"/>
      <c r="AE540" s="15"/>
    </row>
    <row r="541" ht="15.0" customHeight="1">
      <c r="A541" s="176"/>
      <c r="G541" s="5"/>
      <c r="H541" s="5"/>
      <c r="I541" s="5"/>
      <c r="M541" s="177"/>
      <c r="O541" s="15"/>
      <c r="P541" s="178"/>
      <c r="Q541" s="15"/>
      <c r="R541" s="15"/>
      <c r="S541" s="15"/>
      <c r="T541" s="161"/>
      <c r="AA541" s="15"/>
      <c r="AB541" s="15"/>
      <c r="AC541" s="15"/>
      <c r="AD541" s="15"/>
      <c r="AE541" s="15"/>
    </row>
    <row r="542" ht="15.0" customHeight="1">
      <c r="A542" s="176"/>
      <c r="G542" s="5"/>
      <c r="H542" s="5"/>
      <c r="I542" s="5"/>
      <c r="M542" s="177"/>
      <c r="O542" s="15"/>
      <c r="P542" s="178"/>
      <c r="Q542" s="15"/>
      <c r="R542" s="15"/>
      <c r="S542" s="15"/>
      <c r="T542" s="161"/>
      <c r="AA542" s="15"/>
      <c r="AB542" s="15"/>
      <c r="AC542" s="15"/>
      <c r="AD542" s="15"/>
      <c r="AE542" s="15"/>
    </row>
    <row r="543" ht="15.0" customHeight="1">
      <c r="A543" s="176"/>
      <c r="G543" s="5"/>
      <c r="H543" s="5"/>
      <c r="I543" s="5"/>
      <c r="M543" s="177"/>
      <c r="O543" s="15"/>
      <c r="P543" s="178"/>
      <c r="Q543" s="15"/>
      <c r="R543" s="15"/>
      <c r="S543" s="15"/>
      <c r="T543" s="161"/>
      <c r="AA543" s="15"/>
      <c r="AB543" s="15"/>
      <c r="AC543" s="15"/>
      <c r="AD543" s="15"/>
      <c r="AE543" s="15"/>
    </row>
    <row r="544" ht="15.0" customHeight="1">
      <c r="A544" s="176"/>
      <c r="G544" s="5"/>
      <c r="H544" s="5"/>
      <c r="I544" s="5"/>
      <c r="M544" s="177"/>
      <c r="O544" s="15"/>
      <c r="P544" s="178"/>
      <c r="Q544" s="15"/>
      <c r="R544" s="15"/>
      <c r="S544" s="15"/>
      <c r="T544" s="161"/>
      <c r="AA544" s="15"/>
      <c r="AB544" s="15"/>
      <c r="AC544" s="15"/>
      <c r="AD544" s="15"/>
      <c r="AE544" s="15"/>
    </row>
    <row r="545" ht="15.0" customHeight="1">
      <c r="A545" s="176"/>
      <c r="G545" s="5"/>
      <c r="H545" s="5"/>
      <c r="I545" s="5"/>
      <c r="M545" s="177"/>
      <c r="O545" s="15"/>
      <c r="P545" s="178"/>
      <c r="Q545" s="15"/>
      <c r="R545" s="15"/>
      <c r="S545" s="15"/>
      <c r="T545" s="161"/>
      <c r="AA545" s="15"/>
      <c r="AB545" s="15"/>
      <c r="AC545" s="15"/>
      <c r="AD545" s="15"/>
      <c r="AE545" s="15"/>
    </row>
    <row r="546" ht="15.0" customHeight="1">
      <c r="A546" s="176"/>
      <c r="G546" s="5"/>
      <c r="H546" s="5"/>
      <c r="I546" s="5"/>
      <c r="M546" s="177"/>
      <c r="O546" s="15"/>
      <c r="P546" s="178"/>
      <c r="Q546" s="15"/>
      <c r="R546" s="15"/>
      <c r="S546" s="15"/>
      <c r="T546" s="161"/>
      <c r="AA546" s="15"/>
      <c r="AB546" s="15"/>
      <c r="AC546" s="15"/>
      <c r="AD546" s="15"/>
      <c r="AE546" s="15"/>
    </row>
    <row r="547" ht="15.0" customHeight="1">
      <c r="A547" s="176"/>
      <c r="G547" s="5"/>
      <c r="H547" s="5"/>
      <c r="I547" s="5"/>
      <c r="M547" s="177"/>
      <c r="O547" s="15"/>
      <c r="P547" s="178"/>
      <c r="Q547" s="15"/>
      <c r="R547" s="15"/>
      <c r="S547" s="15"/>
      <c r="T547" s="161"/>
      <c r="AA547" s="15"/>
      <c r="AB547" s="15"/>
      <c r="AC547" s="15"/>
      <c r="AD547" s="15"/>
      <c r="AE547" s="15"/>
    </row>
    <row r="548" ht="15.0" customHeight="1">
      <c r="A548" s="176"/>
      <c r="G548" s="5"/>
      <c r="H548" s="5"/>
      <c r="I548" s="5"/>
      <c r="M548" s="177"/>
      <c r="O548" s="15"/>
      <c r="P548" s="178"/>
      <c r="Q548" s="15"/>
      <c r="R548" s="15"/>
      <c r="S548" s="15"/>
      <c r="T548" s="161"/>
      <c r="AA548" s="15"/>
      <c r="AB548" s="15"/>
      <c r="AC548" s="15"/>
      <c r="AD548" s="15"/>
      <c r="AE548" s="15"/>
    </row>
    <row r="549" ht="15.0" customHeight="1">
      <c r="A549" s="176"/>
      <c r="G549" s="5"/>
      <c r="H549" s="5"/>
      <c r="I549" s="5"/>
      <c r="M549" s="177"/>
      <c r="O549" s="15"/>
      <c r="P549" s="178"/>
      <c r="Q549" s="15"/>
      <c r="R549" s="15"/>
      <c r="S549" s="15"/>
      <c r="T549" s="161"/>
      <c r="AA549" s="15"/>
      <c r="AB549" s="15"/>
      <c r="AC549" s="15"/>
      <c r="AD549" s="15"/>
      <c r="AE549" s="15"/>
    </row>
    <row r="550" ht="15.0" customHeight="1">
      <c r="A550" s="176"/>
      <c r="G550" s="5"/>
      <c r="H550" s="5"/>
      <c r="I550" s="5"/>
      <c r="M550" s="177"/>
      <c r="O550" s="15"/>
      <c r="P550" s="178"/>
      <c r="Q550" s="15"/>
      <c r="R550" s="15"/>
      <c r="S550" s="15"/>
      <c r="T550" s="161"/>
      <c r="AA550" s="15"/>
      <c r="AB550" s="15"/>
      <c r="AC550" s="15"/>
      <c r="AD550" s="15"/>
      <c r="AE550" s="15"/>
    </row>
    <row r="551" ht="15.0" customHeight="1">
      <c r="A551" s="176"/>
      <c r="G551" s="5"/>
      <c r="H551" s="5"/>
      <c r="I551" s="5"/>
      <c r="M551" s="177"/>
      <c r="O551" s="15"/>
      <c r="P551" s="178"/>
      <c r="Q551" s="15"/>
      <c r="R551" s="15"/>
      <c r="S551" s="15"/>
      <c r="T551" s="161"/>
      <c r="AA551" s="15"/>
      <c r="AB551" s="15"/>
      <c r="AC551" s="15"/>
      <c r="AD551" s="15"/>
      <c r="AE551" s="15"/>
    </row>
    <row r="552" ht="15.0" customHeight="1">
      <c r="A552" s="176"/>
      <c r="G552" s="5"/>
      <c r="H552" s="5"/>
      <c r="I552" s="5"/>
      <c r="M552" s="177"/>
      <c r="O552" s="15"/>
      <c r="P552" s="178"/>
      <c r="Q552" s="15"/>
      <c r="R552" s="15"/>
      <c r="S552" s="15"/>
      <c r="T552" s="161"/>
      <c r="AA552" s="15"/>
      <c r="AB552" s="15"/>
      <c r="AC552" s="15"/>
      <c r="AD552" s="15"/>
      <c r="AE552" s="15"/>
    </row>
    <row r="553" ht="15.0" customHeight="1">
      <c r="A553" s="176"/>
      <c r="G553" s="5"/>
      <c r="H553" s="5"/>
      <c r="I553" s="5"/>
      <c r="M553" s="177"/>
      <c r="O553" s="15"/>
      <c r="P553" s="178"/>
      <c r="Q553" s="15"/>
      <c r="R553" s="15"/>
      <c r="S553" s="15"/>
      <c r="T553" s="161"/>
      <c r="AA553" s="15"/>
      <c r="AB553" s="15"/>
      <c r="AC553" s="15"/>
      <c r="AD553" s="15"/>
      <c r="AE553" s="15"/>
    </row>
    <row r="554" ht="15.0" customHeight="1">
      <c r="A554" s="176"/>
      <c r="G554" s="5"/>
      <c r="H554" s="5"/>
      <c r="I554" s="5"/>
      <c r="M554" s="177"/>
      <c r="O554" s="15"/>
      <c r="P554" s="178"/>
      <c r="Q554" s="15"/>
      <c r="R554" s="15"/>
      <c r="S554" s="15"/>
      <c r="T554" s="161"/>
      <c r="AA554" s="15"/>
      <c r="AB554" s="15"/>
      <c r="AC554" s="15"/>
      <c r="AD554" s="15"/>
      <c r="AE554" s="15"/>
    </row>
    <row r="555" ht="15.0" customHeight="1">
      <c r="A555" s="176"/>
      <c r="G555" s="5"/>
      <c r="H555" s="5"/>
      <c r="I555" s="5"/>
      <c r="M555" s="177"/>
      <c r="O555" s="15"/>
      <c r="P555" s="178"/>
      <c r="Q555" s="15"/>
      <c r="R555" s="15"/>
      <c r="S555" s="15"/>
      <c r="T555" s="161"/>
      <c r="AA555" s="15"/>
      <c r="AB555" s="15"/>
      <c r="AC555" s="15"/>
      <c r="AD555" s="15"/>
      <c r="AE555" s="15"/>
    </row>
    <row r="556" ht="15.0" customHeight="1">
      <c r="A556" s="176"/>
      <c r="G556" s="5"/>
      <c r="H556" s="5"/>
      <c r="I556" s="5"/>
      <c r="M556" s="177"/>
      <c r="O556" s="15"/>
      <c r="P556" s="178"/>
      <c r="Q556" s="15"/>
      <c r="R556" s="15"/>
      <c r="S556" s="15"/>
      <c r="T556" s="161"/>
      <c r="AA556" s="15"/>
      <c r="AB556" s="15"/>
      <c r="AC556" s="15"/>
      <c r="AD556" s="15"/>
      <c r="AE556" s="15"/>
    </row>
    <row r="557" ht="15.0" customHeight="1">
      <c r="A557" s="176"/>
      <c r="G557" s="5"/>
      <c r="H557" s="5"/>
      <c r="I557" s="5"/>
      <c r="M557" s="177"/>
      <c r="O557" s="15"/>
      <c r="P557" s="178"/>
      <c r="Q557" s="15"/>
      <c r="R557" s="15"/>
      <c r="S557" s="15"/>
      <c r="T557" s="161"/>
      <c r="AA557" s="15"/>
      <c r="AB557" s="15"/>
      <c r="AC557" s="15"/>
      <c r="AD557" s="15"/>
      <c r="AE557" s="15"/>
    </row>
    <row r="558" ht="15.0" customHeight="1">
      <c r="A558" s="176"/>
      <c r="G558" s="5"/>
      <c r="H558" s="5"/>
      <c r="I558" s="5"/>
      <c r="M558" s="177"/>
      <c r="O558" s="15"/>
      <c r="P558" s="178"/>
      <c r="Q558" s="15"/>
      <c r="R558" s="15"/>
      <c r="S558" s="15"/>
      <c r="T558" s="161"/>
      <c r="AA558" s="15"/>
      <c r="AB558" s="15"/>
      <c r="AC558" s="15"/>
      <c r="AD558" s="15"/>
      <c r="AE558" s="15"/>
    </row>
    <row r="559" ht="15.0" customHeight="1">
      <c r="A559" s="176"/>
      <c r="G559" s="5"/>
      <c r="H559" s="5"/>
      <c r="I559" s="5"/>
      <c r="M559" s="177"/>
      <c r="O559" s="15"/>
      <c r="P559" s="178"/>
      <c r="Q559" s="15"/>
      <c r="R559" s="15"/>
      <c r="S559" s="15"/>
      <c r="T559" s="161"/>
      <c r="AA559" s="15"/>
      <c r="AB559" s="15"/>
      <c r="AC559" s="15"/>
      <c r="AD559" s="15"/>
      <c r="AE559" s="15"/>
    </row>
    <row r="560" ht="15.0" customHeight="1">
      <c r="A560" s="176"/>
      <c r="G560" s="5"/>
      <c r="H560" s="5"/>
      <c r="I560" s="5"/>
      <c r="M560" s="177"/>
      <c r="O560" s="15"/>
      <c r="P560" s="178"/>
      <c r="Q560" s="15"/>
      <c r="R560" s="15"/>
      <c r="S560" s="15"/>
      <c r="T560" s="161"/>
      <c r="AA560" s="15"/>
      <c r="AB560" s="15"/>
      <c r="AC560" s="15"/>
      <c r="AD560" s="15"/>
      <c r="AE560" s="15"/>
    </row>
    <row r="561" ht="15.0" customHeight="1">
      <c r="A561" s="176"/>
      <c r="G561" s="5"/>
      <c r="H561" s="5"/>
      <c r="I561" s="5"/>
      <c r="M561" s="177"/>
      <c r="O561" s="15"/>
      <c r="P561" s="178"/>
      <c r="Q561" s="15"/>
      <c r="R561" s="15"/>
      <c r="S561" s="15"/>
      <c r="T561" s="161"/>
      <c r="AA561" s="15"/>
      <c r="AB561" s="15"/>
      <c r="AC561" s="15"/>
      <c r="AD561" s="15"/>
      <c r="AE561" s="15"/>
    </row>
    <row r="562" ht="15.0" customHeight="1">
      <c r="A562" s="176"/>
      <c r="G562" s="5"/>
      <c r="H562" s="5"/>
      <c r="I562" s="5"/>
      <c r="M562" s="177"/>
      <c r="O562" s="15"/>
      <c r="P562" s="178"/>
      <c r="Q562" s="15"/>
      <c r="R562" s="15"/>
      <c r="S562" s="15"/>
      <c r="T562" s="161"/>
      <c r="AA562" s="15"/>
      <c r="AB562" s="15"/>
      <c r="AC562" s="15"/>
      <c r="AD562" s="15"/>
      <c r="AE562" s="15"/>
    </row>
    <row r="563" ht="15.0" customHeight="1">
      <c r="A563" s="176"/>
      <c r="G563" s="5"/>
      <c r="H563" s="5"/>
      <c r="I563" s="5"/>
      <c r="M563" s="177"/>
      <c r="O563" s="15"/>
      <c r="P563" s="178"/>
      <c r="Q563" s="15"/>
      <c r="R563" s="15"/>
      <c r="S563" s="15"/>
      <c r="T563" s="161"/>
      <c r="AA563" s="15"/>
      <c r="AB563" s="15"/>
      <c r="AC563" s="15"/>
      <c r="AD563" s="15"/>
      <c r="AE563" s="15"/>
    </row>
    <row r="564" ht="15.0" customHeight="1">
      <c r="A564" s="176"/>
      <c r="G564" s="5"/>
      <c r="H564" s="5"/>
      <c r="I564" s="5"/>
      <c r="M564" s="177"/>
      <c r="O564" s="15"/>
      <c r="P564" s="178"/>
      <c r="Q564" s="15"/>
      <c r="R564" s="15"/>
      <c r="S564" s="15"/>
      <c r="T564" s="161"/>
      <c r="AA564" s="15"/>
      <c r="AB564" s="15"/>
      <c r="AC564" s="15"/>
      <c r="AD564" s="15"/>
      <c r="AE564" s="15"/>
    </row>
    <row r="565" ht="15.0" customHeight="1">
      <c r="A565" s="176"/>
      <c r="G565" s="5"/>
      <c r="H565" s="5"/>
      <c r="I565" s="5"/>
      <c r="M565" s="177"/>
      <c r="O565" s="15"/>
      <c r="P565" s="178"/>
      <c r="Q565" s="15"/>
      <c r="R565" s="15"/>
      <c r="S565" s="15"/>
      <c r="T565" s="161"/>
      <c r="AA565" s="15"/>
      <c r="AB565" s="15"/>
      <c r="AC565" s="15"/>
      <c r="AD565" s="15"/>
      <c r="AE565" s="15"/>
    </row>
    <row r="566" ht="15.0" customHeight="1">
      <c r="A566" s="176"/>
      <c r="G566" s="5"/>
      <c r="H566" s="5"/>
      <c r="I566" s="5"/>
      <c r="M566" s="177"/>
      <c r="O566" s="15"/>
      <c r="P566" s="178"/>
      <c r="Q566" s="15"/>
      <c r="R566" s="15"/>
      <c r="S566" s="15"/>
      <c r="T566" s="161"/>
      <c r="AA566" s="15"/>
      <c r="AB566" s="15"/>
      <c r="AC566" s="15"/>
      <c r="AD566" s="15"/>
      <c r="AE566" s="15"/>
    </row>
    <row r="567" ht="15.0" customHeight="1">
      <c r="A567" s="176"/>
      <c r="G567" s="5"/>
      <c r="H567" s="5"/>
      <c r="I567" s="5"/>
      <c r="M567" s="177"/>
      <c r="O567" s="15"/>
      <c r="P567" s="178"/>
      <c r="Q567" s="15"/>
      <c r="R567" s="15"/>
      <c r="S567" s="15"/>
      <c r="T567" s="161"/>
      <c r="AA567" s="15"/>
      <c r="AB567" s="15"/>
      <c r="AC567" s="15"/>
      <c r="AD567" s="15"/>
      <c r="AE567" s="15"/>
    </row>
    <row r="568" ht="15.0" customHeight="1">
      <c r="A568" s="176"/>
      <c r="G568" s="5"/>
      <c r="H568" s="5"/>
      <c r="I568" s="5"/>
      <c r="M568" s="177"/>
      <c r="O568" s="15"/>
      <c r="P568" s="178"/>
      <c r="Q568" s="15"/>
      <c r="R568" s="15"/>
      <c r="S568" s="15"/>
      <c r="T568" s="161"/>
      <c r="AA568" s="15"/>
      <c r="AB568" s="15"/>
      <c r="AC568" s="15"/>
      <c r="AD568" s="15"/>
      <c r="AE568" s="15"/>
    </row>
    <row r="569" ht="15.0" customHeight="1">
      <c r="A569" s="176"/>
      <c r="G569" s="5"/>
      <c r="H569" s="5"/>
      <c r="I569" s="5"/>
      <c r="M569" s="177"/>
      <c r="O569" s="15"/>
      <c r="P569" s="178"/>
      <c r="Q569" s="15"/>
      <c r="R569" s="15"/>
      <c r="S569" s="15"/>
      <c r="T569" s="161"/>
      <c r="AA569" s="15"/>
      <c r="AB569" s="15"/>
      <c r="AC569" s="15"/>
      <c r="AD569" s="15"/>
      <c r="AE569" s="15"/>
    </row>
    <row r="570" ht="15.0" customHeight="1">
      <c r="A570" s="176"/>
      <c r="G570" s="5"/>
      <c r="H570" s="5"/>
      <c r="I570" s="5"/>
      <c r="M570" s="177"/>
      <c r="O570" s="15"/>
      <c r="P570" s="178"/>
      <c r="Q570" s="15"/>
      <c r="R570" s="15"/>
      <c r="S570" s="15"/>
      <c r="T570" s="161"/>
      <c r="AA570" s="15"/>
      <c r="AB570" s="15"/>
      <c r="AC570" s="15"/>
      <c r="AD570" s="15"/>
      <c r="AE570" s="15"/>
    </row>
    <row r="571" ht="15.0" customHeight="1">
      <c r="A571" s="176"/>
      <c r="G571" s="5"/>
      <c r="H571" s="5"/>
      <c r="I571" s="5"/>
      <c r="M571" s="177"/>
      <c r="O571" s="15"/>
      <c r="P571" s="178"/>
      <c r="Q571" s="15"/>
      <c r="R571" s="15"/>
      <c r="S571" s="15"/>
      <c r="T571" s="161"/>
      <c r="AA571" s="15"/>
      <c r="AB571" s="15"/>
      <c r="AC571" s="15"/>
      <c r="AD571" s="15"/>
      <c r="AE571" s="15"/>
    </row>
    <row r="572" ht="15.0" customHeight="1">
      <c r="A572" s="176"/>
      <c r="G572" s="5"/>
      <c r="H572" s="5"/>
      <c r="I572" s="5"/>
      <c r="M572" s="177"/>
      <c r="O572" s="15"/>
      <c r="P572" s="178"/>
      <c r="Q572" s="15"/>
      <c r="R572" s="15"/>
      <c r="S572" s="15"/>
      <c r="T572" s="161"/>
      <c r="AA572" s="15"/>
      <c r="AB572" s="15"/>
      <c r="AC572" s="15"/>
      <c r="AD572" s="15"/>
      <c r="AE572" s="15"/>
    </row>
    <row r="573" ht="15.0" customHeight="1">
      <c r="A573" s="176"/>
      <c r="G573" s="5"/>
      <c r="H573" s="5"/>
      <c r="I573" s="5"/>
      <c r="M573" s="177"/>
      <c r="O573" s="15"/>
      <c r="P573" s="178"/>
      <c r="Q573" s="15"/>
      <c r="R573" s="15"/>
      <c r="S573" s="15"/>
      <c r="T573" s="161"/>
      <c r="AA573" s="15"/>
      <c r="AB573" s="15"/>
      <c r="AC573" s="15"/>
      <c r="AD573" s="15"/>
      <c r="AE573" s="15"/>
    </row>
    <row r="574" ht="15.0" customHeight="1">
      <c r="A574" s="176"/>
      <c r="G574" s="5"/>
      <c r="H574" s="5"/>
      <c r="I574" s="5"/>
      <c r="M574" s="177"/>
      <c r="O574" s="15"/>
      <c r="P574" s="178"/>
      <c r="Q574" s="15"/>
      <c r="R574" s="15"/>
      <c r="S574" s="15"/>
      <c r="T574" s="161"/>
      <c r="AA574" s="15"/>
      <c r="AB574" s="15"/>
      <c r="AC574" s="15"/>
      <c r="AD574" s="15"/>
      <c r="AE574" s="15"/>
    </row>
    <row r="575" ht="15.0" customHeight="1">
      <c r="A575" s="176"/>
      <c r="G575" s="5"/>
      <c r="H575" s="5"/>
      <c r="I575" s="5"/>
      <c r="M575" s="177"/>
      <c r="O575" s="15"/>
      <c r="P575" s="178"/>
      <c r="Q575" s="15"/>
      <c r="R575" s="15"/>
      <c r="S575" s="15"/>
      <c r="T575" s="161"/>
      <c r="AA575" s="15"/>
      <c r="AB575" s="15"/>
      <c r="AC575" s="15"/>
      <c r="AD575" s="15"/>
      <c r="AE575" s="15"/>
    </row>
    <row r="576" ht="15.0" customHeight="1">
      <c r="A576" s="176"/>
      <c r="G576" s="5"/>
      <c r="H576" s="5"/>
      <c r="I576" s="5"/>
      <c r="M576" s="177"/>
      <c r="O576" s="15"/>
      <c r="P576" s="178"/>
      <c r="Q576" s="15"/>
      <c r="R576" s="15"/>
      <c r="S576" s="15"/>
      <c r="T576" s="161"/>
      <c r="AA576" s="15"/>
      <c r="AB576" s="15"/>
      <c r="AC576" s="15"/>
      <c r="AD576" s="15"/>
      <c r="AE576" s="15"/>
    </row>
    <row r="577" ht="15.0" customHeight="1">
      <c r="A577" s="176"/>
      <c r="G577" s="5"/>
      <c r="H577" s="5"/>
      <c r="I577" s="5"/>
      <c r="M577" s="177"/>
      <c r="O577" s="15"/>
      <c r="P577" s="178"/>
      <c r="Q577" s="15"/>
      <c r="R577" s="15"/>
      <c r="S577" s="15"/>
      <c r="T577" s="161"/>
      <c r="AA577" s="15"/>
      <c r="AB577" s="15"/>
      <c r="AC577" s="15"/>
      <c r="AD577" s="15"/>
      <c r="AE577" s="15"/>
    </row>
    <row r="578" ht="15.0" customHeight="1">
      <c r="A578" s="176"/>
      <c r="G578" s="5"/>
      <c r="H578" s="5"/>
      <c r="I578" s="5"/>
      <c r="M578" s="177"/>
      <c r="O578" s="15"/>
      <c r="P578" s="178"/>
      <c r="Q578" s="15"/>
      <c r="R578" s="15"/>
      <c r="S578" s="15"/>
      <c r="T578" s="161"/>
      <c r="AA578" s="15"/>
      <c r="AB578" s="15"/>
      <c r="AC578" s="15"/>
      <c r="AD578" s="15"/>
      <c r="AE578" s="15"/>
    </row>
    <row r="579" ht="15.0" customHeight="1">
      <c r="A579" s="176"/>
      <c r="G579" s="5"/>
      <c r="H579" s="5"/>
      <c r="I579" s="5"/>
      <c r="M579" s="177"/>
      <c r="O579" s="15"/>
      <c r="P579" s="178"/>
      <c r="Q579" s="15"/>
      <c r="R579" s="15"/>
      <c r="S579" s="15"/>
      <c r="T579" s="161"/>
      <c r="AA579" s="15"/>
      <c r="AB579" s="15"/>
      <c r="AC579" s="15"/>
      <c r="AD579" s="15"/>
      <c r="AE579" s="15"/>
    </row>
    <row r="580" ht="15.0" customHeight="1">
      <c r="A580" s="176"/>
      <c r="G580" s="5"/>
      <c r="H580" s="5"/>
      <c r="I580" s="5"/>
      <c r="M580" s="177"/>
      <c r="O580" s="15"/>
      <c r="P580" s="178"/>
      <c r="Q580" s="15"/>
      <c r="R580" s="15"/>
      <c r="S580" s="15"/>
      <c r="T580" s="161"/>
      <c r="AA580" s="15"/>
      <c r="AB580" s="15"/>
      <c r="AC580" s="15"/>
      <c r="AD580" s="15"/>
      <c r="AE580" s="15"/>
    </row>
    <row r="581" ht="15.0" customHeight="1">
      <c r="A581" s="176"/>
      <c r="G581" s="5"/>
      <c r="H581" s="5"/>
      <c r="I581" s="5"/>
      <c r="M581" s="177"/>
      <c r="O581" s="15"/>
      <c r="P581" s="178"/>
      <c r="Q581" s="15"/>
      <c r="R581" s="15"/>
      <c r="S581" s="15"/>
      <c r="T581" s="161"/>
      <c r="AA581" s="15"/>
      <c r="AB581" s="15"/>
      <c r="AC581" s="15"/>
      <c r="AD581" s="15"/>
      <c r="AE581" s="15"/>
    </row>
  </sheetData>
  <conditionalFormatting sqref="G1:G581 H4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4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P1 R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S1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AV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AW1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:AX1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AY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AZ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:BC1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:BD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:BE1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F1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1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1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1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1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1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1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1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R2:BR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18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2:BS1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2:BT1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:BU1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W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2:BX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2:BY1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:BZ1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2:CA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:CB1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2:CE17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:CF1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:CG1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:CH1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:CI1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:CL17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2:CM1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2:CM1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2:CN1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:CO17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P2:CP1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1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2:CS1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:CT1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2:CU17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2:CV1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2:CW1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2:CZ17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:DA1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:DA1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2:DB1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C2:DC1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2:DD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G2:DG1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J2:DJ1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6.25"/>
    <col customWidth="1" min="3" max="3" width="12.25"/>
    <col customWidth="1" min="4" max="4" width="10.38"/>
    <col customWidth="1" min="5" max="6" width="7.5"/>
    <col customWidth="1" min="7" max="7" width="6.25"/>
    <col customWidth="1" min="8" max="8" width="5.13"/>
    <col customWidth="1" min="9" max="9" width="4.25"/>
    <col customWidth="1" min="10" max="10" width="5.13"/>
    <col customWidth="1" min="11" max="11" width="7.25"/>
    <col customWidth="1" min="12" max="13" width="6.25"/>
    <col customWidth="1" min="14" max="15" width="5.63"/>
    <col customWidth="1" min="16" max="16" width="5.88"/>
    <col customWidth="1" min="17" max="17" width="6.75"/>
    <col customWidth="1" min="18" max="18" width="6.0"/>
    <col customWidth="1" min="19" max="19" width="6.88"/>
    <col customWidth="1" min="20" max="20" width="8.5"/>
    <col customWidth="1" min="21" max="21" width="7.88"/>
    <col customWidth="1" min="22" max="22" width="11.75"/>
    <col customWidth="1" min="23" max="23" width="6.75"/>
    <col customWidth="1" min="24" max="24" width="7.88"/>
    <col customWidth="1" min="25" max="26" width="7.5"/>
    <col customWidth="1" min="27" max="27" width="5.88"/>
    <col customWidth="1" min="28" max="28" width="8.13"/>
    <col customWidth="1" min="29" max="29" width="5.63"/>
    <col customWidth="1" min="30" max="30" width="8.0"/>
    <col customWidth="1" min="31" max="32" width="5.25"/>
    <col customWidth="1" min="33" max="33" width="8.5"/>
    <col customWidth="1" min="34" max="34" width="11.63"/>
    <col customWidth="1" min="35" max="35" width="5.75"/>
    <col customWidth="1" min="36" max="37" width="4.75"/>
    <col customWidth="1" min="38" max="39" width="4.38"/>
    <col customWidth="1" min="40" max="40" width="8.5"/>
    <col customWidth="1" min="41" max="41" width="11.63"/>
    <col customWidth="1" min="42" max="42" width="5.75"/>
    <col customWidth="1" min="43" max="111" width="8.5"/>
  </cols>
  <sheetData>
    <row r="1" ht="14.25" customHeight="1">
      <c r="A1" s="105" t="s">
        <v>215</v>
      </c>
      <c r="B1" s="106" t="s">
        <v>216</v>
      </c>
      <c r="C1" s="107" t="s">
        <v>1</v>
      </c>
      <c r="D1" s="107" t="s">
        <v>217</v>
      </c>
      <c r="E1" s="179" t="s">
        <v>259</v>
      </c>
      <c r="F1" s="179" t="s">
        <v>260</v>
      </c>
      <c r="G1" s="107" t="s">
        <v>170</v>
      </c>
      <c r="H1" s="107" t="s">
        <v>218</v>
      </c>
      <c r="I1" s="107" t="s">
        <v>219</v>
      </c>
      <c r="J1" s="107" t="s">
        <v>220</v>
      </c>
      <c r="K1" s="108" t="s">
        <v>221</v>
      </c>
      <c r="L1" s="108" t="s">
        <v>222</v>
      </c>
      <c r="M1" s="108" t="s">
        <v>223</v>
      </c>
      <c r="N1" s="109" t="s">
        <v>261</v>
      </c>
      <c r="O1" s="110" t="s">
        <v>225</v>
      </c>
      <c r="P1" s="108" t="s">
        <v>262</v>
      </c>
      <c r="Q1" s="109" t="s">
        <v>227</v>
      </c>
      <c r="R1" s="108" t="s">
        <v>263</v>
      </c>
      <c r="S1" s="108" t="s">
        <v>264</v>
      </c>
      <c r="T1" s="110" t="s">
        <v>265</v>
      </c>
      <c r="U1" s="111" t="s">
        <v>266</v>
      </c>
      <c r="V1" s="5" t="s">
        <v>267</v>
      </c>
      <c r="W1" s="180" t="s">
        <v>268</v>
      </c>
      <c r="X1" s="112" t="s">
        <v>269</v>
      </c>
      <c r="Y1" s="56" t="s">
        <v>270</v>
      </c>
      <c r="Z1" s="181" t="s">
        <v>271</v>
      </c>
      <c r="AA1" s="182" t="s">
        <v>272</v>
      </c>
      <c r="AB1" s="182" t="s">
        <v>273</v>
      </c>
      <c r="AC1" s="182" t="s">
        <v>274</v>
      </c>
      <c r="AD1" s="182" t="s">
        <v>275</v>
      </c>
      <c r="AE1" s="107"/>
      <c r="AF1" s="113"/>
      <c r="AG1" s="5"/>
      <c r="AH1" s="112"/>
      <c r="AI1" s="107"/>
      <c r="AJ1" s="107"/>
      <c r="AK1" s="107"/>
      <c r="AL1" s="107"/>
      <c r="AM1" s="113"/>
      <c r="AN1" s="5"/>
      <c r="AO1" s="112"/>
      <c r="AP1" s="107"/>
      <c r="AQ1" s="107"/>
      <c r="AR1" s="107"/>
      <c r="AS1" s="107"/>
      <c r="AT1" s="113"/>
      <c r="AU1" s="5"/>
      <c r="AV1" s="112"/>
      <c r="AW1" s="107"/>
      <c r="AX1" s="107"/>
      <c r="AY1" s="107"/>
      <c r="AZ1" s="107"/>
      <c r="BA1" s="113"/>
      <c r="BB1" s="5"/>
      <c r="BC1" s="112"/>
      <c r="BD1" s="107"/>
      <c r="BE1" s="107"/>
      <c r="BF1" s="107"/>
      <c r="BG1" s="107"/>
      <c r="BH1" s="113"/>
      <c r="BI1" s="5"/>
      <c r="BJ1" s="112"/>
      <c r="BK1" s="107"/>
      <c r="BL1" s="107"/>
      <c r="BM1" s="107"/>
      <c r="BN1" s="107"/>
      <c r="BO1" s="113"/>
      <c r="BP1" s="5"/>
      <c r="BQ1" s="112"/>
      <c r="BR1" s="107"/>
      <c r="BS1" s="107"/>
      <c r="BT1" s="107"/>
      <c r="BU1" s="107"/>
      <c r="BV1" s="113"/>
      <c r="BW1" s="5"/>
      <c r="BX1" s="112"/>
      <c r="BY1" s="107"/>
      <c r="BZ1" s="107"/>
      <c r="CA1" s="107"/>
      <c r="CB1" s="107"/>
      <c r="CC1" s="113"/>
      <c r="CD1" s="5"/>
      <c r="CE1" s="112"/>
      <c r="CF1" s="107"/>
      <c r="CG1" s="107"/>
      <c r="CH1" s="107"/>
      <c r="CI1" s="107"/>
      <c r="CJ1" s="113"/>
      <c r="CK1" s="5"/>
      <c r="CL1" s="112"/>
      <c r="CM1" s="107"/>
      <c r="CN1" s="107"/>
      <c r="CO1" s="107"/>
      <c r="CP1" s="107"/>
      <c r="CQ1" s="113"/>
      <c r="CR1" s="5"/>
      <c r="CS1" s="112"/>
      <c r="CT1" s="107"/>
      <c r="CU1" s="107"/>
      <c r="CV1" s="107"/>
      <c r="CW1" s="107"/>
      <c r="CX1" s="113"/>
      <c r="CY1" s="5"/>
      <c r="CZ1" s="112"/>
      <c r="DA1" s="107"/>
      <c r="DB1" s="107"/>
      <c r="DC1" s="107"/>
      <c r="DD1" s="107"/>
      <c r="DE1" s="113"/>
      <c r="DF1" s="5"/>
      <c r="DG1" s="112"/>
    </row>
    <row r="2" ht="14.25" customHeight="1">
      <c r="A2" s="115" t="s">
        <v>238</v>
      </c>
      <c r="B2" s="116" t="s">
        <v>239</v>
      </c>
      <c r="C2" s="116" t="s">
        <v>241</v>
      </c>
      <c r="D2" s="116" t="s">
        <v>240</v>
      </c>
      <c r="E2" s="183">
        <v>1.0</v>
      </c>
      <c r="F2" s="183">
        <f t="shared" ref="F2:F511" si="1">SWITCH(C2,
 "T232-140Ru",1,
 "T232-RG8",2,
 "G435-110R",3,
 "T1052-SO4",4,
 "G15-110R",5,
 "T232-SO4",6,
 "G15-RG8",7,
 "G435-SO4",8,
 "T232-110R",9,
 "G15-SO4",10,
 "T1052-RG8",11,
 "G435-140Ru",12,
 "T1052-140Ru",13,
 "G15-140Ru",14,
 "T1052-110R",15,
 "G435-RG8",16,
 "")
</f>
        <v>1</v>
      </c>
      <c r="G2" s="118" t="s">
        <v>276</v>
      </c>
      <c r="H2" s="119">
        <v>21.2264887</v>
      </c>
      <c r="I2" s="119">
        <v>0.4763378</v>
      </c>
      <c r="J2" s="119">
        <v>5.44257676</v>
      </c>
      <c r="K2" s="120">
        <f t="shared" ref="K2:K481" si="2">H2/I2</f>
        <v>44.56183973</v>
      </c>
      <c r="L2" s="121">
        <v>-0.31</v>
      </c>
      <c r="M2" s="121">
        <v>-0.612</v>
      </c>
      <c r="N2" s="122">
        <v>0.302</v>
      </c>
      <c r="O2" s="120">
        <v>41.4</v>
      </c>
      <c r="P2" s="120">
        <v>18.02177735099338</v>
      </c>
      <c r="Q2" s="123">
        <v>8.691604955968948</v>
      </c>
      <c r="R2" s="120">
        <v>0.7142857142857143</v>
      </c>
      <c r="S2" s="120">
        <v>0.48228345000000006</v>
      </c>
      <c r="T2" s="120">
        <v>110.02702702702703</v>
      </c>
      <c r="U2" s="124">
        <v>23.9</v>
      </c>
      <c r="V2" s="8">
        <f t="shared" ref="V2:V97" si="3">T2/U2</f>
        <v>4.603641298</v>
      </c>
      <c r="W2" s="132">
        <v>131.80848867186864</v>
      </c>
      <c r="X2" s="133">
        <v>17.71666666666667</v>
      </c>
      <c r="Y2" s="184">
        <v>408.9748</v>
      </c>
      <c r="Z2" s="185">
        <v>266.47</v>
      </c>
      <c r="AA2" s="120">
        <v>32.60134995709346</v>
      </c>
      <c r="AB2" s="186">
        <v>95.44184076279976</v>
      </c>
      <c r="AC2" s="120">
        <v>95.4409593981462</v>
      </c>
      <c r="AD2" s="186">
        <v>29.35407211923135</v>
      </c>
      <c r="AE2" s="126"/>
      <c r="AF2" s="127"/>
      <c r="AH2" s="125"/>
      <c r="AI2" s="128"/>
      <c r="AJ2" s="129"/>
      <c r="AK2" s="129"/>
      <c r="AL2" s="129"/>
      <c r="AM2" s="130"/>
      <c r="AO2" s="125"/>
      <c r="AP2" s="128"/>
      <c r="AQ2" s="129"/>
      <c r="AR2" s="129"/>
      <c r="AS2" s="129"/>
      <c r="AT2" s="130"/>
      <c r="AV2" s="125"/>
      <c r="AW2" s="128"/>
      <c r="AX2" s="129"/>
      <c r="AY2" s="129"/>
      <c r="AZ2" s="129"/>
      <c r="BA2" s="130"/>
      <c r="BC2" s="125"/>
      <c r="BD2" s="128"/>
      <c r="BE2" s="129"/>
      <c r="BF2" s="129"/>
      <c r="BG2" s="129"/>
      <c r="BH2" s="130"/>
      <c r="BJ2" s="125"/>
      <c r="BK2" s="128"/>
      <c r="BL2" s="129"/>
      <c r="BM2" s="129"/>
      <c r="BN2" s="129"/>
      <c r="BO2" s="130"/>
      <c r="BQ2" s="125"/>
      <c r="BR2" s="128"/>
      <c r="BS2" s="129"/>
      <c r="BT2" s="129"/>
      <c r="BU2" s="129"/>
      <c r="BV2" s="129"/>
      <c r="BX2" s="125"/>
      <c r="BY2" s="128"/>
      <c r="BZ2" s="129"/>
      <c r="CA2" s="129"/>
      <c r="CB2" s="129"/>
      <c r="CC2" s="130"/>
      <c r="CE2" s="125"/>
      <c r="CF2" s="128"/>
      <c r="CG2" s="129"/>
      <c r="CH2" s="129"/>
      <c r="CI2" s="129"/>
      <c r="CJ2" s="130"/>
      <c r="CL2" s="125"/>
      <c r="CM2" s="128"/>
      <c r="CN2" s="129"/>
      <c r="CO2" s="129"/>
      <c r="CP2" s="129"/>
      <c r="CQ2" s="129"/>
      <c r="CS2" s="125"/>
      <c r="CT2" s="128"/>
      <c r="CU2" s="129"/>
      <c r="CV2" s="129"/>
      <c r="CW2" s="129"/>
      <c r="CX2" s="130"/>
      <c r="CZ2" s="125"/>
      <c r="DA2" s="128"/>
      <c r="DB2" s="129"/>
      <c r="DC2" s="129"/>
      <c r="DD2" s="129"/>
      <c r="DE2" s="129"/>
      <c r="DG2" s="131"/>
    </row>
    <row r="3" ht="14.25" customHeight="1">
      <c r="A3" s="134" t="s">
        <v>238</v>
      </c>
      <c r="B3" s="135" t="s">
        <v>239</v>
      </c>
      <c r="C3" s="116" t="s">
        <v>241</v>
      </c>
      <c r="D3" s="135" t="s">
        <v>240</v>
      </c>
      <c r="E3" s="8">
        <v>2.0</v>
      </c>
      <c r="F3" s="183">
        <f t="shared" si="1"/>
        <v>1</v>
      </c>
      <c r="G3" s="136" t="s">
        <v>276</v>
      </c>
      <c r="H3" s="137">
        <v>12.7785882</v>
      </c>
      <c r="I3" s="137">
        <v>0.34166575</v>
      </c>
      <c r="J3" s="137">
        <v>5.47102595</v>
      </c>
      <c r="K3" s="120">
        <f t="shared" si="2"/>
        <v>37.40084629</v>
      </c>
      <c r="L3" s="121"/>
      <c r="M3" s="121">
        <v>-0.72</v>
      </c>
      <c r="N3" s="122"/>
      <c r="O3" s="120">
        <v>42.0</v>
      </c>
      <c r="P3" s="120">
        <v>13.026252261904762</v>
      </c>
      <c r="Q3" s="123">
        <v>7.805338822397305</v>
      </c>
      <c r="R3" s="120">
        <v>1.1428571428571428</v>
      </c>
      <c r="S3" s="120">
        <v>0.5992006500000001</v>
      </c>
      <c r="T3" s="120">
        <v>176.1391304347826</v>
      </c>
      <c r="U3" s="124">
        <v>16.1</v>
      </c>
      <c r="V3" s="8">
        <f t="shared" si="3"/>
        <v>10.94031866</v>
      </c>
      <c r="W3" s="142">
        <v>156.9652663318473</v>
      </c>
      <c r="X3" s="143">
        <v>17.7</v>
      </c>
      <c r="Y3" s="187">
        <v>395.726</v>
      </c>
      <c r="Z3" s="188">
        <v>266.162</v>
      </c>
      <c r="AA3" s="120">
        <v>37.33829393205801</v>
      </c>
      <c r="AB3" s="186">
        <v>102.05723696739823</v>
      </c>
      <c r="AC3" s="120">
        <v>77.61635801824599</v>
      </c>
      <c r="AD3" s="186">
        <v>37.268056879973905</v>
      </c>
      <c r="AE3" s="120"/>
      <c r="AF3" s="124"/>
      <c r="AH3" s="32"/>
      <c r="AI3" s="138"/>
      <c r="AJ3" s="139"/>
      <c r="AK3" s="139"/>
      <c r="AL3" s="139"/>
      <c r="AM3" s="140"/>
      <c r="AO3" s="32"/>
      <c r="AP3" s="138"/>
      <c r="AQ3" s="139"/>
      <c r="AR3" s="139"/>
      <c r="AS3" s="139"/>
      <c r="AT3" s="140"/>
      <c r="AV3" s="32"/>
      <c r="AW3" s="138"/>
      <c r="AX3" s="139"/>
      <c r="AY3" s="139"/>
      <c r="AZ3" s="139"/>
      <c r="BA3" s="140"/>
      <c r="BC3" s="32"/>
      <c r="BD3" s="138"/>
      <c r="BE3" s="139"/>
      <c r="BF3" s="139"/>
      <c r="BG3" s="139"/>
      <c r="BH3" s="140"/>
      <c r="BJ3" s="32"/>
      <c r="BK3" s="138"/>
      <c r="BL3" s="139"/>
      <c r="BM3" s="139"/>
      <c r="BN3" s="139"/>
      <c r="BO3" s="140"/>
      <c r="BQ3" s="32"/>
      <c r="BR3" s="138"/>
      <c r="BS3" s="139"/>
      <c r="BT3" s="139"/>
      <c r="BU3" s="139"/>
      <c r="BV3" s="139"/>
      <c r="BX3" s="32"/>
      <c r="BY3" s="138"/>
      <c r="BZ3" s="139"/>
      <c r="CA3" s="139"/>
      <c r="CB3" s="139"/>
      <c r="CC3" s="140"/>
      <c r="CE3" s="32"/>
      <c r="CF3" s="138"/>
      <c r="CG3" s="139"/>
      <c r="CH3" s="139"/>
      <c r="CI3" s="139"/>
      <c r="CJ3" s="140"/>
      <c r="CL3" s="32"/>
      <c r="CM3" s="138"/>
      <c r="CN3" s="139"/>
      <c r="CO3" s="139"/>
      <c r="CP3" s="139"/>
      <c r="CQ3" s="139"/>
      <c r="CS3" s="32"/>
      <c r="CT3" s="138"/>
      <c r="CU3" s="139"/>
      <c r="CV3" s="139"/>
      <c r="CW3" s="139"/>
      <c r="CX3" s="140"/>
      <c r="CZ3" s="32"/>
      <c r="DA3" s="138"/>
      <c r="DB3" s="139"/>
      <c r="DC3" s="139"/>
      <c r="DD3" s="139"/>
      <c r="DE3" s="139"/>
      <c r="DG3" s="141"/>
    </row>
    <row r="4" ht="14.25" customHeight="1">
      <c r="A4" s="134" t="s">
        <v>238</v>
      </c>
      <c r="B4" s="135" t="s">
        <v>239</v>
      </c>
      <c r="C4" s="116" t="s">
        <v>241</v>
      </c>
      <c r="D4" s="135" t="s">
        <v>240</v>
      </c>
      <c r="E4" s="8">
        <v>3.0</v>
      </c>
      <c r="F4" s="183">
        <f t="shared" si="1"/>
        <v>1</v>
      </c>
      <c r="G4" s="136" t="s">
        <v>276</v>
      </c>
      <c r="H4" s="137">
        <v>16.833082</v>
      </c>
      <c r="I4" s="137">
        <v>0.36492115</v>
      </c>
      <c r="J4" s="137">
        <v>7.04139305</v>
      </c>
      <c r="K4" s="120">
        <f t="shared" si="2"/>
        <v>46.12799779</v>
      </c>
      <c r="L4" s="121">
        <v>-0.31</v>
      </c>
      <c r="M4" s="121">
        <v>-0.63</v>
      </c>
      <c r="N4" s="122">
        <v>0.32</v>
      </c>
      <c r="O4" s="120">
        <v>39.2</v>
      </c>
      <c r="P4" s="120">
        <v>22.004353281249998</v>
      </c>
      <c r="Q4" s="123">
        <v>13.185022788954633</v>
      </c>
      <c r="R4" s="120">
        <v>1.1428571428571428</v>
      </c>
      <c r="S4" s="120">
        <v>0.5992006500000001</v>
      </c>
      <c r="T4" s="120">
        <v>179.03489361702128</v>
      </c>
      <c r="U4" s="124">
        <v>15.2</v>
      </c>
      <c r="V4" s="8">
        <f t="shared" si="3"/>
        <v>11.77861142</v>
      </c>
      <c r="W4" s="142">
        <v>180.4330470363799</v>
      </c>
      <c r="X4" s="143">
        <v>32.68333333333333</v>
      </c>
      <c r="Y4" s="187">
        <v>395.7026</v>
      </c>
      <c r="Z4" s="188">
        <v>279.1229</v>
      </c>
      <c r="AA4" s="120">
        <v>27.97240521204083</v>
      </c>
      <c r="AB4" s="186">
        <v>165.1139674357024</v>
      </c>
      <c r="AC4" s="120">
        <v>95.7190686165829</v>
      </c>
      <c r="AD4" s="186">
        <v>35.834670076897986</v>
      </c>
      <c r="AE4" s="120"/>
      <c r="AF4" s="124"/>
      <c r="AH4" s="32"/>
      <c r="AI4" s="138"/>
      <c r="AJ4" s="139"/>
      <c r="AK4" s="139"/>
      <c r="AL4" s="139"/>
      <c r="AM4" s="140"/>
      <c r="AO4" s="32"/>
      <c r="AP4" s="138"/>
      <c r="AQ4" s="139"/>
      <c r="AR4" s="139"/>
      <c r="AS4" s="139"/>
      <c r="AT4" s="140"/>
      <c r="AV4" s="32"/>
      <c r="AW4" s="138"/>
      <c r="AX4" s="139"/>
      <c r="AY4" s="139"/>
      <c r="AZ4" s="139"/>
      <c r="BA4" s="140"/>
      <c r="BC4" s="32"/>
      <c r="BD4" s="138"/>
      <c r="BE4" s="139"/>
      <c r="BF4" s="139"/>
      <c r="BG4" s="139"/>
      <c r="BH4" s="140"/>
      <c r="BJ4" s="32"/>
      <c r="BK4" s="138"/>
      <c r="BL4" s="139"/>
      <c r="BM4" s="139"/>
      <c r="BN4" s="139"/>
      <c r="BO4" s="140"/>
      <c r="BQ4" s="32"/>
      <c r="BR4" s="138"/>
      <c r="BS4" s="139"/>
      <c r="BT4" s="139"/>
      <c r="BU4" s="139"/>
      <c r="BV4" s="139"/>
      <c r="BX4" s="32"/>
      <c r="BY4" s="138"/>
      <c r="BZ4" s="139"/>
      <c r="CA4" s="139"/>
      <c r="CB4" s="139"/>
      <c r="CC4" s="140"/>
      <c r="CE4" s="32"/>
      <c r="CF4" s="138"/>
      <c r="CG4" s="139"/>
      <c r="CH4" s="139"/>
      <c r="CI4" s="139"/>
      <c r="CJ4" s="140"/>
      <c r="CL4" s="32"/>
      <c r="CM4" s="138"/>
      <c r="CN4" s="139"/>
      <c r="CO4" s="139"/>
      <c r="CP4" s="139"/>
      <c r="CQ4" s="139"/>
      <c r="CS4" s="32"/>
      <c r="CT4" s="138"/>
      <c r="CU4" s="139"/>
      <c r="CV4" s="139"/>
      <c r="CW4" s="139"/>
      <c r="CX4" s="140"/>
      <c r="CZ4" s="32"/>
      <c r="DA4" s="138"/>
      <c r="DB4" s="139"/>
      <c r="DC4" s="139"/>
      <c r="DD4" s="139"/>
      <c r="DE4" s="139"/>
      <c r="DG4" s="141"/>
    </row>
    <row r="5" ht="14.25" customHeight="1">
      <c r="A5" s="134" t="s">
        <v>238</v>
      </c>
      <c r="B5" s="135" t="s">
        <v>239</v>
      </c>
      <c r="C5" s="116" t="s">
        <v>241</v>
      </c>
      <c r="D5" s="135" t="s">
        <v>240</v>
      </c>
      <c r="E5" s="8">
        <v>4.0</v>
      </c>
      <c r="F5" s="183">
        <f t="shared" si="1"/>
        <v>1</v>
      </c>
      <c r="G5" s="136" t="s">
        <v>276</v>
      </c>
      <c r="H5" s="137">
        <v>13.9478851</v>
      </c>
      <c r="I5" s="137">
        <v>0.3517747</v>
      </c>
      <c r="J5" s="137">
        <v>7.71859993</v>
      </c>
      <c r="K5" s="120">
        <f t="shared" si="2"/>
        <v>39.65005187</v>
      </c>
      <c r="L5" s="121"/>
      <c r="M5" s="121">
        <v>-0.884</v>
      </c>
      <c r="N5" s="122"/>
      <c r="O5" s="120">
        <v>40.6</v>
      </c>
      <c r="P5" s="120">
        <v>13.216780702054793</v>
      </c>
      <c r="Q5" s="123">
        <v>7.726344963491406</v>
      </c>
      <c r="R5" s="120">
        <v>1.2857142857142858</v>
      </c>
      <c r="S5" s="120">
        <v>0.5845860000000002</v>
      </c>
      <c r="T5" s="120">
        <v>154.95</v>
      </c>
      <c r="U5" s="124">
        <v>10.8</v>
      </c>
      <c r="V5" s="8">
        <f t="shared" si="3"/>
        <v>14.34722222</v>
      </c>
      <c r="W5" s="142">
        <v>160.00950313783792</v>
      </c>
      <c r="X5" s="143">
        <v>28.03333333333333</v>
      </c>
      <c r="Y5" s="189">
        <v>390.943</v>
      </c>
      <c r="Z5" s="188">
        <v>328.004</v>
      </c>
      <c r="AA5" s="120">
        <v>31.221961499314595</v>
      </c>
      <c r="AB5" s="186">
        <v>92.760585203018</v>
      </c>
      <c r="AC5" s="120">
        <v>77.74347558274532</v>
      </c>
      <c r="AD5" s="186">
        <v>45.58170033781423</v>
      </c>
      <c r="AE5" s="120"/>
      <c r="AF5" s="124"/>
      <c r="AH5" s="32"/>
      <c r="AI5" s="138"/>
      <c r="AJ5" s="139"/>
      <c r="AK5" s="139"/>
      <c r="AL5" s="139"/>
      <c r="AM5" s="140"/>
      <c r="AO5" s="32"/>
      <c r="AP5" s="138"/>
      <c r="AQ5" s="139"/>
      <c r="AR5" s="139"/>
      <c r="AS5" s="139"/>
      <c r="AT5" s="140"/>
      <c r="AV5" s="32"/>
      <c r="AW5" s="138"/>
      <c r="AX5" s="139"/>
      <c r="AY5" s="139"/>
      <c r="AZ5" s="139"/>
      <c r="BA5" s="140"/>
      <c r="BC5" s="32"/>
      <c r="BD5" s="138"/>
      <c r="BE5" s="139"/>
      <c r="BF5" s="139"/>
      <c r="BG5" s="139"/>
      <c r="BH5" s="140"/>
      <c r="BJ5" s="32"/>
      <c r="BK5" s="138"/>
      <c r="BL5" s="139"/>
      <c r="BM5" s="139"/>
      <c r="BN5" s="139"/>
      <c r="BO5" s="140"/>
      <c r="BQ5" s="32"/>
      <c r="BR5" s="138"/>
      <c r="BS5" s="139"/>
      <c r="BT5" s="139"/>
      <c r="BU5" s="139"/>
      <c r="BV5" s="139"/>
      <c r="BX5" s="32"/>
      <c r="BY5" s="138"/>
      <c r="BZ5" s="139"/>
      <c r="CA5" s="139"/>
      <c r="CB5" s="139"/>
      <c r="CC5" s="140"/>
      <c r="CE5" s="32"/>
      <c r="CF5" s="138"/>
      <c r="CG5" s="139"/>
      <c r="CH5" s="139"/>
      <c r="CI5" s="139"/>
      <c r="CJ5" s="140"/>
      <c r="CL5" s="32"/>
      <c r="CM5" s="138"/>
      <c r="CN5" s="139"/>
      <c r="CO5" s="139"/>
      <c r="CP5" s="139"/>
      <c r="CQ5" s="139"/>
      <c r="CS5" s="32"/>
      <c r="CT5" s="138"/>
      <c r="CU5" s="139"/>
      <c r="CV5" s="139"/>
      <c r="CW5" s="139"/>
      <c r="CX5" s="140"/>
      <c r="CZ5" s="32"/>
      <c r="DA5" s="138"/>
      <c r="DB5" s="139"/>
      <c r="DC5" s="139"/>
      <c r="DD5" s="139"/>
      <c r="DE5" s="139"/>
      <c r="DG5" s="141"/>
    </row>
    <row r="6" ht="14.25" customHeight="1">
      <c r="A6" s="134" t="s">
        <v>238</v>
      </c>
      <c r="B6" s="135" t="s">
        <v>239</v>
      </c>
      <c r="C6" s="116" t="s">
        <v>241</v>
      </c>
      <c r="D6" s="135" t="s">
        <v>240</v>
      </c>
      <c r="E6" s="8">
        <v>5.0</v>
      </c>
      <c r="F6" s="183">
        <f t="shared" si="1"/>
        <v>1</v>
      </c>
      <c r="G6" s="136" t="s">
        <v>276</v>
      </c>
      <c r="H6" s="137">
        <v>14.8285041</v>
      </c>
      <c r="I6" s="137">
        <v>0.29662361</v>
      </c>
      <c r="J6" s="137">
        <v>5.52177016</v>
      </c>
      <c r="K6" s="120">
        <f t="shared" si="2"/>
        <v>49.99097712</v>
      </c>
      <c r="L6" s="121">
        <v>-0.276</v>
      </c>
      <c r="M6" s="121">
        <v>-0.76</v>
      </c>
      <c r="N6" s="122">
        <v>0.484</v>
      </c>
      <c r="O6" s="120">
        <v>47.6</v>
      </c>
      <c r="P6" s="120">
        <v>11.408616033057852</v>
      </c>
      <c r="Q6" s="123">
        <v>6.836050142608687</v>
      </c>
      <c r="R6" s="120">
        <v>1.1428571428571428</v>
      </c>
      <c r="S6" s="120">
        <v>0.5992006500000001</v>
      </c>
      <c r="T6" s="120">
        <v>117.4617857142857</v>
      </c>
      <c r="U6" s="124">
        <v>24.2</v>
      </c>
      <c r="V6" s="8">
        <f t="shared" si="3"/>
        <v>4.853792798</v>
      </c>
      <c r="W6" s="142">
        <v>182.60952905285214</v>
      </c>
      <c r="X6" s="143">
        <v>35.13333333333333</v>
      </c>
      <c r="Y6" s="190">
        <v>507.6794</v>
      </c>
      <c r="Z6" s="188">
        <v>236.613</v>
      </c>
      <c r="AA6" s="120">
        <v>28.876748868111925</v>
      </c>
      <c r="AB6" s="186">
        <v>146.59279048018672</v>
      </c>
      <c r="AC6" s="120">
        <v>98.44381039879211</v>
      </c>
      <c r="AD6" s="186">
        <v>33.11123515105374</v>
      </c>
      <c r="AE6" s="120"/>
      <c r="AF6" s="124"/>
      <c r="AH6" s="32"/>
      <c r="AI6" s="138"/>
      <c r="AJ6" s="139"/>
      <c r="AK6" s="139"/>
      <c r="AL6" s="139"/>
      <c r="AM6" s="140"/>
      <c r="AO6" s="32"/>
      <c r="AP6" s="138"/>
      <c r="AQ6" s="139"/>
      <c r="AR6" s="139"/>
      <c r="AS6" s="139"/>
      <c r="AT6" s="140"/>
      <c r="AV6" s="32"/>
      <c r="AW6" s="138"/>
      <c r="AX6" s="139"/>
      <c r="AY6" s="139"/>
      <c r="AZ6" s="139"/>
      <c r="BA6" s="140"/>
      <c r="BC6" s="32"/>
      <c r="BD6" s="138"/>
      <c r="BE6" s="139"/>
      <c r="BF6" s="139"/>
      <c r="BG6" s="139"/>
      <c r="BH6" s="140"/>
      <c r="BJ6" s="32"/>
      <c r="BK6" s="138"/>
      <c r="BL6" s="139"/>
      <c r="BM6" s="139"/>
      <c r="BN6" s="139"/>
      <c r="BO6" s="140"/>
      <c r="BQ6" s="32"/>
      <c r="BR6" s="138"/>
      <c r="BS6" s="139"/>
      <c r="BT6" s="139"/>
      <c r="BU6" s="139"/>
      <c r="BV6" s="139"/>
      <c r="BX6" s="32"/>
      <c r="BY6" s="138"/>
      <c r="BZ6" s="139"/>
      <c r="CA6" s="139"/>
      <c r="CB6" s="139"/>
      <c r="CC6" s="140"/>
      <c r="CE6" s="32"/>
      <c r="CF6" s="138"/>
      <c r="CG6" s="139"/>
      <c r="CH6" s="139"/>
      <c r="CI6" s="139"/>
      <c r="CJ6" s="140"/>
      <c r="CL6" s="32"/>
      <c r="CM6" s="138"/>
      <c r="CN6" s="139"/>
      <c r="CO6" s="139"/>
      <c r="CP6" s="139"/>
      <c r="CQ6" s="139"/>
      <c r="CS6" s="32"/>
      <c r="CT6" s="138"/>
      <c r="CU6" s="139"/>
      <c r="CV6" s="139"/>
      <c r="CW6" s="139"/>
      <c r="CX6" s="140"/>
      <c r="CZ6" s="32"/>
      <c r="DA6" s="138"/>
      <c r="DB6" s="139"/>
      <c r="DC6" s="139"/>
      <c r="DD6" s="139"/>
      <c r="DE6" s="139"/>
      <c r="DG6" s="141"/>
    </row>
    <row r="7" ht="14.25" customHeight="1">
      <c r="A7" s="134" t="s">
        <v>238</v>
      </c>
      <c r="B7" s="135" t="s">
        <v>239</v>
      </c>
      <c r="C7" s="116" t="s">
        <v>241</v>
      </c>
      <c r="D7" s="135" t="s">
        <v>240</v>
      </c>
      <c r="E7" s="8">
        <v>6.0</v>
      </c>
      <c r="F7" s="183">
        <f t="shared" si="1"/>
        <v>1</v>
      </c>
      <c r="G7" s="136" t="s">
        <v>276</v>
      </c>
      <c r="H7" s="137">
        <v>13.8134669</v>
      </c>
      <c r="I7" s="137">
        <v>0.35870375</v>
      </c>
      <c r="J7" s="137">
        <v>8.82545658</v>
      </c>
      <c r="K7" s="120">
        <f t="shared" si="2"/>
        <v>38.50940198</v>
      </c>
      <c r="L7" s="121"/>
      <c r="M7" s="121">
        <v>-0.809</v>
      </c>
      <c r="N7" s="122"/>
      <c r="O7" s="120">
        <v>34.9</v>
      </c>
      <c r="P7" s="120">
        <v>17.33881449901768</v>
      </c>
      <c r="Q7" s="123">
        <v>9.122425391450477</v>
      </c>
      <c r="R7" s="120">
        <v>0.8571428571428571</v>
      </c>
      <c r="S7" s="120">
        <v>0.5261274000000001</v>
      </c>
      <c r="T7" s="120">
        <v>53.23809523809524</v>
      </c>
      <c r="U7" s="124">
        <v>16.1</v>
      </c>
      <c r="V7" s="8">
        <f t="shared" si="3"/>
        <v>3.30671399</v>
      </c>
      <c r="W7" s="142">
        <v>161.3272805499883</v>
      </c>
      <c r="X7" s="143">
        <v>15.649999999999997</v>
      </c>
      <c r="Y7" s="189">
        <v>337.5888</v>
      </c>
      <c r="Z7" s="188">
        <v>241.11</v>
      </c>
      <c r="AA7" s="120">
        <v>32.49189733532385</v>
      </c>
      <c r="AB7" s="186">
        <v>155.41809356697368</v>
      </c>
      <c r="AC7" s="120">
        <v>79.26247432064031</v>
      </c>
      <c r="AD7" s="186">
        <v>30.961154946439862</v>
      </c>
      <c r="AE7" s="120"/>
      <c r="AF7" s="124"/>
      <c r="AH7" s="32"/>
      <c r="AI7" s="138"/>
      <c r="AJ7" s="139"/>
      <c r="AK7" s="139"/>
      <c r="AL7" s="139"/>
      <c r="AM7" s="140"/>
      <c r="AO7" s="32"/>
      <c r="AP7" s="138"/>
      <c r="AQ7" s="139"/>
      <c r="AR7" s="139"/>
      <c r="AS7" s="139"/>
      <c r="AT7" s="140"/>
      <c r="AV7" s="32"/>
      <c r="AW7" s="138"/>
      <c r="AX7" s="139"/>
      <c r="AY7" s="139"/>
      <c r="AZ7" s="139"/>
      <c r="BA7" s="140"/>
      <c r="BC7" s="32"/>
      <c r="BD7" s="138"/>
      <c r="BE7" s="139"/>
      <c r="BF7" s="139"/>
      <c r="BG7" s="139"/>
      <c r="BH7" s="140"/>
      <c r="BJ7" s="32"/>
      <c r="BK7" s="138"/>
      <c r="BL7" s="139"/>
      <c r="BM7" s="139"/>
      <c r="BN7" s="139"/>
      <c r="BO7" s="140"/>
      <c r="BQ7" s="32"/>
      <c r="BR7" s="138"/>
      <c r="BS7" s="139"/>
      <c r="BT7" s="139"/>
      <c r="BU7" s="139"/>
      <c r="BV7" s="139"/>
      <c r="BX7" s="32"/>
      <c r="BY7" s="138"/>
      <c r="BZ7" s="139"/>
      <c r="CA7" s="139"/>
      <c r="CB7" s="139"/>
      <c r="CC7" s="140"/>
      <c r="CE7" s="32"/>
      <c r="CF7" s="138"/>
      <c r="CG7" s="139"/>
      <c r="CH7" s="139"/>
      <c r="CI7" s="139"/>
      <c r="CJ7" s="140"/>
      <c r="CL7" s="32"/>
      <c r="CM7" s="138"/>
      <c r="CN7" s="139"/>
      <c r="CO7" s="139"/>
      <c r="CP7" s="139"/>
      <c r="CQ7" s="139"/>
      <c r="CS7" s="32"/>
      <c r="CT7" s="138"/>
      <c r="CU7" s="139"/>
      <c r="CV7" s="139"/>
      <c r="CW7" s="139"/>
      <c r="CX7" s="140"/>
      <c r="CZ7" s="32"/>
      <c r="DA7" s="138"/>
      <c r="DB7" s="139"/>
      <c r="DC7" s="139"/>
      <c r="DD7" s="139"/>
      <c r="DE7" s="139"/>
      <c r="DG7" s="141"/>
    </row>
    <row r="8" ht="14.25" customHeight="1">
      <c r="A8" s="134" t="s">
        <v>244</v>
      </c>
      <c r="B8" s="3" t="s">
        <v>239</v>
      </c>
      <c r="C8" s="191" t="s">
        <v>30</v>
      </c>
      <c r="D8" s="135" t="s">
        <v>240</v>
      </c>
      <c r="E8" s="8">
        <v>1.0</v>
      </c>
      <c r="F8" s="183">
        <f t="shared" si="1"/>
        <v>2</v>
      </c>
      <c r="G8" s="136" t="s">
        <v>276</v>
      </c>
      <c r="H8" s="137">
        <v>14.6583968</v>
      </c>
      <c r="I8" s="137">
        <v>0.29060719</v>
      </c>
      <c r="J8" s="137">
        <v>4.06381125</v>
      </c>
      <c r="K8" s="120">
        <f t="shared" si="2"/>
        <v>50.44058545</v>
      </c>
      <c r="L8" s="121">
        <v>-0.307</v>
      </c>
      <c r="M8" s="121">
        <v>-0.702</v>
      </c>
      <c r="N8" s="122">
        <v>0.395</v>
      </c>
      <c r="O8" s="120">
        <v>42.5</v>
      </c>
      <c r="P8" s="120">
        <v>10.288129746835443</v>
      </c>
      <c r="Q8" s="123">
        <v>5.713581785374367</v>
      </c>
      <c r="R8" s="120">
        <v>1.2857142857142858</v>
      </c>
      <c r="S8" s="120">
        <v>0.5553567</v>
      </c>
      <c r="T8" s="120">
        <v>122.61666666666667</v>
      </c>
      <c r="U8" s="124">
        <v>11.3</v>
      </c>
      <c r="V8" s="8">
        <f t="shared" si="3"/>
        <v>10.85103245</v>
      </c>
      <c r="W8" s="142">
        <v>182.06873026674623</v>
      </c>
      <c r="X8" s="143">
        <v>16.916666666666668</v>
      </c>
      <c r="Y8" s="192">
        <v>598.0497</v>
      </c>
      <c r="Z8" s="188">
        <v>264.975</v>
      </c>
      <c r="AA8" s="120">
        <v>36.05218677355141</v>
      </c>
      <c r="AB8" s="186">
        <v>78.47981944969116</v>
      </c>
      <c r="AC8" s="120">
        <v>86.32481949921988</v>
      </c>
      <c r="AD8" s="186">
        <v>41.281539928586476</v>
      </c>
      <c r="AE8" s="120"/>
      <c r="AF8" s="124"/>
      <c r="AH8" s="32"/>
      <c r="AI8" s="138"/>
      <c r="AJ8" s="139"/>
      <c r="AK8" s="139"/>
      <c r="AL8" s="139"/>
      <c r="AM8" s="140"/>
      <c r="AO8" s="32"/>
      <c r="AP8" s="138"/>
      <c r="AQ8" s="139"/>
      <c r="AR8" s="139"/>
      <c r="AS8" s="139"/>
      <c r="AT8" s="140"/>
      <c r="AV8" s="32"/>
      <c r="AW8" s="138"/>
      <c r="AX8" s="139"/>
      <c r="AY8" s="139"/>
      <c r="AZ8" s="139"/>
      <c r="BA8" s="140"/>
      <c r="BC8" s="32"/>
      <c r="BD8" s="138"/>
      <c r="BE8" s="139"/>
      <c r="BF8" s="139"/>
      <c r="BG8" s="139"/>
      <c r="BH8" s="140"/>
      <c r="BJ8" s="32"/>
      <c r="BK8" s="138"/>
      <c r="BL8" s="139"/>
      <c r="BM8" s="139"/>
      <c r="BN8" s="139"/>
      <c r="BO8" s="140"/>
      <c r="BQ8" s="32"/>
      <c r="BR8" s="138"/>
      <c r="BS8" s="139"/>
      <c r="BT8" s="139"/>
      <c r="BU8" s="139"/>
      <c r="BV8" s="139"/>
      <c r="BX8" s="32"/>
      <c r="BY8" s="138"/>
      <c r="BZ8" s="139"/>
      <c r="CA8" s="139"/>
      <c r="CB8" s="139"/>
      <c r="CC8" s="140"/>
      <c r="CE8" s="32"/>
      <c r="CF8" s="138"/>
      <c r="CG8" s="139"/>
      <c r="CH8" s="139"/>
      <c r="CI8" s="139"/>
      <c r="CJ8" s="140"/>
      <c r="CL8" s="32"/>
      <c r="CM8" s="138"/>
      <c r="CN8" s="139"/>
      <c r="CO8" s="139"/>
      <c r="CP8" s="139"/>
      <c r="CQ8" s="139"/>
      <c r="CS8" s="32"/>
      <c r="CT8" s="138"/>
      <c r="CU8" s="139"/>
      <c r="CV8" s="139"/>
      <c r="CW8" s="139"/>
      <c r="CX8" s="140"/>
      <c r="CZ8" s="32"/>
      <c r="DA8" s="138"/>
      <c r="DB8" s="139"/>
      <c r="DC8" s="139"/>
      <c r="DD8" s="139"/>
      <c r="DE8" s="139"/>
      <c r="DG8" s="141"/>
    </row>
    <row r="9" ht="14.25" customHeight="1">
      <c r="A9" s="134" t="s">
        <v>244</v>
      </c>
      <c r="B9" s="3" t="s">
        <v>239</v>
      </c>
      <c r="C9" s="3" t="s">
        <v>30</v>
      </c>
      <c r="D9" s="135" t="s">
        <v>240</v>
      </c>
      <c r="E9" s="8">
        <v>2.0</v>
      </c>
      <c r="F9" s="183">
        <f t="shared" si="1"/>
        <v>2</v>
      </c>
      <c r="G9" s="136" t="s">
        <v>276</v>
      </c>
      <c r="H9" s="137">
        <v>15.9668213</v>
      </c>
      <c r="I9" s="137">
        <v>0.38940098</v>
      </c>
      <c r="J9" s="137">
        <v>5.71769313</v>
      </c>
      <c r="K9" s="120">
        <f t="shared" si="2"/>
        <v>41.00354678</v>
      </c>
      <c r="L9" s="121"/>
      <c r="M9" s="121">
        <v>-0.77</v>
      </c>
      <c r="N9" s="122"/>
      <c r="O9" s="120">
        <v>38.4</v>
      </c>
      <c r="P9" s="120">
        <v>12.705984733333333</v>
      </c>
      <c r="Q9" s="123">
        <v>7.056353751754379</v>
      </c>
      <c r="R9" s="120">
        <v>1.1428571428571428</v>
      </c>
      <c r="S9" s="120">
        <v>0.5553567</v>
      </c>
      <c r="T9" s="120">
        <v>119.0344827586207</v>
      </c>
      <c r="U9" s="124">
        <v>17.8</v>
      </c>
      <c r="V9" s="8">
        <f t="shared" si="3"/>
        <v>6.687330492</v>
      </c>
      <c r="W9" s="142">
        <v>217.74807852512967</v>
      </c>
      <c r="X9" s="143">
        <v>20.016666666666662</v>
      </c>
      <c r="Y9" s="193">
        <v>497.8161</v>
      </c>
      <c r="Z9" s="188">
        <v>277.5811</v>
      </c>
      <c r="AA9" s="120">
        <v>31.96915798742622</v>
      </c>
      <c r="AB9" s="186">
        <v>72.1530993831218</v>
      </c>
      <c r="AC9" s="120">
        <v>94.28894333772215</v>
      </c>
      <c r="AD9" s="186">
        <v>59.342213647343065</v>
      </c>
      <c r="AE9" s="120"/>
      <c r="AF9" s="124"/>
      <c r="AH9" s="32"/>
      <c r="AI9" s="138"/>
      <c r="AJ9" s="139"/>
      <c r="AK9" s="139"/>
      <c r="AL9" s="139"/>
      <c r="AM9" s="140"/>
      <c r="AO9" s="32"/>
      <c r="AP9" s="138"/>
      <c r="AQ9" s="139"/>
      <c r="AR9" s="139"/>
      <c r="AS9" s="139"/>
      <c r="AT9" s="140"/>
      <c r="AV9" s="32"/>
      <c r="AW9" s="138"/>
      <c r="AX9" s="139"/>
      <c r="AY9" s="139"/>
      <c r="AZ9" s="139"/>
      <c r="BA9" s="140"/>
      <c r="BC9" s="32"/>
      <c r="BD9" s="138"/>
      <c r="BE9" s="139"/>
      <c r="BF9" s="139"/>
      <c r="BG9" s="139"/>
      <c r="BH9" s="140"/>
      <c r="BJ9" s="32"/>
      <c r="BK9" s="138"/>
      <c r="BL9" s="139"/>
      <c r="BM9" s="139"/>
      <c r="BN9" s="139"/>
      <c r="BO9" s="140"/>
      <c r="BQ9" s="32"/>
      <c r="BR9" s="138"/>
      <c r="BS9" s="139"/>
      <c r="BT9" s="139"/>
      <c r="BU9" s="139"/>
      <c r="BV9" s="139"/>
      <c r="BX9" s="32"/>
      <c r="BY9" s="138"/>
      <c r="BZ9" s="139"/>
      <c r="CA9" s="139"/>
      <c r="CB9" s="139"/>
      <c r="CC9" s="140"/>
      <c r="CE9" s="32"/>
      <c r="CF9" s="138"/>
      <c r="CG9" s="139"/>
      <c r="CH9" s="139"/>
      <c r="CI9" s="139"/>
      <c r="CJ9" s="140"/>
      <c r="CL9" s="32"/>
      <c r="CM9" s="138"/>
      <c r="CN9" s="139"/>
      <c r="CO9" s="139"/>
      <c r="CP9" s="139"/>
      <c r="CQ9" s="139"/>
      <c r="CS9" s="32"/>
      <c r="CT9" s="138"/>
      <c r="CU9" s="139"/>
      <c r="CV9" s="139"/>
      <c r="CW9" s="139"/>
      <c r="CX9" s="140"/>
      <c r="CZ9" s="32"/>
      <c r="DA9" s="138"/>
      <c r="DB9" s="139"/>
      <c r="DC9" s="139"/>
      <c r="DD9" s="139"/>
      <c r="DE9" s="139"/>
      <c r="DG9" s="141"/>
    </row>
    <row r="10" ht="14.25" customHeight="1">
      <c r="A10" s="134" t="s">
        <v>244</v>
      </c>
      <c r="B10" s="3" t="s">
        <v>239</v>
      </c>
      <c r="C10" s="3" t="s">
        <v>30</v>
      </c>
      <c r="D10" s="135" t="s">
        <v>240</v>
      </c>
      <c r="E10" s="8">
        <v>3.0</v>
      </c>
      <c r="F10" s="183">
        <f t="shared" si="1"/>
        <v>2</v>
      </c>
      <c r="G10" s="136" t="s">
        <v>276</v>
      </c>
      <c r="H10" s="137">
        <v>18.2957699</v>
      </c>
      <c r="I10" s="137">
        <v>0.18243967</v>
      </c>
      <c r="J10" s="137">
        <v>5.08661469</v>
      </c>
      <c r="K10" s="120">
        <f t="shared" si="2"/>
        <v>100.2839454</v>
      </c>
      <c r="L10" s="121">
        <v>-0.32</v>
      </c>
      <c r="M10" s="121">
        <v>-0.87</v>
      </c>
      <c r="N10" s="122">
        <v>0.55</v>
      </c>
      <c r="O10" s="120">
        <v>42.9</v>
      </c>
      <c r="P10" s="120">
        <v>9.248390345454546</v>
      </c>
      <c r="Q10" s="123">
        <v>5.811965482374484</v>
      </c>
      <c r="R10" s="120">
        <v>1.1428571428571428</v>
      </c>
      <c r="S10" s="120">
        <v>0.6284299500000001</v>
      </c>
      <c r="T10" s="120">
        <v>154.44000000000003</v>
      </c>
      <c r="U10" s="124">
        <v>22.1</v>
      </c>
      <c r="V10" s="8">
        <f t="shared" si="3"/>
        <v>6.988235294</v>
      </c>
      <c r="W10" s="142">
        <v>135.91804537137997</v>
      </c>
      <c r="X10" s="143">
        <v>28.650000000000002</v>
      </c>
      <c r="Y10" s="187">
        <v>414.0352</v>
      </c>
      <c r="Z10" s="188">
        <v>301.5467</v>
      </c>
      <c r="AA10" s="120">
        <v>35.99919681827157</v>
      </c>
      <c r="AB10" s="186">
        <v>144.13223774074368</v>
      </c>
      <c r="AC10" s="120">
        <v>74.74042711172505</v>
      </c>
      <c r="AD10" s="186">
        <v>50.168538107657184</v>
      </c>
      <c r="AE10" s="120"/>
      <c r="AF10" s="124"/>
      <c r="AH10" s="32"/>
      <c r="AI10" s="138"/>
      <c r="AJ10" s="139"/>
      <c r="AK10" s="139"/>
      <c r="AL10" s="139"/>
      <c r="AM10" s="140"/>
      <c r="AO10" s="32"/>
      <c r="AP10" s="138"/>
      <c r="AQ10" s="139"/>
      <c r="AR10" s="139"/>
      <c r="AS10" s="139"/>
      <c r="AT10" s="140"/>
      <c r="AV10" s="32"/>
      <c r="AW10" s="138"/>
      <c r="AX10" s="139"/>
      <c r="AY10" s="139"/>
      <c r="AZ10" s="139"/>
      <c r="BA10" s="140"/>
      <c r="BC10" s="32"/>
      <c r="BD10" s="138"/>
      <c r="BE10" s="139"/>
      <c r="BF10" s="139"/>
      <c r="BG10" s="139"/>
      <c r="BH10" s="140"/>
      <c r="BJ10" s="32"/>
      <c r="BK10" s="138"/>
      <c r="BL10" s="139"/>
      <c r="BM10" s="139"/>
      <c r="BN10" s="139"/>
      <c r="BO10" s="140"/>
      <c r="BQ10" s="32"/>
      <c r="BR10" s="138"/>
      <c r="BS10" s="139"/>
      <c r="BT10" s="139"/>
      <c r="BU10" s="139"/>
      <c r="BV10" s="139"/>
      <c r="BX10" s="32"/>
      <c r="BY10" s="138"/>
      <c r="BZ10" s="139"/>
      <c r="CA10" s="139"/>
      <c r="CB10" s="139"/>
      <c r="CC10" s="140"/>
      <c r="CE10" s="32"/>
      <c r="CF10" s="138"/>
      <c r="CG10" s="139"/>
      <c r="CH10" s="139"/>
      <c r="CI10" s="139"/>
      <c r="CJ10" s="140"/>
      <c r="CL10" s="32"/>
      <c r="CM10" s="138"/>
      <c r="CN10" s="139"/>
      <c r="CO10" s="139"/>
      <c r="CP10" s="139"/>
      <c r="CQ10" s="139"/>
      <c r="CS10" s="32"/>
      <c r="CT10" s="138"/>
      <c r="CU10" s="139"/>
      <c r="CV10" s="139"/>
      <c r="CW10" s="139"/>
      <c r="CX10" s="140"/>
      <c r="CZ10" s="32"/>
      <c r="DA10" s="138"/>
      <c r="DB10" s="139"/>
      <c r="DC10" s="139"/>
      <c r="DD10" s="139"/>
      <c r="DE10" s="139"/>
      <c r="DG10" s="141"/>
    </row>
    <row r="11" ht="14.25" customHeight="1">
      <c r="A11" s="134" t="s">
        <v>244</v>
      </c>
      <c r="B11" s="3" t="s">
        <v>239</v>
      </c>
      <c r="C11" s="3" t="s">
        <v>30</v>
      </c>
      <c r="D11" s="135" t="s">
        <v>240</v>
      </c>
      <c r="E11" s="8">
        <v>4.0</v>
      </c>
      <c r="F11" s="183">
        <f t="shared" si="1"/>
        <v>2</v>
      </c>
      <c r="G11" s="136" t="s">
        <v>276</v>
      </c>
      <c r="H11" s="137">
        <v>12.1165926</v>
      </c>
      <c r="I11" s="137">
        <v>0.22813307</v>
      </c>
      <c r="J11" s="137">
        <v>5.60569543</v>
      </c>
      <c r="K11" s="120">
        <f t="shared" si="2"/>
        <v>53.11195172</v>
      </c>
      <c r="L11" s="121"/>
      <c r="M11" s="121">
        <v>-0.86</v>
      </c>
      <c r="N11" s="122"/>
      <c r="O11" s="120">
        <v>44.2</v>
      </c>
      <c r="P11" s="120">
        <v>10.380917462962962</v>
      </c>
      <c r="Q11" s="123">
        <v>6.068539016003668</v>
      </c>
      <c r="R11" s="120">
        <v>0.42857142857142855</v>
      </c>
      <c r="S11" s="120">
        <v>0.5845860000000002</v>
      </c>
      <c r="T11" s="120">
        <v>153.49245283018865</v>
      </c>
      <c r="U11" s="124">
        <v>29.7</v>
      </c>
      <c r="V11" s="8">
        <f t="shared" si="3"/>
        <v>5.168096055</v>
      </c>
      <c r="W11" s="142">
        <v>191.6516342466385</v>
      </c>
      <c r="X11" s="143">
        <v>20.900000000000002</v>
      </c>
      <c r="Y11" s="194">
        <v>458.0374</v>
      </c>
      <c r="Z11" s="188">
        <v>261.445</v>
      </c>
      <c r="AA11" s="120">
        <v>33.90510194880072</v>
      </c>
      <c r="AB11" s="186">
        <v>147.98220890062223</v>
      </c>
      <c r="AC11" s="120">
        <v>90.85200167415447</v>
      </c>
      <c r="AD11" s="186">
        <v>34.97463799505243</v>
      </c>
      <c r="AE11" s="120"/>
      <c r="AF11" s="124"/>
      <c r="AH11" s="32"/>
      <c r="AI11" s="138"/>
      <c r="AJ11" s="139"/>
      <c r="AK11" s="139"/>
      <c r="AL11" s="139"/>
      <c r="AM11" s="140"/>
      <c r="AO11" s="32"/>
      <c r="AP11" s="138"/>
      <c r="AQ11" s="139"/>
      <c r="AR11" s="139"/>
      <c r="AS11" s="139"/>
      <c r="AT11" s="140"/>
      <c r="AV11" s="32"/>
      <c r="AW11" s="138"/>
      <c r="AX11" s="139"/>
      <c r="AY11" s="139"/>
      <c r="AZ11" s="139"/>
      <c r="BA11" s="140"/>
      <c r="BC11" s="32"/>
      <c r="BD11" s="138"/>
      <c r="BE11" s="139"/>
      <c r="BF11" s="139"/>
      <c r="BG11" s="139"/>
      <c r="BH11" s="140"/>
      <c r="BJ11" s="32"/>
      <c r="BK11" s="138"/>
      <c r="BL11" s="139"/>
      <c r="BM11" s="139"/>
      <c r="BN11" s="139"/>
      <c r="BO11" s="140"/>
      <c r="BQ11" s="32"/>
      <c r="BR11" s="138"/>
      <c r="BS11" s="139"/>
      <c r="BT11" s="139"/>
      <c r="BU11" s="139"/>
      <c r="BV11" s="139"/>
      <c r="BX11" s="32"/>
      <c r="BY11" s="138"/>
      <c r="BZ11" s="139"/>
      <c r="CA11" s="139"/>
      <c r="CB11" s="139"/>
      <c r="CC11" s="140"/>
      <c r="CE11" s="32"/>
      <c r="CF11" s="138"/>
      <c r="CG11" s="139"/>
      <c r="CH11" s="139"/>
      <c r="CI11" s="139"/>
      <c r="CJ11" s="140"/>
      <c r="CL11" s="32"/>
      <c r="CM11" s="138"/>
      <c r="CN11" s="139"/>
      <c r="CO11" s="139"/>
      <c r="CP11" s="139"/>
      <c r="CQ11" s="139"/>
      <c r="CS11" s="32"/>
      <c r="CT11" s="138"/>
      <c r="CU11" s="139"/>
      <c r="CV11" s="139"/>
      <c r="CW11" s="139"/>
      <c r="CX11" s="140"/>
      <c r="CZ11" s="32"/>
      <c r="DA11" s="138"/>
      <c r="DB11" s="139"/>
      <c r="DC11" s="139"/>
      <c r="DD11" s="139"/>
      <c r="DE11" s="139"/>
      <c r="DG11" s="141"/>
    </row>
    <row r="12" ht="14.25" customHeight="1">
      <c r="A12" s="134" t="s">
        <v>244</v>
      </c>
      <c r="B12" s="3" t="s">
        <v>239</v>
      </c>
      <c r="C12" s="3" t="s">
        <v>30</v>
      </c>
      <c r="D12" s="135" t="s">
        <v>240</v>
      </c>
      <c r="E12" s="8">
        <v>5.0</v>
      </c>
      <c r="F12" s="183">
        <f t="shared" si="1"/>
        <v>2</v>
      </c>
      <c r="G12" s="136" t="s">
        <v>276</v>
      </c>
      <c r="H12" s="137">
        <v>9.8156713</v>
      </c>
      <c r="I12" s="137">
        <v>0.1474799</v>
      </c>
      <c r="J12" s="137">
        <v>3.25326783</v>
      </c>
      <c r="K12" s="120">
        <f t="shared" si="2"/>
        <v>66.55599373</v>
      </c>
      <c r="L12" s="121">
        <v>-0.34</v>
      </c>
      <c r="M12" s="121">
        <v>-0.89</v>
      </c>
      <c r="N12" s="122">
        <v>0.55</v>
      </c>
      <c r="O12" s="120">
        <v>40.2</v>
      </c>
      <c r="P12" s="120">
        <v>5.915032418181817</v>
      </c>
      <c r="Q12" s="123">
        <v>3.9765219123975224</v>
      </c>
      <c r="R12" s="120">
        <v>1.0</v>
      </c>
      <c r="S12" s="120">
        <v>0.6722739000000001</v>
      </c>
      <c r="T12" s="120">
        <v>174.0865671641791</v>
      </c>
      <c r="U12" s="124">
        <v>7.1</v>
      </c>
      <c r="V12" s="8">
        <f t="shared" si="3"/>
        <v>24.51923481</v>
      </c>
      <c r="W12" s="142">
        <v>124.40311840120664</v>
      </c>
      <c r="X12" s="143">
        <v>16.450000000000003</v>
      </c>
      <c r="Y12" s="190">
        <v>501.1584</v>
      </c>
      <c r="Z12" s="188">
        <v>265.8375</v>
      </c>
      <c r="AA12" s="120">
        <v>34.922040105314935</v>
      </c>
      <c r="AB12" s="186">
        <v>118.48418737781209</v>
      </c>
      <c r="AC12" s="120">
        <v>60.4666115433447</v>
      </c>
      <c r="AD12" s="186">
        <v>73.96275903871745</v>
      </c>
      <c r="AE12" s="120"/>
      <c r="AF12" s="124"/>
      <c r="AH12" s="32"/>
      <c r="AI12" s="138"/>
      <c r="AJ12" s="139"/>
      <c r="AK12" s="139"/>
      <c r="AL12" s="139"/>
      <c r="AM12" s="140"/>
      <c r="AO12" s="32"/>
      <c r="AP12" s="138"/>
      <c r="AQ12" s="139"/>
      <c r="AR12" s="139"/>
      <c r="AS12" s="139"/>
      <c r="AT12" s="140"/>
      <c r="AV12" s="32"/>
      <c r="AW12" s="138"/>
      <c r="AX12" s="139"/>
      <c r="AY12" s="139"/>
      <c r="AZ12" s="139"/>
      <c r="BA12" s="140"/>
      <c r="BC12" s="32"/>
      <c r="BD12" s="138"/>
      <c r="BE12" s="139"/>
      <c r="BF12" s="139"/>
      <c r="BG12" s="139"/>
      <c r="BH12" s="140"/>
      <c r="BJ12" s="32"/>
      <c r="BK12" s="138"/>
      <c r="BL12" s="139"/>
      <c r="BM12" s="139"/>
      <c r="BN12" s="139"/>
      <c r="BO12" s="140"/>
      <c r="BQ12" s="32"/>
      <c r="BR12" s="138"/>
      <c r="BS12" s="139"/>
      <c r="BT12" s="139"/>
      <c r="BU12" s="139"/>
      <c r="BV12" s="139"/>
      <c r="BX12" s="32"/>
      <c r="BY12" s="138"/>
      <c r="BZ12" s="139"/>
      <c r="CA12" s="139"/>
      <c r="CB12" s="139"/>
      <c r="CC12" s="140"/>
      <c r="CE12" s="32"/>
      <c r="CF12" s="138"/>
      <c r="CG12" s="139"/>
      <c r="CH12" s="139"/>
      <c r="CI12" s="139"/>
      <c r="CJ12" s="140"/>
      <c r="CL12" s="32"/>
      <c r="CM12" s="138"/>
      <c r="CN12" s="139"/>
      <c r="CO12" s="139"/>
      <c r="CP12" s="139"/>
      <c r="CQ12" s="139"/>
      <c r="CS12" s="32"/>
      <c r="CT12" s="138"/>
      <c r="CU12" s="139"/>
      <c r="CV12" s="139"/>
      <c r="CW12" s="139"/>
      <c r="CX12" s="140"/>
      <c r="CZ12" s="32"/>
      <c r="DA12" s="138"/>
      <c r="DB12" s="139"/>
      <c r="DC12" s="139"/>
      <c r="DD12" s="139"/>
      <c r="DE12" s="139"/>
      <c r="DG12" s="141"/>
    </row>
    <row r="13" ht="14.25" customHeight="1">
      <c r="A13" s="134" t="s">
        <v>244</v>
      </c>
      <c r="B13" s="3" t="s">
        <v>239</v>
      </c>
      <c r="C13" s="3" t="s">
        <v>30</v>
      </c>
      <c r="D13" s="135" t="s">
        <v>240</v>
      </c>
      <c r="E13" s="8">
        <v>6.0</v>
      </c>
      <c r="F13" s="183">
        <f t="shared" si="1"/>
        <v>2</v>
      </c>
      <c r="G13" s="136" t="s">
        <v>276</v>
      </c>
      <c r="H13" s="137">
        <v>15.8609668</v>
      </c>
      <c r="I13" s="137">
        <v>0.40540302</v>
      </c>
      <c r="J13" s="137">
        <v>8.76973698</v>
      </c>
      <c r="K13" s="120">
        <f t="shared" si="2"/>
        <v>39.12394831</v>
      </c>
      <c r="L13" s="121"/>
      <c r="M13" s="121">
        <v>-0.698</v>
      </c>
      <c r="N13" s="122"/>
      <c r="O13" s="120">
        <v>43.5</v>
      </c>
      <c r="P13" s="120">
        <v>23.20036238095238</v>
      </c>
      <c r="Q13" s="123">
        <v>14.918867747114577</v>
      </c>
      <c r="R13" s="120">
        <v>1.1428571428571428</v>
      </c>
      <c r="S13" s="120">
        <v>0.6430446000000002</v>
      </c>
      <c r="T13" s="120">
        <v>218.1214285714286</v>
      </c>
      <c r="U13" s="124">
        <v>18.2</v>
      </c>
      <c r="V13" s="8">
        <f t="shared" si="3"/>
        <v>11.98469388</v>
      </c>
      <c r="W13" s="142">
        <v>132.37421944272003</v>
      </c>
      <c r="X13" s="143">
        <v>14.300000000000002</v>
      </c>
      <c r="Y13" s="192">
        <v>540.1646</v>
      </c>
      <c r="Z13" s="188">
        <v>200.99</v>
      </c>
      <c r="AA13" s="120">
        <v>34.63010746561465</v>
      </c>
      <c r="AB13" s="186">
        <v>92.07278679481712</v>
      </c>
      <c r="AC13" s="195">
        <v>75.0</v>
      </c>
      <c r="AD13" s="195">
        <v>41.0</v>
      </c>
      <c r="AE13" s="120"/>
      <c r="AF13" s="124"/>
      <c r="AH13" s="32"/>
      <c r="AI13" s="138"/>
      <c r="AJ13" s="139"/>
      <c r="AK13" s="139"/>
      <c r="AL13" s="139"/>
      <c r="AM13" s="140"/>
      <c r="AO13" s="32"/>
      <c r="AP13" s="138"/>
      <c r="AQ13" s="139"/>
      <c r="AR13" s="139"/>
      <c r="AS13" s="139"/>
      <c r="AT13" s="140"/>
      <c r="AV13" s="32"/>
      <c r="AW13" s="138"/>
      <c r="AX13" s="139"/>
      <c r="AY13" s="139"/>
      <c r="AZ13" s="139"/>
      <c r="BA13" s="140"/>
      <c r="BC13" s="32"/>
      <c r="BD13" s="138"/>
      <c r="BE13" s="139"/>
      <c r="BF13" s="139"/>
      <c r="BG13" s="139"/>
      <c r="BH13" s="140"/>
      <c r="BJ13" s="32"/>
      <c r="BK13" s="138"/>
      <c r="BL13" s="139"/>
      <c r="BM13" s="139"/>
      <c r="BN13" s="139"/>
      <c r="BO13" s="140"/>
      <c r="BQ13" s="32"/>
      <c r="BR13" s="138"/>
      <c r="BS13" s="139"/>
      <c r="BT13" s="139"/>
      <c r="BU13" s="139"/>
      <c r="BV13" s="139"/>
      <c r="BX13" s="32"/>
      <c r="BY13" s="138"/>
      <c r="BZ13" s="139"/>
      <c r="CA13" s="139"/>
      <c r="CB13" s="139"/>
      <c r="CC13" s="140"/>
      <c r="CE13" s="32"/>
      <c r="CF13" s="138"/>
      <c r="CG13" s="139"/>
      <c r="CH13" s="139"/>
      <c r="CI13" s="139"/>
      <c r="CJ13" s="140"/>
      <c r="CL13" s="32"/>
      <c r="CM13" s="138"/>
      <c r="CN13" s="139"/>
      <c r="CO13" s="139"/>
      <c r="CP13" s="139"/>
      <c r="CQ13" s="139"/>
      <c r="CS13" s="32"/>
      <c r="CT13" s="138"/>
      <c r="CU13" s="139"/>
      <c r="CV13" s="139"/>
      <c r="CW13" s="139"/>
      <c r="CX13" s="140"/>
      <c r="CZ13" s="32"/>
      <c r="DA13" s="138"/>
      <c r="DB13" s="139"/>
      <c r="DC13" s="139"/>
      <c r="DD13" s="139"/>
      <c r="DE13" s="139"/>
      <c r="DG13" s="141"/>
    </row>
    <row r="14" ht="14.25" customHeight="1">
      <c r="A14" s="134" t="s">
        <v>249</v>
      </c>
      <c r="B14" s="3" t="s">
        <v>250</v>
      </c>
      <c r="C14" s="3" t="s">
        <v>42</v>
      </c>
      <c r="D14" s="3" t="s">
        <v>251</v>
      </c>
      <c r="E14" s="8">
        <v>1.0</v>
      </c>
      <c r="F14" s="183">
        <f t="shared" si="1"/>
        <v>3</v>
      </c>
      <c r="G14" s="136" t="s">
        <v>276</v>
      </c>
      <c r="H14" s="137">
        <v>20.1966515</v>
      </c>
      <c r="I14" s="137">
        <v>0.58449653</v>
      </c>
      <c r="J14" s="137">
        <v>5.63718984</v>
      </c>
      <c r="K14" s="120">
        <f t="shared" si="2"/>
        <v>34.55392883</v>
      </c>
      <c r="L14" s="121">
        <v>-0.21</v>
      </c>
      <c r="M14" s="121">
        <v>-0.64</v>
      </c>
      <c r="N14" s="122">
        <v>0.43</v>
      </c>
      <c r="O14" s="120">
        <v>37.6</v>
      </c>
      <c r="P14" s="120">
        <v>13.109743813953486</v>
      </c>
      <c r="Q14" s="123">
        <v>6.420743905746917</v>
      </c>
      <c r="R14" s="120">
        <v>1.2857142857142858</v>
      </c>
      <c r="S14" s="120">
        <v>0.48976883125000015</v>
      </c>
      <c r="T14" s="120">
        <v>198.96969696969697</v>
      </c>
      <c r="U14" s="124">
        <v>37.9</v>
      </c>
      <c r="V14" s="8">
        <f t="shared" si="3"/>
        <v>5.249860078</v>
      </c>
      <c r="W14" s="142">
        <v>120.61046206994324</v>
      </c>
      <c r="X14" s="143">
        <v>16.01666666666667</v>
      </c>
      <c r="Y14" s="194">
        <v>464.7208</v>
      </c>
      <c r="Z14" s="188">
        <v>263.1656</v>
      </c>
      <c r="AA14" s="120">
        <v>29.960050148241486</v>
      </c>
      <c r="AB14" s="186">
        <v>94.20766938032591</v>
      </c>
      <c r="AC14" s="120">
        <v>69.55767531230957</v>
      </c>
      <c r="AD14" s="186">
        <v>62.49566461411009</v>
      </c>
      <c r="AE14" s="120"/>
      <c r="AF14" s="124"/>
      <c r="AH14" s="32"/>
      <c r="AI14" s="138"/>
      <c r="AJ14" s="139"/>
      <c r="AK14" s="139"/>
      <c r="AL14" s="139"/>
      <c r="AM14" s="140"/>
      <c r="AO14" s="32"/>
      <c r="AP14" s="138"/>
      <c r="AQ14" s="139"/>
      <c r="AR14" s="139"/>
      <c r="AS14" s="139"/>
      <c r="AT14" s="140"/>
      <c r="AV14" s="32"/>
      <c r="AW14" s="138"/>
      <c r="AX14" s="139"/>
      <c r="AY14" s="139"/>
      <c r="AZ14" s="139"/>
      <c r="BA14" s="140"/>
      <c r="BC14" s="32"/>
      <c r="BD14" s="138"/>
      <c r="BE14" s="139"/>
      <c r="BF14" s="139"/>
      <c r="BG14" s="139"/>
      <c r="BH14" s="140"/>
      <c r="BJ14" s="32"/>
      <c r="BK14" s="138"/>
      <c r="BL14" s="139"/>
      <c r="BM14" s="139"/>
      <c r="BN14" s="139"/>
      <c r="BO14" s="140"/>
      <c r="BQ14" s="32"/>
      <c r="BR14" s="138"/>
      <c r="BS14" s="139"/>
      <c r="BT14" s="139"/>
      <c r="BU14" s="139"/>
      <c r="BV14" s="139"/>
      <c r="BX14" s="32"/>
      <c r="BY14" s="138"/>
      <c r="BZ14" s="139"/>
      <c r="CA14" s="139"/>
      <c r="CB14" s="139"/>
      <c r="CC14" s="140"/>
      <c r="CE14" s="32"/>
      <c r="CF14" s="138"/>
      <c r="CG14" s="139"/>
      <c r="CH14" s="139"/>
      <c r="CI14" s="139"/>
      <c r="CJ14" s="140"/>
      <c r="CL14" s="32"/>
      <c r="CM14" s="138"/>
      <c r="CN14" s="139"/>
      <c r="CO14" s="139"/>
      <c r="CP14" s="139"/>
      <c r="CQ14" s="139"/>
      <c r="CS14" s="32"/>
      <c r="CT14" s="138"/>
      <c r="CU14" s="139"/>
      <c r="CV14" s="139"/>
      <c r="CW14" s="139"/>
      <c r="CX14" s="140"/>
      <c r="CZ14" s="32"/>
      <c r="DA14" s="138"/>
      <c r="DB14" s="139"/>
      <c r="DC14" s="139"/>
      <c r="DD14" s="139"/>
      <c r="DE14" s="139"/>
      <c r="DG14" s="141"/>
    </row>
    <row r="15" ht="14.25" customHeight="1">
      <c r="A15" s="134" t="s">
        <v>249</v>
      </c>
      <c r="B15" s="3" t="s">
        <v>250</v>
      </c>
      <c r="C15" s="3" t="s">
        <v>42</v>
      </c>
      <c r="D15" s="3" t="s">
        <v>251</v>
      </c>
      <c r="E15" s="8">
        <v>2.0</v>
      </c>
      <c r="F15" s="183">
        <f t="shared" si="1"/>
        <v>3</v>
      </c>
      <c r="G15" s="136" t="s">
        <v>276</v>
      </c>
      <c r="H15" s="137">
        <v>14.6826354</v>
      </c>
      <c r="I15" s="137">
        <v>0.3597277</v>
      </c>
      <c r="J15" s="137">
        <v>5.52749232</v>
      </c>
      <c r="K15" s="120">
        <f t="shared" si="2"/>
        <v>40.81597108</v>
      </c>
      <c r="L15" s="121"/>
      <c r="M15" s="121">
        <v>-0.76</v>
      </c>
      <c r="N15" s="122"/>
      <c r="O15" s="120">
        <v>34.9</v>
      </c>
      <c r="P15" s="120">
        <v>9.69735494736842</v>
      </c>
      <c r="Q15" s="123">
        <v>4.51778111592128</v>
      </c>
      <c r="R15" s="120">
        <v>1.4285714285714286</v>
      </c>
      <c r="S15" s="120">
        <v>0.4658776687500001</v>
      </c>
      <c r="T15" s="120">
        <v>109.38571428571429</v>
      </c>
      <c r="U15" s="124">
        <v>24.9</v>
      </c>
      <c r="V15" s="8">
        <f t="shared" si="3"/>
        <v>4.393000574</v>
      </c>
      <c r="W15" s="142">
        <v>163.28264451408978</v>
      </c>
      <c r="X15" s="143">
        <v>28.049999999999997</v>
      </c>
      <c r="Y15" s="196">
        <v>515.2347</v>
      </c>
      <c r="Z15" s="188">
        <v>243.318</v>
      </c>
      <c r="AA15" s="120">
        <v>32.568443742778925</v>
      </c>
      <c r="AB15" s="186">
        <v>118.86466502783156</v>
      </c>
      <c r="AC15" s="120">
        <v>80.91098687358597</v>
      </c>
      <c r="AD15" s="186">
        <v>54.468698516884935</v>
      </c>
      <c r="AE15" s="120"/>
      <c r="AF15" s="124"/>
      <c r="AH15" s="32"/>
      <c r="AI15" s="138"/>
      <c r="AJ15" s="139"/>
      <c r="AK15" s="139"/>
      <c r="AL15" s="139"/>
      <c r="AM15" s="140"/>
      <c r="AO15" s="32"/>
      <c r="AP15" s="138"/>
      <c r="AQ15" s="139"/>
      <c r="AR15" s="139"/>
      <c r="AS15" s="139"/>
      <c r="AT15" s="140"/>
      <c r="AV15" s="32"/>
      <c r="AW15" s="138"/>
      <c r="AX15" s="139"/>
      <c r="AY15" s="139"/>
      <c r="AZ15" s="139"/>
      <c r="BA15" s="140"/>
      <c r="BC15" s="32"/>
      <c r="BD15" s="138"/>
      <c r="BE15" s="139"/>
      <c r="BF15" s="139"/>
      <c r="BG15" s="139"/>
      <c r="BH15" s="140"/>
      <c r="BJ15" s="32"/>
      <c r="BK15" s="138"/>
      <c r="BL15" s="139"/>
      <c r="BM15" s="139"/>
      <c r="BN15" s="139"/>
      <c r="BO15" s="140"/>
      <c r="BQ15" s="32"/>
      <c r="BR15" s="138"/>
      <c r="BS15" s="139"/>
      <c r="BT15" s="139"/>
      <c r="BU15" s="139"/>
      <c r="BV15" s="139"/>
      <c r="BX15" s="32"/>
      <c r="BY15" s="138"/>
      <c r="BZ15" s="139"/>
      <c r="CA15" s="139"/>
      <c r="CB15" s="139"/>
      <c r="CC15" s="140"/>
      <c r="CE15" s="32"/>
      <c r="CF15" s="138"/>
      <c r="CG15" s="139"/>
      <c r="CH15" s="139"/>
      <c r="CI15" s="139"/>
      <c r="CJ15" s="140"/>
      <c r="CL15" s="32"/>
      <c r="CM15" s="138"/>
      <c r="CN15" s="139"/>
      <c r="CO15" s="139"/>
      <c r="CP15" s="139"/>
      <c r="CQ15" s="139"/>
      <c r="CS15" s="32"/>
      <c r="CT15" s="138"/>
      <c r="CU15" s="139"/>
      <c r="CV15" s="139"/>
      <c r="CW15" s="139"/>
      <c r="CX15" s="140"/>
      <c r="CZ15" s="32"/>
      <c r="DA15" s="138"/>
      <c r="DB15" s="139"/>
      <c r="DC15" s="139"/>
      <c r="DD15" s="139"/>
      <c r="DE15" s="139"/>
      <c r="DG15" s="141"/>
    </row>
    <row r="16" ht="14.25" customHeight="1">
      <c r="A16" s="134" t="s">
        <v>249</v>
      </c>
      <c r="B16" s="3" t="s">
        <v>250</v>
      </c>
      <c r="C16" s="3" t="s">
        <v>42</v>
      </c>
      <c r="D16" s="3" t="s">
        <v>251</v>
      </c>
      <c r="E16" s="8">
        <v>3.0</v>
      </c>
      <c r="F16" s="183">
        <f t="shared" si="1"/>
        <v>3</v>
      </c>
      <c r="G16" s="136" t="s">
        <v>276</v>
      </c>
      <c r="H16" s="137">
        <v>18.5404211</v>
      </c>
      <c r="I16" s="137">
        <v>0.39998414</v>
      </c>
      <c r="J16" s="137">
        <v>8.49007544</v>
      </c>
      <c r="K16" s="120">
        <f t="shared" si="2"/>
        <v>46.35289064</v>
      </c>
      <c r="L16" s="121">
        <v>-0.192</v>
      </c>
      <c r="M16" s="121">
        <v>-0.58</v>
      </c>
      <c r="N16" s="122">
        <v>0.388</v>
      </c>
      <c r="O16" s="120">
        <v>33.7</v>
      </c>
      <c r="P16" s="120">
        <v>21.881637731958765</v>
      </c>
      <c r="Q16" s="123">
        <v>10.978333019227525</v>
      </c>
      <c r="R16" s="120">
        <v>1.2857142857142858</v>
      </c>
      <c r="S16" s="120">
        <v>0.5017144125</v>
      </c>
      <c r="T16" s="120">
        <v>187.38392857142856</v>
      </c>
      <c r="U16" s="124">
        <v>23.1</v>
      </c>
      <c r="V16" s="8">
        <f t="shared" si="3"/>
        <v>8.11185838</v>
      </c>
      <c r="W16" s="142">
        <v>98.23143226127274</v>
      </c>
      <c r="X16" s="143">
        <v>7.416666666666667</v>
      </c>
      <c r="Y16" s="184">
        <v>425.5497</v>
      </c>
      <c r="Z16" s="188">
        <v>317.6043</v>
      </c>
      <c r="AA16" s="120">
        <v>27.53573363432208</v>
      </c>
      <c r="AB16" s="186">
        <v>108.15228803802836</v>
      </c>
      <c r="AC16" s="120">
        <v>71.986912114804</v>
      </c>
      <c r="AD16" s="186">
        <v>55.47206927903808</v>
      </c>
      <c r="AE16" s="120"/>
      <c r="AF16" s="124"/>
      <c r="AH16" s="32"/>
      <c r="AI16" s="138"/>
      <c r="AJ16" s="139"/>
      <c r="AK16" s="139"/>
      <c r="AL16" s="139"/>
      <c r="AM16" s="140"/>
      <c r="AO16" s="32"/>
      <c r="AP16" s="138"/>
      <c r="AQ16" s="139"/>
      <c r="AR16" s="139"/>
      <c r="AS16" s="139"/>
      <c r="AT16" s="140"/>
      <c r="AV16" s="32"/>
      <c r="AW16" s="138"/>
      <c r="AX16" s="139"/>
      <c r="AY16" s="139"/>
      <c r="AZ16" s="139"/>
      <c r="BA16" s="140"/>
      <c r="BC16" s="32"/>
      <c r="BD16" s="138"/>
      <c r="BE16" s="139"/>
      <c r="BF16" s="139"/>
      <c r="BG16" s="139"/>
      <c r="BH16" s="140"/>
      <c r="BJ16" s="32"/>
      <c r="BK16" s="138"/>
      <c r="BL16" s="139"/>
      <c r="BM16" s="139"/>
      <c r="BN16" s="139"/>
      <c r="BO16" s="140"/>
      <c r="BQ16" s="32"/>
      <c r="BR16" s="138"/>
      <c r="BS16" s="139"/>
      <c r="BT16" s="139"/>
      <c r="BU16" s="139"/>
      <c r="BV16" s="139"/>
      <c r="BX16" s="32"/>
      <c r="BY16" s="138"/>
      <c r="BZ16" s="139"/>
      <c r="CA16" s="139"/>
      <c r="CB16" s="139"/>
      <c r="CC16" s="140"/>
      <c r="CE16" s="32"/>
      <c r="CF16" s="138"/>
      <c r="CG16" s="139"/>
      <c r="CH16" s="139"/>
      <c r="CI16" s="139"/>
      <c r="CJ16" s="140"/>
      <c r="CL16" s="32"/>
      <c r="CM16" s="138"/>
      <c r="CN16" s="139"/>
      <c r="CO16" s="139"/>
      <c r="CP16" s="139"/>
      <c r="CQ16" s="139"/>
      <c r="CS16" s="32"/>
      <c r="CT16" s="138"/>
      <c r="CU16" s="139"/>
      <c r="CV16" s="139"/>
      <c r="CW16" s="139"/>
      <c r="CX16" s="140"/>
      <c r="CZ16" s="32"/>
      <c r="DA16" s="138"/>
      <c r="DB16" s="139"/>
      <c r="DC16" s="139"/>
      <c r="DD16" s="139"/>
      <c r="DE16" s="139"/>
      <c r="DG16" s="141"/>
    </row>
    <row r="17" ht="14.25" customHeight="1">
      <c r="A17" s="134" t="s">
        <v>249</v>
      </c>
      <c r="B17" s="3" t="s">
        <v>250</v>
      </c>
      <c r="C17" s="3" t="s">
        <v>42</v>
      </c>
      <c r="D17" s="3" t="s">
        <v>251</v>
      </c>
      <c r="E17" s="8">
        <v>4.0</v>
      </c>
      <c r="F17" s="183">
        <f t="shared" si="1"/>
        <v>3</v>
      </c>
      <c r="G17" s="136" t="s">
        <v>276</v>
      </c>
      <c r="H17" s="137">
        <v>14.1710633</v>
      </c>
      <c r="I17" s="137">
        <v>0.39239797</v>
      </c>
      <c r="J17" s="137">
        <v>7.77030961</v>
      </c>
      <c r="K17" s="120">
        <f t="shared" si="2"/>
        <v>36.11400767</v>
      </c>
      <c r="L17" s="121"/>
      <c r="M17" s="121">
        <v>-0.752</v>
      </c>
      <c r="N17" s="122"/>
      <c r="O17" s="120">
        <v>38.0</v>
      </c>
      <c r="P17" s="120">
        <v>13.82617368327402</v>
      </c>
      <c r="Q17" s="123">
        <v>6.771628925516627</v>
      </c>
      <c r="R17" s="120">
        <v>1.0</v>
      </c>
      <c r="S17" s="120">
        <v>0.48976883125000015</v>
      </c>
      <c r="T17" s="120">
        <v>197.31063829787232</v>
      </c>
      <c r="U17" s="124">
        <v>25.3</v>
      </c>
      <c r="V17" s="8">
        <f t="shared" si="3"/>
        <v>7.798839458</v>
      </c>
      <c r="W17" s="151">
        <v>163.34111650356354</v>
      </c>
      <c r="X17" s="152">
        <v>18.083333333333332</v>
      </c>
      <c r="Y17" s="192">
        <v>531.6306</v>
      </c>
      <c r="Z17" s="197">
        <v>219.8433</v>
      </c>
      <c r="AA17" s="145">
        <v>27.351028086212448</v>
      </c>
      <c r="AB17" s="198">
        <v>170.32085474970688</v>
      </c>
      <c r="AC17" s="145">
        <v>92.38296818341968</v>
      </c>
      <c r="AD17" s="198">
        <v>39.13054539137438</v>
      </c>
      <c r="AE17" s="145"/>
      <c r="AF17" s="146"/>
      <c r="AH17" s="144"/>
      <c r="AI17" s="147"/>
      <c r="AJ17" s="148"/>
      <c r="AK17" s="148"/>
      <c r="AL17" s="148"/>
      <c r="AM17" s="149"/>
      <c r="AO17" s="144"/>
      <c r="AP17" s="147"/>
      <c r="AQ17" s="148"/>
      <c r="AR17" s="148"/>
      <c r="AS17" s="148"/>
      <c r="AT17" s="149"/>
      <c r="AV17" s="144"/>
      <c r="AW17" s="147"/>
      <c r="AX17" s="148"/>
      <c r="AY17" s="148"/>
      <c r="AZ17" s="148"/>
      <c r="BA17" s="149"/>
      <c r="BC17" s="144"/>
      <c r="BD17" s="147"/>
      <c r="BE17" s="148"/>
      <c r="BF17" s="148"/>
      <c r="BG17" s="148"/>
      <c r="BH17" s="149"/>
      <c r="BJ17" s="144"/>
      <c r="BK17" s="147"/>
      <c r="BL17" s="148"/>
      <c r="BM17" s="148"/>
      <c r="BN17" s="148"/>
      <c r="BO17" s="149"/>
      <c r="BQ17" s="144"/>
      <c r="BR17" s="147"/>
      <c r="BS17" s="148"/>
      <c r="BT17" s="148"/>
      <c r="BU17" s="148"/>
      <c r="BV17" s="148"/>
      <c r="BX17" s="144"/>
      <c r="BY17" s="147"/>
      <c r="BZ17" s="148"/>
      <c r="CA17" s="148"/>
      <c r="CB17" s="148"/>
      <c r="CC17" s="149"/>
      <c r="CE17" s="144"/>
      <c r="CF17" s="147"/>
      <c r="CG17" s="148"/>
      <c r="CH17" s="148"/>
      <c r="CI17" s="148"/>
      <c r="CJ17" s="149"/>
      <c r="CL17" s="144"/>
      <c r="CM17" s="147"/>
      <c r="CN17" s="148"/>
      <c r="CO17" s="148"/>
      <c r="CP17" s="148"/>
      <c r="CQ17" s="148"/>
      <c r="CS17" s="144"/>
      <c r="CT17" s="147"/>
      <c r="CU17" s="148"/>
      <c r="CV17" s="148"/>
      <c r="CW17" s="148"/>
      <c r="CX17" s="149"/>
      <c r="CZ17" s="144"/>
      <c r="DA17" s="147"/>
      <c r="DB17" s="148"/>
      <c r="DC17" s="148"/>
      <c r="DD17" s="148"/>
      <c r="DE17" s="148"/>
      <c r="DG17" s="150"/>
    </row>
    <row r="18" ht="14.25" customHeight="1">
      <c r="A18" s="134" t="s">
        <v>249</v>
      </c>
      <c r="B18" s="3" t="s">
        <v>250</v>
      </c>
      <c r="C18" s="3" t="s">
        <v>42</v>
      </c>
      <c r="D18" s="3" t="s">
        <v>251</v>
      </c>
      <c r="E18" s="8">
        <v>5.0</v>
      </c>
      <c r="F18" s="183">
        <f t="shared" si="1"/>
        <v>3</v>
      </c>
      <c r="G18" s="136" t="s">
        <v>276</v>
      </c>
      <c r="H18" s="137">
        <v>14.9808296</v>
      </c>
      <c r="I18" s="137">
        <v>0.35661942</v>
      </c>
      <c r="J18" s="137">
        <v>6.23483729</v>
      </c>
      <c r="K18" s="120">
        <f t="shared" si="2"/>
        <v>42.00789065</v>
      </c>
      <c r="L18" s="121">
        <v>-0.16</v>
      </c>
      <c r="M18" s="121">
        <v>-0.64</v>
      </c>
      <c r="N18" s="122">
        <v>0.48</v>
      </c>
      <c r="O18" s="120">
        <v>39.4</v>
      </c>
      <c r="P18" s="120">
        <v>12.989244354166667</v>
      </c>
      <c r="Q18" s="123">
        <v>7.758203690440086</v>
      </c>
      <c r="R18" s="120">
        <v>1.2857142857142858</v>
      </c>
      <c r="S18" s="120">
        <v>0.5972790625000002</v>
      </c>
      <c r="T18" s="120">
        <v>209.13777777777779</v>
      </c>
      <c r="U18" s="124">
        <v>42.3</v>
      </c>
      <c r="V18" s="8">
        <f t="shared" si="3"/>
        <v>4.944155503</v>
      </c>
      <c r="AE18" s="15"/>
      <c r="AF18" s="15"/>
    </row>
    <row r="19" ht="14.25" customHeight="1">
      <c r="A19" s="134" t="s">
        <v>249</v>
      </c>
      <c r="B19" s="3" t="s">
        <v>250</v>
      </c>
      <c r="C19" s="3" t="s">
        <v>42</v>
      </c>
      <c r="D19" s="3" t="s">
        <v>251</v>
      </c>
      <c r="E19" s="8">
        <v>6.0</v>
      </c>
      <c r="F19" s="183">
        <f t="shared" si="1"/>
        <v>3</v>
      </c>
      <c r="G19" s="136" t="s">
        <v>276</v>
      </c>
      <c r="H19" s="137">
        <v>15.8745206</v>
      </c>
      <c r="I19" s="137">
        <v>0.49800311</v>
      </c>
      <c r="J19" s="137">
        <v>10.2916835</v>
      </c>
      <c r="K19" s="120">
        <f t="shared" si="2"/>
        <v>31.87634832</v>
      </c>
      <c r="L19" s="121"/>
      <c r="M19" s="121">
        <v>-0.895</v>
      </c>
      <c r="N19" s="122"/>
      <c r="O19" s="120">
        <v>32.1</v>
      </c>
      <c r="P19" s="120">
        <v>14.598132624113473</v>
      </c>
      <c r="Q19" s="123">
        <v>8.196009429902293</v>
      </c>
      <c r="R19" s="120">
        <v>1.1428571428571428</v>
      </c>
      <c r="S19" s="120">
        <v>0.5614423187500002</v>
      </c>
      <c r="T19" s="120">
        <v>180.41052631578947</v>
      </c>
      <c r="U19" s="124">
        <v>42.6</v>
      </c>
      <c r="V19" s="8">
        <f t="shared" si="3"/>
        <v>4.234988881</v>
      </c>
      <c r="AE19" s="15"/>
      <c r="AF19" s="15"/>
      <c r="AP19" s="139"/>
    </row>
    <row r="20" ht="14.25" customHeight="1">
      <c r="A20" s="134" t="s">
        <v>256</v>
      </c>
      <c r="B20" s="3" t="s">
        <v>257</v>
      </c>
      <c r="C20" s="3" t="s">
        <v>242</v>
      </c>
      <c r="D20" s="135" t="s">
        <v>240</v>
      </c>
      <c r="E20" s="8">
        <v>1.0</v>
      </c>
      <c r="F20" s="183">
        <f t="shared" si="1"/>
        <v>4</v>
      </c>
      <c r="G20" s="136" t="s">
        <v>276</v>
      </c>
      <c r="H20" s="137">
        <v>15.7555532</v>
      </c>
      <c r="I20" s="137">
        <v>0.20042633</v>
      </c>
      <c r="J20" s="137">
        <v>3.34321008</v>
      </c>
      <c r="K20" s="120">
        <f t="shared" si="2"/>
        <v>78.61019657</v>
      </c>
      <c r="L20" s="121">
        <v>-0.32</v>
      </c>
      <c r="M20" s="121">
        <v>-0.816</v>
      </c>
      <c r="N20" s="122">
        <v>0.496</v>
      </c>
      <c r="O20" s="120">
        <v>44.7</v>
      </c>
      <c r="P20" s="120">
        <v>6.740342903225807</v>
      </c>
      <c r="Q20" s="123">
        <v>4.0553839266061935</v>
      </c>
      <c r="R20" s="120">
        <v>1.1428571428571428</v>
      </c>
      <c r="S20" s="120">
        <v>0.6016584</v>
      </c>
      <c r="T20" s="120">
        <v>196.4404761904762</v>
      </c>
      <c r="U20" s="124">
        <v>19.3</v>
      </c>
      <c r="V20" s="8">
        <f t="shared" si="3"/>
        <v>10.17826302</v>
      </c>
      <c r="AE20" s="15"/>
      <c r="AF20" s="15"/>
    </row>
    <row r="21" ht="14.25" customHeight="1">
      <c r="A21" s="134" t="s">
        <v>256</v>
      </c>
      <c r="B21" s="3" t="s">
        <v>257</v>
      </c>
      <c r="C21" s="3" t="s">
        <v>242</v>
      </c>
      <c r="D21" s="135" t="s">
        <v>240</v>
      </c>
      <c r="E21" s="8">
        <v>2.0</v>
      </c>
      <c r="F21" s="183">
        <f t="shared" si="1"/>
        <v>4</v>
      </c>
      <c r="G21" s="136" t="s">
        <v>276</v>
      </c>
      <c r="H21" s="137">
        <v>17.275853</v>
      </c>
      <c r="I21" s="137">
        <v>0.34559237</v>
      </c>
      <c r="J21" s="137">
        <v>5.4933009</v>
      </c>
      <c r="K21" s="120">
        <f t="shared" si="2"/>
        <v>49.98910422</v>
      </c>
      <c r="L21" s="121"/>
      <c r="M21" s="121">
        <v>-0.782</v>
      </c>
      <c r="N21" s="122"/>
      <c r="O21" s="120">
        <v>50.7</v>
      </c>
      <c r="P21" s="120">
        <v>12.153320575221239</v>
      </c>
      <c r="Q21" s="123">
        <v>6.441653672453895</v>
      </c>
      <c r="R21" s="120">
        <v>1.0</v>
      </c>
      <c r="S21" s="120">
        <v>0.5300324000000001</v>
      </c>
      <c r="T21" s="120">
        <v>140.91093750000002</v>
      </c>
      <c r="U21" s="124">
        <v>20.6</v>
      </c>
      <c r="V21" s="8">
        <f t="shared" si="3"/>
        <v>6.840336772</v>
      </c>
      <c r="AE21" s="15"/>
      <c r="AF21" s="15"/>
    </row>
    <row r="22" ht="14.25" customHeight="1">
      <c r="A22" s="134" t="s">
        <v>256</v>
      </c>
      <c r="B22" s="3" t="s">
        <v>257</v>
      </c>
      <c r="C22" s="3" t="s">
        <v>242</v>
      </c>
      <c r="D22" s="135" t="s">
        <v>240</v>
      </c>
      <c r="E22" s="8">
        <v>3.0</v>
      </c>
      <c r="F22" s="183">
        <f t="shared" si="1"/>
        <v>4</v>
      </c>
      <c r="G22" s="136" t="s">
        <v>276</v>
      </c>
      <c r="H22" s="137">
        <v>18.309206</v>
      </c>
      <c r="I22" s="137">
        <v>0.28971083</v>
      </c>
      <c r="J22" s="137">
        <v>6.96458498</v>
      </c>
      <c r="K22" s="120">
        <f t="shared" si="2"/>
        <v>63.19821044</v>
      </c>
      <c r="L22" s="121">
        <v>-0.34</v>
      </c>
      <c r="M22" s="121">
        <v>-0.75</v>
      </c>
      <c r="N22" s="122">
        <v>0.41</v>
      </c>
      <c r="O22" s="120">
        <v>50.9</v>
      </c>
      <c r="P22" s="120">
        <v>16.98679263414634</v>
      </c>
      <c r="Q22" s="123">
        <v>10.950264082920294</v>
      </c>
      <c r="R22" s="120">
        <v>1.1428571428571428</v>
      </c>
      <c r="S22" s="120">
        <v>0.644634</v>
      </c>
      <c r="T22" s="120">
        <v>151.02941176470586</v>
      </c>
      <c r="U22" s="124">
        <v>31.6</v>
      </c>
      <c r="V22" s="8">
        <f t="shared" si="3"/>
        <v>4.779411765</v>
      </c>
      <c r="AE22" s="15"/>
      <c r="AF22" s="15"/>
    </row>
    <row r="23" ht="14.25" customHeight="1">
      <c r="A23" s="134" t="s">
        <v>256</v>
      </c>
      <c r="B23" s="3" t="s">
        <v>257</v>
      </c>
      <c r="C23" s="3" t="s">
        <v>242</v>
      </c>
      <c r="D23" s="135" t="s">
        <v>240</v>
      </c>
      <c r="E23" s="8">
        <v>4.0</v>
      </c>
      <c r="F23" s="183">
        <f t="shared" si="1"/>
        <v>4</v>
      </c>
      <c r="G23" s="136" t="s">
        <v>276</v>
      </c>
      <c r="H23" s="137">
        <v>13.5749641</v>
      </c>
      <c r="I23" s="137">
        <v>0.18559198</v>
      </c>
      <c r="J23" s="137">
        <v>4.72114847</v>
      </c>
      <c r="K23" s="120">
        <f t="shared" si="2"/>
        <v>73.14413101</v>
      </c>
      <c r="L23" s="121"/>
      <c r="M23" s="121">
        <v>-0.82</v>
      </c>
      <c r="N23" s="122"/>
      <c r="O23" s="120">
        <v>46.2</v>
      </c>
      <c r="P23" s="120">
        <v>9.634996877551021</v>
      </c>
      <c r="Q23" s="123">
        <v>6.487093091703813</v>
      </c>
      <c r="R23" s="120">
        <v>1.2857142857142858</v>
      </c>
      <c r="S23" s="120">
        <v>0.6732844</v>
      </c>
      <c r="T23" s="120">
        <v>171.89090909090908</v>
      </c>
      <c r="U23" s="124">
        <v>45.5</v>
      </c>
      <c r="V23" s="8">
        <f t="shared" si="3"/>
        <v>3.777822178</v>
      </c>
      <c r="AE23" s="15"/>
      <c r="AF23" s="15"/>
    </row>
    <row r="24" ht="14.25" customHeight="1">
      <c r="A24" s="134" t="s">
        <v>256</v>
      </c>
      <c r="B24" s="3" t="s">
        <v>257</v>
      </c>
      <c r="C24" s="3" t="s">
        <v>242</v>
      </c>
      <c r="D24" s="135" t="s">
        <v>240</v>
      </c>
      <c r="E24" s="8">
        <v>5.0</v>
      </c>
      <c r="F24" s="183">
        <f t="shared" si="1"/>
        <v>4</v>
      </c>
      <c r="G24" s="136" t="s">
        <v>276</v>
      </c>
      <c r="H24" s="137">
        <v>18.1698227</v>
      </c>
      <c r="I24" s="137">
        <v>0.24343114</v>
      </c>
      <c r="J24" s="137">
        <v>4.71383888</v>
      </c>
      <c r="K24" s="120">
        <f t="shared" si="2"/>
        <v>74.64050285</v>
      </c>
      <c r="L24" s="121">
        <v>-0.33</v>
      </c>
      <c r="M24" s="121">
        <v>-0.818</v>
      </c>
      <c r="N24" s="122">
        <v>0.488</v>
      </c>
      <c r="O24" s="120">
        <v>44.7</v>
      </c>
      <c r="P24" s="120">
        <v>9.659505901639346</v>
      </c>
      <c r="Q24" s="123">
        <v>6.088471573455214</v>
      </c>
      <c r="R24" s="120">
        <v>1.2857142857142858</v>
      </c>
      <c r="S24" s="120">
        <v>0.6303088000000001</v>
      </c>
      <c r="T24" s="120">
        <v>166.53913043478263</v>
      </c>
      <c r="U24" s="124">
        <v>29.6</v>
      </c>
      <c r="V24" s="8">
        <f t="shared" si="3"/>
        <v>5.626321974</v>
      </c>
      <c r="AE24" s="15"/>
      <c r="AF24" s="15"/>
    </row>
    <row r="25" ht="14.25" customHeight="1">
      <c r="A25" s="134" t="s">
        <v>256</v>
      </c>
      <c r="B25" s="3" t="s">
        <v>257</v>
      </c>
      <c r="C25" s="3" t="s">
        <v>242</v>
      </c>
      <c r="D25" s="135" t="s">
        <v>240</v>
      </c>
      <c r="E25" s="8">
        <v>6.0</v>
      </c>
      <c r="F25" s="183">
        <f t="shared" si="1"/>
        <v>4</v>
      </c>
      <c r="G25" s="136" t="s">
        <v>276</v>
      </c>
      <c r="H25" s="137">
        <v>10.1582607</v>
      </c>
      <c r="I25" s="137">
        <v>0.22879652</v>
      </c>
      <c r="J25" s="137">
        <v>6.18713639</v>
      </c>
      <c r="K25" s="120">
        <f t="shared" si="2"/>
        <v>44.39866786</v>
      </c>
      <c r="L25" s="121"/>
      <c r="M25" s="121">
        <v>-0.645</v>
      </c>
      <c r="N25" s="122"/>
      <c r="O25" s="120">
        <v>39.8</v>
      </c>
      <c r="P25" s="120">
        <v>19.641702825396827</v>
      </c>
      <c r="Q25" s="123">
        <v>13.505823423089982</v>
      </c>
      <c r="R25" s="120">
        <v>1.1428571428571428</v>
      </c>
      <c r="S25" s="120">
        <v>0.6876096</v>
      </c>
      <c r="T25" s="120">
        <v>133.24615384615385</v>
      </c>
      <c r="U25" s="124">
        <v>21.6</v>
      </c>
      <c r="V25" s="8">
        <f t="shared" si="3"/>
        <v>6.168803419</v>
      </c>
      <c r="AE25" s="15"/>
      <c r="AF25" s="15"/>
    </row>
    <row r="26" ht="14.25" customHeight="1">
      <c r="A26" s="134" t="s">
        <v>249</v>
      </c>
      <c r="B26" s="3" t="s">
        <v>258</v>
      </c>
      <c r="C26" s="3" t="s">
        <v>65</v>
      </c>
      <c r="D26" s="3" t="s">
        <v>251</v>
      </c>
      <c r="E26" s="8">
        <v>1.0</v>
      </c>
      <c r="F26" s="183">
        <f t="shared" si="1"/>
        <v>5</v>
      </c>
      <c r="G26" s="136" t="s">
        <v>276</v>
      </c>
      <c r="H26" s="137">
        <v>18.7447471</v>
      </c>
      <c r="I26" s="137">
        <v>0.48509236</v>
      </c>
      <c r="J26" s="137">
        <v>5.70615139</v>
      </c>
      <c r="K26" s="120">
        <f t="shared" si="2"/>
        <v>38.64160446</v>
      </c>
      <c r="L26" s="121">
        <v>-0.227</v>
      </c>
      <c r="M26" s="121">
        <v>-0.769</v>
      </c>
      <c r="N26" s="122">
        <v>0.542</v>
      </c>
      <c r="O26" s="120">
        <v>33.4</v>
      </c>
      <c r="P26" s="120">
        <v>10.52795459409594</v>
      </c>
      <c r="Q26" s="123">
        <v>5.408407147737992</v>
      </c>
      <c r="R26" s="120">
        <v>1.1428571428571428</v>
      </c>
      <c r="S26" s="120">
        <v>0.5137186999999999</v>
      </c>
      <c r="T26" s="120">
        <v>173.45362318840577</v>
      </c>
      <c r="U26" s="124">
        <v>49.6</v>
      </c>
      <c r="V26" s="8">
        <f t="shared" si="3"/>
        <v>3.497048855</v>
      </c>
      <c r="AE26" s="15"/>
      <c r="AF26" s="15"/>
    </row>
    <row r="27" ht="14.25" customHeight="1">
      <c r="A27" s="134" t="s">
        <v>249</v>
      </c>
      <c r="B27" s="3" t="s">
        <v>258</v>
      </c>
      <c r="C27" s="3" t="s">
        <v>65</v>
      </c>
      <c r="D27" s="3" t="s">
        <v>251</v>
      </c>
      <c r="E27" s="8">
        <v>2.0</v>
      </c>
      <c r="F27" s="183">
        <f t="shared" si="1"/>
        <v>5</v>
      </c>
      <c r="G27" s="136" t="s">
        <v>276</v>
      </c>
      <c r="H27" s="137">
        <v>16.9528005</v>
      </c>
      <c r="I27" s="137">
        <v>0.49701899</v>
      </c>
      <c r="J27" s="137">
        <v>7.04817187</v>
      </c>
      <c r="K27" s="120">
        <f t="shared" si="2"/>
        <v>34.1089593</v>
      </c>
      <c r="L27" s="121"/>
      <c r="M27" s="121">
        <v>-0.815</v>
      </c>
      <c r="N27" s="122"/>
      <c r="O27" s="120">
        <v>38.9</v>
      </c>
      <c r="P27" s="120">
        <v>12.257690208695653</v>
      </c>
      <c r="Q27" s="123">
        <v>5.581435965489557</v>
      </c>
      <c r="R27" s="120">
        <v>1.2857142857142858</v>
      </c>
      <c r="S27" s="120">
        <v>0.45534157499999994</v>
      </c>
      <c r="T27" s="120">
        <v>135.07977528089887</v>
      </c>
      <c r="U27" s="124">
        <v>29.9</v>
      </c>
      <c r="V27" s="8">
        <f t="shared" si="3"/>
        <v>4.517718237</v>
      </c>
      <c r="AE27" s="15"/>
      <c r="AF27" s="15"/>
    </row>
    <row r="28" ht="14.25" customHeight="1">
      <c r="A28" s="134" t="s">
        <v>249</v>
      </c>
      <c r="B28" s="3" t="s">
        <v>258</v>
      </c>
      <c r="C28" s="3" t="s">
        <v>65</v>
      </c>
      <c r="D28" s="3" t="s">
        <v>251</v>
      </c>
      <c r="E28" s="8">
        <v>3.0</v>
      </c>
      <c r="F28" s="183">
        <f t="shared" si="1"/>
        <v>5</v>
      </c>
      <c r="G28" s="136" t="s">
        <v>276</v>
      </c>
      <c r="H28" s="137">
        <v>13.9388879</v>
      </c>
      <c r="I28" s="137">
        <v>0.26579555</v>
      </c>
      <c r="J28" s="137">
        <v>6.57176224</v>
      </c>
      <c r="K28" s="120">
        <f t="shared" si="2"/>
        <v>52.44214171</v>
      </c>
      <c r="L28" s="121">
        <v>-0.18</v>
      </c>
      <c r="M28" s="121">
        <v>-0.69</v>
      </c>
      <c r="N28" s="122">
        <v>0.51</v>
      </c>
      <c r="O28" s="120">
        <v>44.7</v>
      </c>
      <c r="P28" s="120">
        <v>12.885808313725489</v>
      </c>
      <c r="Q28" s="123">
        <v>7.823259003626478</v>
      </c>
      <c r="R28" s="120">
        <v>1.2857142857142858</v>
      </c>
      <c r="S28" s="120">
        <v>0.6071221</v>
      </c>
      <c r="T28" s="120">
        <v>223.5956989247312</v>
      </c>
      <c r="U28" s="124">
        <v>51.4</v>
      </c>
      <c r="V28" s="8">
        <f t="shared" si="3"/>
        <v>4.350110874</v>
      </c>
      <c r="AE28" s="15"/>
      <c r="AF28" s="15"/>
    </row>
    <row r="29" ht="14.25" customHeight="1">
      <c r="A29" s="134" t="s">
        <v>249</v>
      </c>
      <c r="B29" s="3" t="s">
        <v>258</v>
      </c>
      <c r="C29" s="3" t="s">
        <v>65</v>
      </c>
      <c r="D29" s="3" t="s">
        <v>251</v>
      </c>
      <c r="E29" s="8">
        <v>4.0</v>
      </c>
      <c r="F29" s="183">
        <f t="shared" si="1"/>
        <v>5</v>
      </c>
      <c r="G29" s="136" t="s">
        <v>276</v>
      </c>
      <c r="H29" s="137">
        <v>20.0759707</v>
      </c>
      <c r="I29" s="137">
        <v>0.4241963</v>
      </c>
      <c r="J29" s="137">
        <v>8.30329038</v>
      </c>
      <c r="K29" s="120">
        <f t="shared" si="2"/>
        <v>47.3270764</v>
      </c>
      <c r="L29" s="121"/>
      <c r="M29" s="121">
        <v>-0.651</v>
      </c>
      <c r="N29" s="122"/>
      <c r="O29" s="120">
        <v>39.6</v>
      </c>
      <c r="P29" s="120">
        <v>20.202652992700727</v>
      </c>
      <c r="Q29" s="123">
        <v>10.61435519177863</v>
      </c>
      <c r="R29" s="120">
        <v>1.0</v>
      </c>
      <c r="S29" s="120">
        <v>0.5253941249999999</v>
      </c>
      <c r="T29" s="120">
        <v>218.925</v>
      </c>
      <c r="U29" s="124">
        <v>30.9</v>
      </c>
      <c r="V29" s="8">
        <f t="shared" si="3"/>
        <v>7.084951456</v>
      </c>
      <c r="AE29" s="15"/>
      <c r="AF29" s="15"/>
    </row>
    <row r="30" ht="14.25" customHeight="1">
      <c r="A30" s="134" t="s">
        <v>249</v>
      </c>
      <c r="B30" s="3" t="s">
        <v>258</v>
      </c>
      <c r="C30" s="3" t="s">
        <v>65</v>
      </c>
      <c r="D30" s="3" t="s">
        <v>251</v>
      </c>
      <c r="E30" s="8">
        <v>5.0</v>
      </c>
      <c r="F30" s="183">
        <f t="shared" si="1"/>
        <v>5</v>
      </c>
      <c r="G30" s="136" t="s">
        <v>276</v>
      </c>
      <c r="H30" s="137">
        <v>17.3261376</v>
      </c>
      <c r="I30" s="137">
        <v>0.22457158</v>
      </c>
      <c r="J30" s="137">
        <v>4.35641608</v>
      </c>
      <c r="K30" s="120">
        <f t="shared" si="2"/>
        <v>77.15196019</v>
      </c>
      <c r="L30" s="121">
        <v>-0.309</v>
      </c>
      <c r="M30" s="121">
        <v>-0.85</v>
      </c>
      <c r="N30" s="122">
        <v>0.541</v>
      </c>
      <c r="O30" s="120">
        <v>41.8</v>
      </c>
      <c r="P30" s="120">
        <v>8.052525101663587</v>
      </c>
      <c r="Q30" s="123">
        <v>4.5127993384843474</v>
      </c>
      <c r="R30" s="120">
        <v>1.0</v>
      </c>
      <c r="S30" s="120">
        <v>0.5604203999999999</v>
      </c>
      <c r="T30" s="120">
        <v>157.40307692307692</v>
      </c>
      <c r="U30" s="124">
        <v>8.9</v>
      </c>
      <c r="V30" s="8">
        <f t="shared" si="3"/>
        <v>17.68573898</v>
      </c>
      <c r="AE30" s="15"/>
      <c r="AF30" s="15"/>
    </row>
    <row r="31" ht="14.25" customHeight="1">
      <c r="A31" s="134" t="s">
        <v>249</v>
      </c>
      <c r="B31" s="3" t="s">
        <v>258</v>
      </c>
      <c r="C31" s="3" t="s">
        <v>65</v>
      </c>
      <c r="D31" s="3" t="s">
        <v>251</v>
      </c>
      <c r="E31" s="8">
        <v>6.0</v>
      </c>
      <c r="F31" s="183">
        <f t="shared" si="1"/>
        <v>5</v>
      </c>
      <c r="G31" s="136" t="s">
        <v>276</v>
      </c>
      <c r="H31" s="137">
        <v>12.5825878</v>
      </c>
      <c r="I31" s="137">
        <v>0.5139801</v>
      </c>
      <c r="J31" s="137">
        <v>10.0061563</v>
      </c>
      <c r="K31" s="120">
        <f t="shared" si="2"/>
        <v>24.48069059</v>
      </c>
      <c r="L31" s="121"/>
      <c r="M31" s="121">
        <v>-0.833</v>
      </c>
      <c r="N31" s="122"/>
      <c r="O31" s="120">
        <v>38.8</v>
      </c>
      <c r="P31" s="120">
        <v>16.87378802698145</v>
      </c>
      <c r="Q31" s="123">
        <v>9.062397742446315</v>
      </c>
      <c r="R31" s="120">
        <v>1.1428571428571428</v>
      </c>
      <c r="S31" s="120">
        <v>0.5370695499999999</v>
      </c>
      <c r="T31" s="120">
        <v>187.20000000000002</v>
      </c>
      <c r="U31" s="124">
        <v>40.1</v>
      </c>
      <c r="V31" s="8">
        <f t="shared" si="3"/>
        <v>4.668329177</v>
      </c>
      <c r="AE31" s="15"/>
      <c r="AF31" s="15"/>
    </row>
    <row r="32" ht="14.25" customHeight="1">
      <c r="A32" s="134" t="s">
        <v>256</v>
      </c>
      <c r="B32" s="3" t="s">
        <v>239</v>
      </c>
      <c r="C32" s="3" t="s">
        <v>243</v>
      </c>
      <c r="D32" s="135" t="s">
        <v>240</v>
      </c>
      <c r="E32" s="8">
        <v>1.0</v>
      </c>
      <c r="F32" s="183">
        <f t="shared" si="1"/>
        <v>6</v>
      </c>
      <c r="G32" s="136" t="s">
        <v>276</v>
      </c>
      <c r="H32" s="137">
        <v>14.5305797</v>
      </c>
      <c r="I32" s="137">
        <v>0.22325678</v>
      </c>
      <c r="J32" s="137">
        <v>3.82578847</v>
      </c>
      <c r="K32" s="120">
        <f t="shared" si="2"/>
        <v>65.08460661</v>
      </c>
      <c r="L32" s="121">
        <v>-0.223</v>
      </c>
      <c r="M32" s="121">
        <v>-0.596</v>
      </c>
      <c r="N32" s="122">
        <v>0.373</v>
      </c>
      <c r="O32" s="120">
        <v>45.5</v>
      </c>
      <c r="P32" s="120">
        <v>10.256805549597855</v>
      </c>
      <c r="Q32" s="123">
        <v>6.595583421918935</v>
      </c>
      <c r="R32" s="120">
        <v>1.1428571428571428</v>
      </c>
      <c r="S32" s="120">
        <v>0.6430446000000002</v>
      </c>
      <c r="T32" s="120">
        <v>116.13333333333334</v>
      </c>
      <c r="U32" s="124">
        <v>9.9</v>
      </c>
      <c r="V32" s="8">
        <f t="shared" si="3"/>
        <v>11.73063973</v>
      </c>
      <c r="AE32" s="15"/>
      <c r="AF32" s="15"/>
    </row>
    <row r="33" ht="14.25" customHeight="1">
      <c r="A33" s="134" t="s">
        <v>256</v>
      </c>
      <c r="B33" s="3" t="s">
        <v>239</v>
      </c>
      <c r="C33" s="3" t="s">
        <v>243</v>
      </c>
      <c r="D33" s="135" t="s">
        <v>240</v>
      </c>
      <c r="E33" s="8">
        <v>2.0</v>
      </c>
      <c r="F33" s="183">
        <f t="shared" si="1"/>
        <v>6</v>
      </c>
      <c r="G33" s="136" t="s">
        <v>276</v>
      </c>
      <c r="H33" s="137">
        <v>14.6792687</v>
      </c>
      <c r="I33" s="137">
        <v>0.28213447</v>
      </c>
      <c r="J33" s="137">
        <v>5.04642954</v>
      </c>
      <c r="K33" s="120">
        <f t="shared" si="2"/>
        <v>52.02933445</v>
      </c>
      <c r="L33" s="121"/>
      <c r="M33" s="121">
        <v>-0.683</v>
      </c>
      <c r="N33" s="122"/>
      <c r="O33" s="120">
        <v>45.4</v>
      </c>
      <c r="P33" s="120">
        <v>11.65457168591224</v>
      </c>
      <c r="Q33" s="123">
        <v>7.835064360117797</v>
      </c>
      <c r="R33" s="120">
        <v>1.0</v>
      </c>
      <c r="S33" s="120">
        <v>0.6722739000000001</v>
      </c>
      <c r="T33" s="120">
        <v>154.77878787878788</v>
      </c>
      <c r="U33" s="124">
        <v>13.7</v>
      </c>
      <c r="V33" s="8">
        <f t="shared" si="3"/>
        <v>11.29772174</v>
      </c>
      <c r="AE33" s="15"/>
      <c r="AF33" s="15"/>
    </row>
    <row r="34" ht="14.25" customHeight="1">
      <c r="A34" s="134" t="s">
        <v>256</v>
      </c>
      <c r="B34" s="3" t="s">
        <v>239</v>
      </c>
      <c r="C34" s="3" t="s">
        <v>243</v>
      </c>
      <c r="D34" s="135" t="s">
        <v>240</v>
      </c>
      <c r="E34" s="8">
        <v>3.0</v>
      </c>
      <c r="F34" s="183">
        <f t="shared" si="1"/>
        <v>6</v>
      </c>
      <c r="G34" s="136" t="s">
        <v>276</v>
      </c>
      <c r="H34" s="137">
        <v>17.5696213</v>
      </c>
      <c r="I34" s="137">
        <v>0.23243984</v>
      </c>
      <c r="J34" s="137">
        <v>5.61121204</v>
      </c>
      <c r="K34" s="120">
        <f t="shared" si="2"/>
        <v>75.58782221</v>
      </c>
      <c r="L34" s="121">
        <v>-0.237</v>
      </c>
      <c r="M34" s="121">
        <v>-0.58</v>
      </c>
      <c r="N34" s="122">
        <v>0.343</v>
      </c>
      <c r="O34" s="120">
        <v>41.3</v>
      </c>
      <c r="P34" s="120">
        <v>16.359218775510204</v>
      </c>
      <c r="Q34" s="123">
        <v>9.80245452377792</v>
      </c>
      <c r="R34" s="120">
        <v>1.1428571428571428</v>
      </c>
      <c r="S34" s="120">
        <v>0.5992006500000001</v>
      </c>
      <c r="T34" s="120">
        <v>162.24590163934428</v>
      </c>
      <c r="U34" s="124">
        <v>28.2</v>
      </c>
      <c r="V34" s="8">
        <f t="shared" si="3"/>
        <v>5.753400767</v>
      </c>
      <c r="AE34" s="15"/>
      <c r="AF34" s="15"/>
    </row>
    <row r="35" ht="14.25" customHeight="1">
      <c r="A35" s="134" t="s">
        <v>256</v>
      </c>
      <c r="B35" s="3" t="s">
        <v>239</v>
      </c>
      <c r="C35" s="3" t="s">
        <v>243</v>
      </c>
      <c r="D35" s="135" t="s">
        <v>240</v>
      </c>
      <c r="E35" s="8">
        <v>4.0</v>
      </c>
      <c r="F35" s="183">
        <f t="shared" si="1"/>
        <v>6</v>
      </c>
      <c r="G35" s="136" t="s">
        <v>276</v>
      </c>
      <c r="H35" s="137">
        <v>13.4209625</v>
      </c>
      <c r="I35" s="137">
        <v>0.23167707</v>
      </c>
      <c r="J35" s="137">
        <v>6.08291624</v>
      </c>
      <c r="K35" s="120">
        <f t="shared" si="2"/>
        <v>57.92961082</v>
      </c>
      <c r="L35" s="121"/>
      <c r="M35" s="121">
        <v>-0.88</v>
      </c>
      <c r="N35" s="122"/>
      <c r="O35" s="120">
        <v>46.7</v>
      </c>
      <c r="P35" s="120">
        <v>9.655422603174603</v>
      </c>
      <c r="Q35" s="123">
        <v>5.926646121794401</v>
      </c>
      <c r="R35" s="120">
        <v>0.8571428571428571</v>
      </c>
      <c r="S35" s="120">
        <v>0.6138153000000001</v>
      </c>
      <c r="T35" s="120">
        <v>220.7327868852459</v>
      </c>
      <c r="U35" s="124">
        <v>16.9</v>
      </c>
      <c r="V35" s="8">
        <f t="shared" si="3"/>
        <v>13.06111165</v>
      </c>
      <c r="AE35" s="15"/>
      <c r="AF35" s="15"/>
    </row>
    <row r="36" ht="14.25" customHeight="1">
      <c r="A36" s="134" t="s">
        <v>256</v>
      </c>
      <c r="B36" s="3" t="s">
        <v>239</v>
      </c>
      <c r="C36" s="3" t="s">
        <v>243</v>
      </c>
      <c r="D36" s="135" t="s">
        <v>240</v>
      </c>
      <c r="E36" s="8">
        <v>5.0</v>
      </c>
      <c r="F36" s="183">
        <f t="shared" si="1"/>
        <v>6</v>
      </c>
      <c r="G36" s="136" t="s">
        <v>276</v>
      </c>
      <c r="H36" s="137">
        <v>15.5154325</v>
      </c>
      <c r="I36" s="137">
        <v>0.28226754</v>
      </c>
      <c r="J36" s="137">
        <v>5.0501249</v>
      </c>
      <c r="K36" s="120">
        <f t="shared" si="2"/>
        <v>54.9671156</v>
      </c>
      <c r="L36" s="121">
        <v>-0.285</v>
      </c>
      <c r="M36" s="121">
        <v>-0.801</v>
      </c>
      <c r="N36" s="122">
        <v>0.516</v>
      </c>
      <c r="O36" s="120">
        <v>42.4</v>
      </c>
      <c r="P36" s="120">
        <v>9.787063759689923</v>
      </c>
      <c r="Q36" s="123">
        <v>6.436553011899856</v>
      </c>
      <c r="R36" s="120">
        <v>0.5714285714285714</v>
      </c>
      <c r="S36" s="120">
        <v>0.6576592500000001</v>
      </c>
      <c r="T36" s="120">
        <v>159.1862068965517</v>
      </c>
      <c r="U36" s="124">
        <v>8.1</v>
      </c>
      <c r="V36" s="8">
        <f t="shared" si="3"/>
        <v>19.65261814</v>
      </c>
      <c r="AE36" s="15"/>
      <c r="AF36" s="15"/>
    </row>
    <row r="37" ht="14.25" customHeight="1">
      <c r="A37" s="134" t="s">
        <v>256</v>
      </c>
      <c r="B37" s="3" t="s">
        <v>239</v>
      </c>
      <c r="C37" s="3" t="s">
        <v>243</v>
      </c>
      <c r="D37" s="135" t="s">
        <v>240</v>
      </c>
      <c r="E37" s="8">
        <v>6.0</v>
      </c>
      <c r="F37" s="183">
        <f t="shared" si="1"/>
        <v>6</v>
      </c>
      <c r="G37" s="136" t="s">
        <v>276</v>
      </c>
      <c r="H37" s="137">
        <v>10.0488647</v>
      </c>
      <c r="I37" s="137">
        <v>0.16564571</v>
      </c>
      <c r="J37" s="137">
        <v>4.98791527</v>
      </c>
      <c r="K37" s="120">
        <f t="shared" si="2"/>
        <v>60.66480502</v>
      </c>
      <c r="L37" s="121"/>
      <c r="M37" s="121">
        <v>-0.678</v>
      </c>
      <c r="N37" s="122"/>
      <c r="O37" s="120">
        <v>48.5</v>
      </c>
      <c r="P37" s="120">
        <v>11.654007640186915</v>
      </c>
      <c r="Q37" s="123">
        <v>8.686281380691545</v>
      </c>
      <c r="R37" s="120">
        <v>1.2857142857142858</v>
      </c>
      <c r="S37" s="120">
        <v>0.7453471500000002</v>
      </c>
      <c r="T37" s="120">
        <v>154.88666666666666</v>
      </c>
      <c r="U37" s="124">
        <v>17.1</v>
      </c>
      <c r="V37" s="8">
        <f t="shared" si="3"/>
        <v>9.057699805</v>
      </c>
      <c r="AE37" s="15"/>
      <c r="AF37" s="15"/>
    </row>
    <row r="38" ht="14.25" customHeight="1">
      <c r="A38" s="134" t="s">
        <v>244</v>
      </c>
      <c r="B38" s="3" t="s">
        <v>258</v>
      </c>
      <c r="C38" s="3" t="s">
        <v>245</v>
      </c>
      <c r="D38" s="3" t="s">
        <v>251</v>
      </c>
      <c r="E38" s="8">
        <v>1.0</v>
      </c>
      <c r="F38" s="183">
        <f t="shared" si="1"/>
        <v>7</v>
      </c>
      <c r="G38" s="136" t="s">
        <v>276</v>
      </c>
      <c r="H38" s="137">
        <v>17.6000684</v>
      </c>
      <c r="I38" s="137">
        <v>0.33718944</v>
      </c>
      <c r="J38" s="137">
        <v>7.71678038</v>
      </c>
      <c r="K38" s="120">
        <f t="shared" si="2"/>
        <v>52.19638076</v>
      </c>
      <c r="L38" s="121">
        <v>-0.187</v>
      </c>
      <c r="M38" s="121">
        <v>-0.62</v>
      </c>
      <c r="N38" s="122">
        <v>0.433</v>
      </c>
      <c r="O38" s="120">
        <v>32.9</v>
      </c>
      <c r="P38" s="120">
        <v>17.821663695150118</v>
      </c>
      <c r="Q38" s="123">
        <v>10.195699394549454</v>
      </c>
      <c r="R38" s="120">
        <v>1.2857142857142858</v>
      </c>
      <c r="S38" s="120">
        <v>0.572095825</v>
      </c>
      <c r="T38" s="120">
        <v>148.22736842105263</v>
      </c>
      <c r="U38" s="124">
        <v>11.7</v>
      </c>
      <c r="V38" s="8">
        <f t="shared" si="3"/>
        <v>12.66900585</v>
      </c>
      <c r="AE38" s="15"/>
      <c r="AF38" s="15"/>
    </row>
    <row r="39" ht="14.25" customHeight="1">
      <c r="A39" s="134" t="s">
        <v>244</v>
      </c>
      <c r="B39" s="3" t="s">
        <v>258</v>
      </c>
      <c r="C39" s="3" t="s">
        <v>245</v>
      </c>
      <c r="D39" s="3" t="s">
        <v>251</v>
      </c>
      <c r="E39" s="8">
        <v>2.0</v>
      </c>
      <c r="F39" s="183">
        <f t="shared" si="1"/>
        <v>7</v>
      </c>
      <c r="G39" s="136" t="s">
        <v>276</v>
      </c>
      <c r="H39" s="137">
        <v>17.8536395</v>
      </c>
      <c r="I39" s="137">
        <v>0.39192177</v>
      </c>
      <c r="J39" s="137">
        <v>6.26048473</v>
      </c>
      <c r="K39" s="120">
        <f t="shared" si="2"/>
        <v>45.55408979</v>
      </c>
      <c r="L39" s="121"/>
      <c r="M39" s="121">
        <v>-0.75</v>
      </c>
      <c r="N39" s="122"/>
      <c r="O39" s="120">
        <v>41.6</v>
      </c>
      <c r="P39" s="120">
        <v>12.27546025490196</v>
      </c>
      <c r="Q39" s="123">
        <v>5.302884975223781</v>
      </c>
      <c r="R39" s="120">
        <v>0.8571428571428571</v>
      </c>
      <c r="S39" s="120">
        <v>0.4319907249999999</v>
      </c>
      <c r="T39" s="120">
        <v>175.93333333333337</v>
      </c>
      <c r="U39" s="124">
        <v>19.6</v>
      </c>
      <c r="V39" s="8">
        <f t="shared" si="3"/>
        <v>8.976190476</v>
      </c>
      <c r="AE39" s="15"/>
      <c r="AF39" s="15"/>
    </row>
    <row r="40" ht="14.25" customHeight="1">
      <c r="A40" s="134" t="s">
        <v>244</v>
      </c>
      <c r="B40" s="3" t="s">
        <v>258</v>
      </c>
      <c r="C40" s="3" t="s">
        <v>245</v>
      </c>
      <c r="D40" s="3" t="s">
        <v>251</v>
      </c>
      <c r="E40" s="8">
        <v>3.0</v>
      </c>
      <c r="F40" s="183">
        <f t="shared" si="1"/>
        <v>7</v>
      </c>
      <c r="G40" s="136" t="s">
        <v>276</v>
      </c>
      <c r="H40" s="137">
        <v>12.9116742</v>
      </c>
      <c r="I40" s="137">
        <v>0.33059404</v>
      </c>
      <c r="J40" s="137">
        <v>7.18677662</v>
      </c>
      <c r="K40" s="120">
        <f t="shared" si="2"/>
        <v>39.05597996</v>
      </c>
      <c r="L40" s="121">
        <v>-0.23</v>
      </c>
      <c r="M40" s="121">
        <v>-0.618</v>
      </c>
      <c r="N40" s="122">
        <v>0.388</v>
      </c>
      <c r="O40" s="120">
        <v>40.6</v>
      </c>
      <c r="P40" s="120">
        <v>18.522620154639174</v>
      </c>
      <c r="Q40" s="123">
        <v>11.02923258336788</v>
      </c>
      <c r="R40" s="120">
        <v>1.2857142857142858</v>
      </c>
      <c r="S40" s="120">
        <v>0.5954466749999999</v>
      </c>
      <c r="T40" s="120">
        <v>184.240625</v>
      </c>
      <c r="U40" s="124">
        <v>21.7</v>
      </c>
      <c r="V40" s="8">
        <f t="shared" si="3"/>
        <v>8.490351382</v>
      </c>
      <c r="AE40" s="15"/>
      <c r="AF40" s="15"/>
    </row>
    <row r="41" ht="14.25" customHeight="1">
      <c r="A41" s="134" t="s">
        <v>244</v>
      </c>
      <c r="B41" s="3" t="s">
        <v>258</v>
      </c>
      <c r="C41" s="3" t="s">
        <v>245</v>
      </c>
      <c r="D41" s="3" t="s">
        <v>251</v>
      </c>
      <c r="E41" s="8">
        <v>4.0</v>
      </c>
      <c r="F41" s="183">
        <f t="shared" si="1"/>
        <v>7</v>
      </c>
      <c r="G41" s="136" t="s">
        <v>276</v>
      </c>
      <c r="H41" s="137">
        <v>16.5406602</v>
      </c>
      <c r="I41" s="137">
        <v>0.41857814</v>
      </c>
      <c r="J41" s="137">
        <v>8.70184757</v>
      </c>
      <c r="K41" s="120">
        <f t="shared" si="2"/>
        <v>39.51630202</v>
      </c>
      <c r="L41" s="121"/>
      <c r="M41" s="121">
        <v>-0.68</v>
      </c>
      <c r="N41" s="122"/>
      <c r="O41" s="120">
        <v>38.6</v>
      </c>
      <c r="P41" s="120">
        <v>19.776926295454544</v>
      </c>
      <c r="Q41" s="123">
        <v>10.621584905882935</v>
      </c>
      <c r="R41" s="120">
        <v>1.2857142857142858</v>
      </c>
      <c r="S41" s="120">
        <v>0.5370695499999999</v>
      </c>
      <c r="T41" s="120">
        <v>193.60652173913041</v>
      </c>
      <c r="U41" s="124">
        <v>14.2</v>
      </c>
      <c r="V41" s="8">
        <f t="shared" si="3"/>
        <v>13.63426209</v>
      </c>
      <c r="AE41" s="15"/>
      <c r="AF41" s="15"/>
    </row>
    <row r="42" ht="14.25" customHeight="1">
      <c r="A42" s="134" t="s">
        <v>244</v>
      </c>
      <c r="B42" s="3" t="s">
        <v>258</v>
      </c>
      <c r="C42" s="3" t="s">
        <v>245</v>
      </c>
      <c r="D42" s="3" t="s">
        <v>251</v>
      </c>
      <c r="E42" s="8">
        <v>5.0</v>
      </c>
      <c r="F42" s="183">
        <f t="shared" si="1"/>
        <v>7</v>
      </c>
      <c r="G42" s="136" t="s">
        <v>276</v>
      </c>
      <c r="H42" s="137">
        <v>15.5249442</v>
      </c>
      <c r="I42" s="137">
        <v>0.33528179</v>
      </c>
      <c r="J42" s="137">
        <v>5.56475361</v>
      </c>
      <c r="K42" s="120">
        <f t="shared" si="2"/>
        <v>46.30416761</v>
      </c>
      <c r="L42" s="121">
        <v>-0.301</v>
      </c>
      <c r="M42" s="121">
        <v>-0.68</v>
      </c>
      <c r="N42" s="122">
        <v>0.379</v>
      </c>
      <c r="O42" s="120">
        <v>38.7</v>
      </c>
      <c r="P42" s="120">
        <v>14.682727203166225</v>
      </c>
      <c r="Q42" s="123">
        <v>6.342801969472999</v>
      </c>
      <c r="R42" s="120">
        <v>1.2857142857142858</v>
      </c>
      <c r="S42" s="120">
        <v>0.4319907249999999</v>
      </c>
      <c r="T42" s="120">
        <v>214.1642105263158</v>
      </c>
      <c r="U42" s="124">
        <v>19.2</v>
      </c>
      <c r="V42" s="8">
        <f t="shared" si="3"/>
        <v>11.15438596</v>
      </c>
      <c r="AE42" s="15"/>
      <c r="AF42" s="15"/>
    </row>
    <row r="43" ht="14.25" customHeight="1">
      <c r="A43" s="134" t="s">
        <v>244</v>
      </c>
      <c r="B43" s="3" t="s">
        <v>258</v>
      </c>
      <c r="C43" s="3" t="s">
        <v>245</v>
      </c>
      <c r="D43" s="3" t="s">
        <v>251</v>
      </c>
      <c r="E43" s="8">
        <v>6.0</v>
      </c>
      <c r="F43" s="183">
        <f t="shared" si="1"/>
        <v>7</v>
      </c>
      <c r="G43" s="136" t="s">
        <v>276</v>
      </c>
      <c r="H43" s="137">
        <v>14.1835959</v>
      </c>
      <c r="I43" s="137">
        <v>0.37527728</v>
      </c>
      <c r="J43" s="137">
        <v>8.66433942</v>
      </c>
      <c r="K43" s="120">
        <f t="shared" si="2"/>
        <v>37.79497629</v>
      </c>
      <c r="L43" s="121"/>
      <c r="M43" s="121">
        <v>-0.82</v>
      </c>
      <c r="N43" s="122"/>
      <c r="O43" s="120">
        <v>24.6</v>
      </c>
      <c r="P43" s="120">
        <v>14.93851624137931</v>
      </c>
      <c r="Q43" s="123">
        <v>7.674195143450264</v>
      </c>
      <c r="R43" s="120">
        <v>1.2857142857142858</v>
      </c>
      <c r="S43" s="120">
        <v>0.5137186999999999</v>
      </c>
      <c r="T43" s="120">
        <v>176.24032258064517</v>
      </c>
      <c r="U43" s="124">
        <v>15.1</v>
      </c>
      <c r="V43" s="8">
        <f t="shared" si="3"/>
        <v>11.67154454</v>
      </c>
      <c r="AE43" s="15"/>
      <c r="AF43" s="15"/>
    </row>
    <row r="44" ht="14.25" customHeight="1">
      <c r="A44" s="134" t="s">
        <v>256</v>
      </c>
      <c r="B44" s="3" t="s">
        <v>250</v>
      </c>
      <c r="C44" s="3" t="s">
        <v>94</v>
      </c>
      <c r="D44" s="3" t="s">
        <v>251</v>
      </c>
      <c r="E44" s="8">
        <v>1.0</v>
      </c>
      <c r="F44" s="183">
        <f t="shared" si="1"/>
        <v>8</v>
      </c>
      <c r="G44" s="136" t="s">
        <v>276</v>
      </c>
      <c r="H44" s="137">
        <v>19.2536725</v>
      </c>
      <c r="I44" s="137">
        <v>0.36084717</v>
      </c>
      <c r="J44" s="137">
        <v>8.55243651</v>
      </c>
      <c r="K44" s="120">
        <f t="shared" si="2"/>
        <v>53.35686158</v>
      </c>
      <c r="L44" s="121">
        <v>-0.26</v>
      </c>
      <c r="M44" s="121">
        <v>-0.518</v>
      </c>
      <c r="N44" s="122">
        <v>0.258</v>
      </c>
      <c r="O44" s="120">
        <v>39.4</v>
      </c>
      <c r="P44" s="120">
        <v>33.14897872093023</v>
      </c>
      <c r="Q44" s="123">
        <v>15.839352746615727</v>
      </c>
      <c r="R44" s="120">
        <v>1.2857142857142858</v>
      </c>
      <c r="S44" s="120">
        <v>0.4778232500000001</v>
      </c>
      <c r="T44" s="120">
        <v>250.68750000000003</v>
      </c>
      <c r="U44" s="124">
        <v>4.2</v>
      </c>
      <c r="V44" s="8">
        <f t="shared" si="3"/>
        <v>59.6875</v>
      </c>
      <c r="AE44" s="15"/>
      <c r="AF44" s="15"/>
    </row>
    <row r="45" ht="14.25" customHeight="1">
      <c r="A45" s="134" t="s">
        <v>256</v>
      </c>
      <c r="B45" s="3" t="s">
        <v>250</v>
      </c>
      <c r="C45" s="3" t="s">
        <v>94</v>
      </c>
      <c r="D45" s="3" t="s">
        <v>251</v>
      </c>
      <c r="E45" s="8">
        <v>2.0</v>
      </c>
      <c r="F45" s="183">
        <f t="shared" si="1"/>
        <v>8</v>
      </c>
      <c r="G45" s="136" t="s">
        <v>276</v>
      </c>
      <c r="H45" s="137">
        <v>13.9516933</v>
      </c>
      <c r="I45" s="137">
        <v>0.42304318</v>
      </c>
      <c r="J45" s="137">
        <v>6.68107737</v>
      </c>
      <c r="K45" s="120">
        <f t="shared" si="2"/>
        <v>32.97935993</v>
      </c>
      <c r="L45" s="121"/>
      <c r="M45" s="121">
        <v>-0.81</v>
      </c>
      <c r="N45" s="122"/>
      <c r="O45" s="120">
        <v>32.5</v>
      </c>
      <c r="P45" s="120">
        <v>12.372365499999999</v>
      </c>
      <c r="Q45" s="123">
        <v>4.581648017383354</v>
      </c>
      <c r="R45" s="120">
        <v>1.1428571428571428</v>
      </c>
      <c r="S45" s="120">
        <v>0.37031301875000006</v>
      </c>
      <c r="T45" s="120">
        <v>177.4898305084746</v>
      </c>
      <c r="U45" s="124">
        <v>9.5</v>
      </c>
      <c r="V45" s="8">
        <f t="shared" si="3"/>
        <v>18.68314005</v>
      </c>
      <c r="AE45" s="15"/>
      <c r="AF45" s="15"/>
    </row>
    <row r="46" ht="14.25" customHeight="1">
      <c r="A46" s="134" t="s">
        <v>256</v>
      </c>
      <c r="B46" s="3" t="s">
        <v>250</v>
      </c>
      <c r="C46" s="3" t="s">
        <v>94</v>
      </c>
      <c r="D46" s="3" t="s">
        <v>251</v>
      </c>
      <c r="E46" s="8">
        <v>3.0</v>
      </c>
      <c r="F46" s="183">
        <f t="shared" si="1"/>
        <v>8</v>
      </c>
      <c r="G46" s="136" t="s">
        <v>276</v>
      </c>
      <c r="H46" s="137">
        <v>10.7218318</v>
      </c>
      <c r="I46" s="137">
        <v>0.1685224</v>
      </c>
      <c r="J46" s="137">
        <v>4.68410914</v>
      </c>
      <c r="K46" s="120">
        <f t="shared" si="2"/>
        <v>63.62259142</v>
      </c>
      <c r="L46" s="121">
        <v>-0.195</v>
      </c>
      <c r="M46" s="121">
        <v>-0.757</v>
      </c>
      <c r="N46" s="122">
        <v>0.562</v>
      </c>
      <c r="O46" s="120">
        <v>41.6</v>
      </c>
      <c r="P46" s="120">
        <v>8.334713772241992</v>
      </c>
      <c r="Q46" s="123">
        <v>4.480335025281483</v>
      </c>
      <c r="R46" s="120">
        <v>1.1428571428571428</v>
      </c>
      <c r="S46" s="120">
        <v>0.53755115625</v>
      </c>
      <c r="T46" s="120">
        <v>224.01904761904763</v>
      </c>
      <c r="U46" s="124">
        <v>10.9</v>
      </c>
      <c r="V46" s="8">
        <f t="shared" si="3"/>
        <v>20.5522062</v>
      </c>
      <c r="AE46" s="15"/>
      <c r="AF46" s="15"/>
    </row>
    <row r="47" ht="14.25" customHeight="1">
      <c r="A47" s="134" t="s">
        <v>256</v>
      </c>
      <c r="B47" s="3" t="s">
        <v>250</v>
      </c>
      <c r="C47" s="3" t="s">
        <v>94</v>
      </c>
      <c r="D47" s="3" t="s">
        <v>251</v>
      </c>
      <c r="E47" s="8">
        <v>4.0</v>
      </c>
      <c r="F47" s="183">
        <f t="shared" si="1"/>
        <v>8</v>
      </c>
      <c r="G47" s="136" t="s">
        <v>276</v>
      </c>
      <c r="H47" s="137">
        <v>16.0742927</v>
      </c>
      <c r="I47" s="137">
        <v>0.48364578</v>
      </c>
      <c r="J47" s="137">
        <v>9.29330958</v>
      </c>
      <c r="K47" s="120">
        <f t="shared" si="2"/>
        <v>33.2356724</v>
      </c>
      <c r="L47" s="121"/>
      <c r="M47" s="121">
        <v>-0.76</v>
      </c>
      <c r="N47" s="122"/>
      <c r="O47" s="120">
        <v>42.6</v>
      </c>
      <c r="P47" s="120">
        <v>18.96593791836735</v>
      </c>
      <c r="Q47" s="123">
        <v>10.4217210097704</v>
      </c>
      <c r="R47" s="120">
        <v>1.0</v>
      </c>
      <c r="S47" s="120">
        <v>0.5494967375</v>
      </c>
      <c r="T47" s="120">
        <v>200.28372093023256</v>
      </c>
      <c r="U47" s="124">
        <v>75.6</v>
      </c>
      <c r="V47" s="8">
        <f t="shared" si="3"/>
        <v>2.649255568</v>
      </c>
      <c r="AE47" s="15"/>
      <c r="AF47" s="15"/>
    </row>
    <row r="48" ht="14.25" customHeight="1">
      <c r="A48" s="134" t="s">
        <v>256</v>
      </c>
      <c r="B48" s="3" t="s">
        <v>250</v>
      </c>
      <c r="C48" s="3" t="s">
        <v>94</v>
      </c>
      <c r="D48" s="3" t="s">
        <v>251</v>
      </c>
      <c r="E48" s="8">
        <v>5.0</v>
      </c>
      <c r="F48" s="183">
        <f t="shared" si="1"/>
        <v>8</v>
      </c>
      <c r="G48" s="136" t="s">
        <v>276</v>
      </c>
      <c r="H48" s="137">
        <v>13.2629163</v>
      </c>
      <c r="I48" s="137">
        <v>0.12954565</v>
      </c>
      <c r="J48" s="137">
        <v>3.47449148</v>
      </c>
      <c r="K48" s="120">
        <f t="shared" si="2"/>
        <v>102.3802521</v>
      </c>
      <c r="L48" s="121">
        <v>-0.34</v>
      </c>
      <c r="M48" s="121">
        <v>-0.62</v>
      </c>
      <c r="N48" s="122">
        <v>0.28</v>
      </c>
      <c r="O48" s="120">
        <v>44.5</v>
      </c>
      <c r="P48" s="120">
        <v>12.408898142857145</v>
      </c>
      <c r="Q48" s="123">
        <v>5.781028538550492</v>
      </c>
      <c r="R48" s="120">
        <v>1.2857142857142858</v>
      </c>
      <c r="S48" s="120">
        <v>0.4658776687500001</v>
      </c>
      <c r="T48" s="120">
        <v>189.68837209302325</v>
      </c>
      <c r="U48" s="124">
        <v>16.1</v>
      </c>
      <c r="V48" s="8">
        <f t="shared" si="3"/>
        <v>11.78188647</v>
      </c>
      <c r="AE48" s="15"/>
      <c r="AF48" s="15"/>
    </row>
    <row r="49" ht="14.25" customHeight="1">
      <c r="A49" s="134" t="s">
        <v>256</v>
      </c>
      <c r="B49" s="3" t="s">
        <v>250</v>
      </c>
      <c r="C49" s="3" t="s">
        <v>94</v>
      </c>
      <c r="D49" s="3" t="s">
        <v>251</v>
      </c>
      <c r="E49" s="8">
        <v>6.0</v>
      </c>
      <c r="F49" s="183">
        <f t="shared" si="1"/>
        <v>8</v>
      </c>
      <c r="G49" s="136" t="s">
        <v>276</v>
      </c>
      <c r="H49" s="137">
        <v>11.9991186</v>
      </c>
      <c r="I49" s="137">
        <v>0.28582579</v>
      </c>
      <c r="J49" s="137">
        <v>7.4804184</v>
      </c>
      <c r="K49" s="120">
        <f t="shared" si="2"/>
        <v>41.98053157</v>
      </c>
      <c r="L49" s="121"/>
      <c r="M49" s="121">
        <v>-0.67</v>
      </c>
      <c r="N49" s="122"/>
      <c r="O49" s="120">
        <v>37.0</v>
      </c>
      <c r="P49" s="120">
        <v>18.701045999999998</v>
      </c>
      <c r="Q49" s="123">
        <v>11.393138087102363</v>
      </c>
      <c r="R49" s="120">
        <v>1.2857142857142858</v>
      </c>
      <c r="S49" s="120">
        <v>0.6092246437500001</v>
      </c>
      <c r="T49" s="120">
        <v>264.32000000000005</v>
      </c>
      <c r="U49" s="124">
        <v>3.8</v>
      </c>
      <c r="V49" s="8">
        <f t="shared" si="3"/>
        <v>69.55789474</v>
      </c>
      <c r="AE49" s="15"/>
      <c r="AF49" s="15"/>
    </row>
    <row r="50" ht="14.25" customHeight="1">
      <c r="A50" s="134" t="s">
        <v>249</v>
      </c>
      <c r="B50" s="3" t="s">
        <v>239</v>
      </c>
      <c r="C50" s="3" t="s">
        <v>101</v>
      </c>
      <c r="D50" s="135" t="s">
        <v>240</v>
      </c>
      <c r="E50" s="8">
        <v>1.0</v>
      </c>
      <c r="F50" s="183">
        <f t="shared" si="1"/>
        <v>9</v>
      </c>
      <c r="G50" s="136" t="s">
        <v>276</v>
      </c>
      <c r="H50" s="137">
        <v>13.2602629</v>
      </c>
      <c r="I50" s="137">
        <v>0.23212269</v>
      </c>
      <c r="J50" s="137">
        <v>6.44042319</v>
      </c>
      <c r="K50" s="120">
        <f t="shared" si="2"/>
        <v>57.12609526</v>
      </c>
      <c r="L50" s="121">
        <v>-0.195</v>
      </c>
      <c r="M50" s="121">
        <v>-0.62</v>
      </c>
      <c r="N50" s="122">
        <v>0.425</v>
      </c>
      <c r="O50" s="120">
        <v>42.2</v>
      </c>
      <c r="P50" s="120">
        <v>15.153936917647059</v>
      </c>
      <c r="Q50" s="123">
        <v>9.523187819460096</v>
      </c>
      <c r="R50" s="120">
        <v>0.5714285714285714</v>
      </c>
      <c r="S50" s="120">
        <v>0.6284299500000001</v>
      </c>
      <c r="T50" s="120">
        <v>84.61764705882352</v>
      </c>
      <c r="U50" s="124">
        <v>15.5</v>
      </c>
      <c r="V50" s="8">
        <f t="shared" si="3"/>
        <v>5.459203036</v>
      </c>
      <c r="AE50" s="15"/>
      <c r="AF50" s="15"/>
    </row>
    <row r="51" ht="14.25" customHeight="1">
      <c r="A51" s="134" t="s">
        <v>249</v>
      </c>
      <c r="B51" s="3" t="s">
        <v>239</v>
      </c>
      <c r="C51" s="3" t="s">
        <v>101</v>
      </c>
      <c r="D51" s="135" t="s">
        <v>240</v>
      </c>
      <c r="E51" s="8">
        <v>2.0</v>
      </c>
      <c r="F51" s="183">
        <f t="shared" si="1"/>
        <v>9</v>
      </c>
      <c r="G51" s="136" t="s">
        <v>276</v>
      </c>
      <c r="H51" s="137">
        <v>14.3290593</v>
      </c>
      <c r="I51" s="137">
        <v>0.29891624</v>
      </c>
      <c r="J51" s="137">
        <v>5.69488922</v>
      </c>
      <c r="K51" s="120">
        <f t="shared" si="2"/>
        <v>47.93670394</v>
      </c>
      <c r="L51" s="121"/>
      <c r="M51" s="121">
        <v>-0.77</v>
      </c>
      <c r="N51" s="122"/>
      <c r="O51" s="120">
        <v>39.4</v>
      </c>
      <c r="P51" s="120">
        <v>12.116785574468086</v>
      </c>
      <c r="Q51" s="123">
        <v>6.552055470948301</v>
      </c>
      <c r="R51" s="120">
        <v>1.0</v>
      </c>
      <c r="S51" s="120">
        <v>0.5407420500000001</v>
      </c>
      <c r="T51" s="120">
        <v>101.9025</v>
      </c>
      <c r="U51" s="124">
        <v>21.9</v>
      </c>
      <c r="V51" s="8">
        <f t="shared" si="3"/>
        <v>4.653082192</v>
      </c>
      <c r="AE51" s="15"/>
      <c r="AF51" s="15"/>
    </row>
    <row r="52" ht="14.25" customHeight="1">
      <c r="A52" s="134" t="s">
        <v>249</v>
      </c>
      <c r="B52" s="3" t="s">
        <v>239</v>
      </c>
      <c r="C52" s="3" t="s">
        <v>101</v>
      </c>
      <c r="D52" s="135" t="s">
        <v>240</v>
      </c>
      <c r="E52" s="8">
        <v>3.0</v>
      </c>
      <c r="F52" s="183">
        <f t="shared" si="1"/>
        <v>9</v>
      </c>
      <c r="G52" s="136" t="s">
        <v>276</v>
      </c>
      <c r="H52" s="137">
        <v>14.8178403</v>
      </c>
      <c r="I52" s="137">
        <v>0.2596326</v>
      </c>
      <c r="J52" s="137">
        <v>6.27703179</v>
      </c>
      <c r="K52" s="120">
        <f t="shared" si="2"/>
        <v>57.07234107</v>
      </c>
      <c r="L52" s="121">
        <v>-0.33</v>
      </c>
      <c r="M52" s="121">
        <v>-0.68</v>
      </c>
      <c r="N52" s="122">
        <v>0.35</v>
      </c>
      <c r="O52" s="120">
        <v>43.0</v>
      </c>
      <c r="P52" s="120">
        <v>17.93437654285714</v>
      </c>
      <c r="Q52" s="123">
        <v>10.746290081824753</v>
      </c>
      <c r="R52" s="120">
        <v>1.2857142857142858</v>
      </c>
      <c r="S52" s="120">
        <v>0.5992006500000001</v>
      </c>
      <c r="T52" s="120">
        <v>171.02162162162162</v>
      </c>
      <c r="U52" s="124">
        <v>38.5</v>
      </c>
      <c r="V52" s="8">
        <f t="shared" si="3"/>
        <v>4.442120042</v>
      </c>
      <c r="AE52" s="15"/>
      <c r="AF52" s="15"/>
    </row>
    <row r="53" ht="14.25" customHeight="1">
      <c r="A53" s="134" t="s">
        <v>249</v>
      </c>
      <c r="B53" s="3" t="s">
        <v>239</v>
      </c>
      <c r="C53" s="3" t="s">
        <v>101</v>
      </c>
      <c r="D53" s="135" t="s">
        <v>240</v>
      </c>
      <c r="E53" s="8">
        <v>4.0</v>
      </c>
      <c r="F53" s="183">
        <f t="shared" si="1"/>
        <v>9</v>
      </c>
      <c r="G53" s="136" t="s">
        <v>276</v>
      </c>
      <c r="H53" s="137">
        <v>15.2458999</v>
      </c>
      <c r="I53" s="137">
        <v>0.3315466</v>
      </c>
      <c r="J53" s="137">
        <v>7.35314894</v>
      </c>
      <c r="K53" s="120">
        <f t="shared" si="2"/>
        <v>45.98418412</v>
      </c>
      <c r="L53" s="121"/>
      <c r="M53" s="121">
        <v>-0.83</v>
      </c>
      <c r="N53" s="122"/>
      <c r="O53" s="120">
        <v>41.2</v>
      </c>
      <c r="P53" s="120">
        <v>13.873865924528301</v>
      </c>
      <c r="Q53" s="123">
        <v>8.515991174624117</v>
      </c>
      <c r="R53" s="120">
        <v>0.8571428571428571</v>
      </c>
      <c r="S53" s="120">
        <v>0.6138153000000001</v>
      </c>
      <c r="T53" s="120">
        <v>143.0950819672131</v>
      </c>
      <c r="U53" s="124">
        <v>53.7</v>
      </c>
      <c r="V53" s="8">
        <f t="shared" si="3"/>
        <v>2.664712886</v>
      </c>
      <c r="AE53" s="15"/>
      <c r="AF53" s="15"/>
    </row>
    <row r="54" ht="14.25" customHeight="1">
      <c r="A54" s="134" t="s">
        <v>249</v>
      </c>
      <c r="B54" s="3" t="s">
        <v>239</v>
      </c>
      <c r="C54" s="3" t="s">
        <v>101</v>
      </c>
      <c r="D54" s="135" t="s">
        <v>240</v>
      </c>
      <c r="E54" s="8">
        <v>5.0</v>
      </c>
      <c r="F54" s="183">
        <f t="shared" si="1"/>
        <v>9</v>
      </c>
      <c r="G54" s="136" t="s">
        <v>276</v>
      </c>
      <c r="H54" s="137">
        <v>14.8843182</v>
      </c>
      <c r="I54" s="137">
        <v>0.24990946</v>
      </c>
      <c r="J54" s="137">
        <v>4.28259533</v>
      </c>
      <c r="K54" s="120">
        <f t="shared" si="2"/>
        <v>59.55884263</v>
      </c>
      <c r="L54" s="121">
        <v>-0.36</v>
      </c>
      <c r="M54" s="121">
        <v>-0.538</v>
      </c>
      <c r="N54" s="122">
        <v>0.178</v>
      </c>
      <c r="O54" s="120">
        <v>36.0</v>
      </c>
      <c r="P54" s="120">
        <v>24.05952432584269</v>
      </c>
      <c r="Q54" s="123">
        <v>18.63594094099988</v>
      </c>
      <c r="R54" s="120">
        <v>1.1428571428571428</v>
      </c>
      <c r="S54" s="120">
        <v>0.7745764500000002</v>
      </c>
      <c r="T54" s="120">
        <v>117.72388059701494</v>
      </c>
      <c r="U54" s="124">
        <v>26.7</v>
      </c>
      <c r="V54" s="8">
        <f t="shared" si="3"/>
        <v>4.409134105</v>
      </c>
      <c r="AE54" s="15"/>
      <c r="AF54" s="15"/>
    </row>
    <row r="55" ht="14.25" customHeight="1">
      <c r="A55" s="134" t="s">
        <v>249</v>
      </c>
      <c r="B55" s="3" t="s">
        <v>239</v>
      </c>
      <c r="C55" s="3" t="s">
        <v>101</v>
      </c>
      <c r="D55" s="135" t="s">
        <v>240</v>
      </c>
      <c r="E55" s="8">
        <v>6.0</v>
      </c>
      <c r="F55" s="183">
        <f t="shared" si="1"/>
        <v>9</v>
      </c>
      <c r="G55" s="136" t="s">
        <v>276</v>
      </c>
      <c r="H55" s="137">
        <v>14.4219293</v>
      </c>
      <c r="I55" s="137">
        <v>0.26275676</v>
      </c>
      <c r="J55" s="137">
        <v>6.93914043</v>
      </c>
      <c r="K55" s="120">
        <f t="shared" si="2"/>
        <v>54.88699625</v>
      </c>
      <c r="L55" s="121"/>
      <c r="M55" s="121">
        <v>-0.763</v>
      </c>
      <c r="N55" s="122"/>
      <c r="O55" s="120">
        <v>40.7</v>
      </c>
      <c r="P55" s="120">
        <v>14.9873443412527</v>
      </c>
      <c r="Q55" s="123">
        <v>10.513670014890662</v>
      </c>
      <c r="R55" s="120">
        <v>1.2857142857142858</v>
      </c>
      <c r="S55" s="120">
        <v>0.7015032000000001</v>
      </c>
      <c r="T55" s="120">
        <v>197.14754098360658</v>
      </c>
      <c r="U55" s="124">
        <v>15.6</v>
      </c>
      <c r="V55" s="8">
        <f t="shared" si="3"/>
        <v>12.63766288</v>
      </c>
      <c r="AE55" s="15"/>
      <c r="AF55" s="15"/>
    </row>
    <row r="56" ht="14.25" customHeight="1">
      <c r="A56" s="134" t="s">
        <v>256</v>
      </c>
      <c r="B56" s="3" t="s">
        <v>258</v>
      </c>
      <c r="C56" s="3" t="s">
        <v>246</v>
      </c>
      <c r="D56" s="3" t="s">
        <v>251</v>
      </c>
      <c r="E56" s="8">
        <v>1.0</v>
      </c>
      <c r="F56" s="183">
        <f t="shared" si="1"/>
        <v>10</v>
      </c>
      <c r="G56" s="136" t="s">
        <v>276</v>
      </c>
      <c r="H56" s="137">
        <v>17.6120782</v>
      </c>
      <c r="I56" s="137">
        <v>0.40445458</v>
      </c>
      <c r="J56" s="137">
        <v>8.66564663</v>
      </c>
      <c r="K56" s="120">
        <f t="shared" si="2"/>
        <v>43.54525593</v>
      </c>
      <c r="L56" s="121">
        <v>-0.278</v>
      </c>
      <c r="M56" s="121">
        <v>-0.59</v>
      </c>
      <c r="N56" s="122">
        <v>0.312</v>
      </c>
      <c r="O56" s="120">
        <v>37.8</v>
      </c>
      <c r="P56" s="120">
        <v>27.774508429487184</v>
      </c>
      <c r="Q56" s="123">
        <v>11.349771652812088</v>
      </c>
      <c r="R56" s="120">
        <v>1.4285714285714286</v>
      </c>
      <c r="S56" s="120">
        <v>0.40863987499999993</v>
      </c>
      <c r="T56" s="120">
        <v>191.9230769230769</v>
      </c>
      <c r="U56" s="124">
        <v>7.5</v>
      </c>
      <c r="V56" s="8">
        <f t="shared" si="3"/>
        <v>25.58974359</v>
      </c>
      <c r="AE56" s="15"/>
      <c r="AF56" s="15"/>
    </row>
    <row r="57" ht="14.25" customHeight="1">
      <c r="A57" s="134" t="s">
        <v>256</v>
      </c>
      <c r="B57" s="3" t="s">
        <v>258</v>
      </c>
      <c r="C57" s="3" t="s">
        <v>246</v>
      </c>
      <c r="D57" s="3" t="s">
        <v>251</v>
      </c>
      <c r="E57" s="8">
        <v>2.0</v>
      </c>
      <c r="F57" s="183">
        <f t="shared" si="1"/>
        <v>10</v>
      </c>
      <c r="G57" s="136" t="s">
        <v>276</v>
      </c>
      <c r="H57" s="137">
        <v>12.5877994</v>
      </c>
      <c r="I57" s="137">
        <v>0.39752639</v>
      </c>
      <c r="J57" s="137">
        <v>6.90408697</v>
      </c>
      <c r="K57" s="120">
        <f t="shared" si="2"/>
        <v>31.66531762</v>
      </c>
      <c r="L57" s="121"/>
      <c r="M57" s="121">
        <v>-0.83</v>
      </c>
      <c r="N57" s="122"/>
      <c r="O57" s="120">
        <v>38.4</v>
      </c>
      <c r="P57" s="120">
        <v>11.7018423220339</v>
      </c>
      <c r="Q57" s="123">
        <v>4.781839383745641</v>
      </c>
      <c r="R57" s="120">
        <v>1.0</v>
      </c>
      <c r="S57" s="120">
        <v>0.40863987499999993</v>
      </c>
      <c r="T57" s="120">
        <v>179.0135593220339</v>
      </c>
      <c r="U57" s="124">
        <v>6.9</v>
      </c>
      <c r="V57" s="8">
        <f t="shared" si="3"/>
        <v>25.9439941</v>
      </c>
      <c r="AE57" s="15"/>
      <c r="AF57" s="15"/>
    </row>
    <row r="58" ht="14.25" customHeight="1">
      <c r="A58" s="134" t="s">
        <v>256</v>
      </c>
      <c r="B58" s="3" t="s">
        <v>258</v>
      </c>
      <c r="C58" s="3" t="s">
        <v>246</v>
      </c>
      <c r="D58" s="3" t="s">
        <v>251</v>
      </c>
      <c r="E58" s="8">
        <v>3.0</v>
      </c>
      <c r="F58" s="183">
        <f t="shared" si="1"/>
        <v>10</v>
      </c>
      <c r="G58" s="136" t="s">
        <v>276</v>
      </c>
      <c r="H58" s="137">
        <v>11.0142067</v>
      </c>
      <c r="I58" s="137">
        <v>0.18949748</v>
      </c>
      <c r="J58" s="137">
        <v>4.94884327</v>
      </c>
      <c r="K58" s="120">
        <f t="shared" si="2"/>
        <v>58.12323573</v>
      </c>
      <c r="L58" s="121">
        <v>-0.165</v>
      </c>
      <c r="M58" s="121">
        <v>-0.74</v>
      </c>
      <c r="N58" s="122">
        <v>0.575</v>
      </c>
      <c r="O58" s="120">
        <v>36.5</v>
      </c>
      <c r="P58" s="120">
        <v>8.606683947826088</v>
      </c>
      <c r="Q58" s="123">
        <v>5.02433464657737</v>
      </c>
      <c r="R58" s="120">
        <v>1.1428571428571428</v>
      </c>
      <c r="S58" s="120">
        <v>0.58377125</v>
      </c>
      <c r="T58" s="120">
        <v>187.97878787878787</v>
      </c>
      <c r="U58" s="124">
        <v>13.1</v>
      </c>
      <c r="V58" s="8">
        <f t="shared" si="3"/>
        <v>14.34952579</v>
      </c>
      <c r="AE58" s="15"/>
      <c r="AF58" s="15"/>
    </row>
    <row r="59" ht="14.25" customHeight="1">
      <c r="A59" s="134" t="s">
        <v>256</v>
      </c>
      <c r="B59" s="3" t="s">
        <v>258</v>
      </c>
      <c r="C59" s="3" t="s">
        <v>246</v>
      </c>
      <c r="D59" s="3" t="s">
        <v>251</v>
      </c>
      <c r="E59" s="8">
        <v>4.0</v>
      </c>
      <c r="F59" s="183">
        <f t="shared" si="1"/>
        <v>10</v>
      </c>
      <c r="G59" s="136" t="s">
        <v>276</v>
      </c>
      <c r="H59" s="137">
        <v>12.9592232</v>
      </c>
      <c r="I59" s="137">
        <v>0.41420144</v>
      </c>
      <c r="J59" s="137">
        <v>7.98398232</v>
      </c>
      <c r="K59" s="120">
        <f t="shared" si="2"/>
        <v>31.28724806</v>
      </c>
      <c r="L59" s="121"/>
      <c r="M59" s="121">
        <v>-0.65</v>
      </c>
      <c r="N59" s="122"/>
      <c r="O59" s="120">
        <v>40.5</v>
      </c>
      <c r="P59" s="120">
        <v>19.473127609756094</v>
      </c>
      <c r="Q59" s="123">
        <v>8.866924596002326</v>
      </c>
      <c r="R59" s="120">
        <v>1.0</v>
      </c>
      <c r="S59" s="120">
        <v>0.45534157499999994</v>
      </c>
      <c r="T59" s="120">
        <v>208.3728813559322</v>
      </c>
      <c r="U59" s="124">
        <v>40.4</v>
      </c>
      <c r="V59" s="8">
        <f t="shared" si="3"/>
        <v>5.157744588</v>
      </c>
      <c r="AE59" s="15"/>
      <c r="AF59" s="15"/>
    </row>
    <row r="60" ht="14.25" customHeight="1">
      <c r="A60" s="134" t="s">
        <v>256</v>
      </c>
      <c r="B60" s="3" t="s">
        <v>258</v>
      </c>
      <c r="C60" s="3" t="s">
        <v>246</v>
      </c>
      <c r="D60" s="3" t="s">
        <v>251</v>
      </c>
      <c r="E60" s="8">
        <v>5.0</v>
      </c>
      <c r="F60" s="183">
        <f t="shared" si="1"/>
        <v>10</v>
      </c>
      <c r="G60" s="136" t="s">
        <v>276</v>
      </c>
      <c r="H60" s="137">
        <v>18.3301896</v>
      </c>
      <c r="I60" s="137">
        <v>0.52217497</v>
      </c>
      <c r="J60" s="137">
        <v>6.71348754</v>
      </c>
      <c r="K60" s="120">
        <f t="shared" si="2"/>
        <v>35.10353934</v>
      </c>
      <c r="L60" s="121">
        <v>-0.268</v>
      </c>
      <c r="M60" s="121">
        <v>-0.61</v>
      </c>
      <c r="N60" s="122">
        <v>0.342</v>
      </c>
      <c r="O60" s="120">
        <v>42.3</v>
      </c>
      <c r="P60" s="120">
        <v>19.63008052631579</v>
      </c>
      <c r="Q60" s="123">
        <v>9.8551499159453</v>
      </c>
      <c r="R60" s="120">
        <v>1.2857142857142858</v>
      </c>
      <c r="S60" s="120">
        <v>0.5020432749999999</v>
      </c>
      <c r="T60" s="120">
        <v>188.4375</v>
      </c>
      <c r="U60" s="124">
        <v>6.8</v>
      </c>
      <c r="V60" s="8">
        <f t="shared" si="3"/>
        <v>27.71139706</v>
      </c>
      <c r="AE60" s="15"/>
      <c r="AF60" s="15"/>
    </row>
    <row r="61" ht="14.25" customHeight="1">
      <c r="A61" s="134" t="s">
        <v>256</v>
      </c>
      <c r="B61" s="3" t="s">
        <v>258</v>
      </c>
      <c r="C61" s="3" t="s">
        <v>246</v>
      </c>
      <c r="D61" s="3" t="s">
        <v>251</v>
      </c>
      <c r="E61" s="8">
        <v>6.0</v>
      </c>
      <c r="F61" s="183">
        <f t="shared" si="1"/>
        <v>10</v>
      </c>
      <c r="G61" s="136" t="s">
        <v>276</v>
      </c>
      <c r="H61" s="137">
        <v>10.2478802</v>
      </c>
      <c r="I61" s="137">
        <v>0.39901035</v>
      </c>
      <c r="J61" s="137">
        <v>8.77841722</v>
      </c>
      <c r="K61" s="120">
        <f t="shared" si="2"/>
        <v>25.68324406</v>
      </c>
      <c r="L61" s="121"/>
      <c r="M61" s="121">
        <v>-0.847</v>
      </c>
      <c r="N61" s="122"/>
      <c r="O61" s="120">
        <v>22.0</v>
      </c>
      <c r="P61" s="120">
        <v>14.461972355848435</v>
      </c>
      <c r="Q61" s="123">
        <v>7.767084985267957</v>
      </c>
      <c r="R61" s="120">
        <v>1.2857142857142858</v>
      </c>
      <c r="S61" s="120">
        <v>0.5370695499999999</v>
      </c>
      <c r="T61" s="120">
        <v>194.184</v>
      </c>
      <c r="U61" s="124">
        <v>50.7</v>
      </c>
      <c r="V61" s="8">
        <f t="shared" si="3"/>
        <v>3.830059172</v>
      </c>
      <c r="AE61" s="15"/>
      <c r="AF61" s="15"/>
    </row>
    <row r="62" ht="14.25" customHeight="1">
      <c r="A62" s="134" t="s">
        <v>244</v>
      </c>
      <c r="B62" s="3" t="s">
        <v>257</v>
      </c>
      <c r="C62" s="3" t="s">
        <v>247</v>
      </c>
      <c r="D62" s="135" t="s">
        <v>240</v>
      </c>
      <c r="E62" s="48">
        <v>1.0</v>
      </c>
      <c r="F62" s="183">
        <f t="shared" si="1"/>
        <v>11</v>
      </c>
      <c r="G62" s="136" t="s">
        <v>276</v>
      </c>
      <c r="H62" s="137">
        <v>15.0561534</v>
      </c>
      <c r="I62" s="137">
        <v>0.28585111</v>
      </c>
      <c r="J62" s="137">
        <v>7.19605849</v>
      </c>
      <c r="K62" s="120">
        <f t="shared" si="2"/>
        <v>52.6713134</v>
      </c>
      <c r="L62" s="121">
        <v>-0.199</v>
      </c>
      <c r="M62" s="121">
        <v>-0.61</v>
      </c>
      <c r="N62" s="122">
        <v>0.411</v>
      </c>
      <c r="O62" s="120">
        <v>40.0</v>
      </c>
      <c r="P62" s="120">
        <v>17.508658126520682</v>
      </c>
      <c r="Q62" s="123">
        <v>10.785046263943466</v>
      </c>
      <c r="R62" s="120">
        <v>1.0</v>
      </c>
      <c r="S62" s="120">
        <v>0.6159836000000001</v>
      </c>
      <c r="T62" s="120">
        <v>107.92000000000002</v>
      </c>
      <c r="U62" s="124">
        <v>16.2</v>
      </c>
      <c r="V62" s="8">
        <f t="shared" si="3"/>
        <v>6.661728395</v>
      </c>
      <c r="AE62" s="15"/>
      <c r="AF62" s="15"/>
    </row>
    <row r="63" ht="14.25" customHeight="1">
      <c r="A63" s="134" t="s">
        <v>244</v>
      </c>
      <c r="B63" s="3" t="s">
        <v>257</v>
      </c>
      <c r="C63" s="3" t="s">
        <v>247</v>
      </c>
      <c r="D63" s="135" t="s">
        <v>240</v>
      </c>
      <c r="E63" s="48">
        <v>2.0</v>
      </c>
      <c r="F63" s="183">
        <f t="shared" si="1"/>
        <v>11</v>
      </c>
      <c r="G63" s="136" t="s">
        <v>276</v>
      </c>
      <c r="H63" s="137">
        <v>13.9785663</v>
      </c>
      <c r="I63" s="137">
        <v>0.43831087</v>
      </c>
      <c r="J63" s="137">
        <v>7.05184812</v>
      </c>
      <c r="K63" s="120">
        <f t="shared" si="2"/>
        <v>31.89189969</v>
      </c>
      <c r="L63" s="121"/>
      <c r="M63" s="121">
        <v>-0.56</v>
      </c>
      <c r="N63" s="122"/>
      <c r="O63" s="120">
        <v>40.2</v>
      </c>
      <c r="P63" s="120">
        <v>23.506160399999995</v>
      </c>
      <c r="Q63" s="123">
        <v>12.122296162634878</v>
      </c>
      <c r="R63" s="120">
        <v>0.8571428571428571</v>
      </c>
      <c r="S63" s="120">
        <v>0.5157072</v>
      </c>
      <c r="T63" s="120">
        <v>105.5</v>
      </c>
      <c r="U63" s="124">
        <v>5.8</v>
      </c>
      <c r="V63" s="8">
        <f t="shared" si="3"/>
        <v>18.18965517</v>
      </c>
      <c r="AE63" s="15"/>
      <c r="AF63" s="15"/>
    </row>
    <row r="64" ht="14.25" customHeight="1">
      <c r="A64" s="134" t="s">
        <v>244</v>
      </c>
      <c r="B64" s="3" t="s">
        <v>257</v>
      </c>
      <c r="C64" s="3" t="s">
        <v>247</v>
      </c>
      <c r="D64" s="135" t="s">
        <v>240</v>
      </c>
      <c r="E64" s="48">
        <v>3.0</v>
      </c>
      <c r="F64" s="183">
        <f t="shared" si="1"/>
        <v>11</v>
      </c>
      <c r="G64" s="136" t="s">
        <v>276</v>
      </c>
      <c r="H64" s="137">
        <v>11.7311917</v>
      </c>
      <c r="I64" s="137">
        <v>0.15915421</v>
      </c>
      <c r="J64" s="137">
        <v>4.31292001</v>
      </c>
      <c r="K64" s="120">
        <f t="shared" si="2"/>
        <v>73.70959084</v>
      </c>
      <c r="L64" s="121">
        <v>-0.265</v>
      </c>
      <c r="M64" s="121">
        <v>-0.518</v>
      </c>
      <c r="N64" s="122">
        <v>0.253</v>
      </c>
      <c r="O64" s="120">
        <v>51.7</v>
      </c>
      <c r="P64" s="120">
        <v>17.04711466403162</v>
      </c>
      <c r="Q64" s="123">
        <v>9.279726425437058</v>
      </c>
      <c r="R64" s="120">
        <v>1.0</v>
      </c>
      <c r="S64" s="120">
        <v>0.5443576</v>
      </c>
      <c r="T64" s="120">
        <v>115.92794117647058</v>
      </c>
      <c r="U64" s="124">
        <v>11.2</v>
      </c>
      <c r="V64" s="8">
        <f t="shared" si="3"/>
        <v>10.35070903</v>
      </c>
      <c r="AE64" s="15"/>
      <c r="AF64" s="15"/>
    </row>
    <row r="65" ht="14.25" customHeight="1">
      <c r="A65" s="134" t="s">
        <v>244</v>
      </c>
      <c r="B65" s="3" t="s">
        <v>257</v>
      </c>
      <c r="C65" s="3" t="s">
        <v>247</v>
      </c>
      <c r="D65" s="135" t="s">
        <v>240</v>
      </c>
      <c r="E65" s="48">
        <v>4.0</v>
      </c>
      <c r="F65" s="183">
        <f t="shared" si="1"/>
        <v>11</v>
      </c>
      <c r="G65" s="136" t="s">
        <v>276</v>
      </c>
      <c r="H65" s="137">
        <v>13.6246872</v>
      </c>
      <c r="I65" s="137">
        <v>0.31078971</v>
      </c>
      <c r="J65" s="137">
        <v>7.08134591</v>
      </c>
      <c r="K65" s="120">
        <f t="shared" si="2"/>
        <v>43.83892633</v>
      </c>
      <c r="L65" s="121"/>
      <c r="M65" s="121">
        <v>-0.815</v>
      </c>
      <c r="N65" s="122"/>
      <c r="O65" s="120">
        <v>43.0</v>
      </c>
      <c r="P65" s="120">
        <v>12.75918181981982</v>
      </c>
      <c r="Q65" s="123">
        <v>6.94555759340075</v>
      </c>
      <c r="R65" s="120">
        <v>1.1428571428571428</v>
      </c>
      <c r="S65" s="120">
        <v>0.5443576</v>
      </c>
      <c r="T65" s="120">
        <v>144.32</v>
      </c>
      <c r="U65" s="124">
        <v>25.6</v>
      </c>
      <c r="V65" s="8">
        <f t="shared" si="3"/>
        <v>5.6375</v>
      </c>
      <c r="AE65" s="15"/>
      <c r="AF65" s="15"/>
    </row>
    <row r="66" ht="14.25" customHeight="1">
      <c r="A66" s="134" t="s">
        <v>244</v>
      </c>
      <c r="B66" s="3" t="s">
        <v>257</v>
      </c>
      <c r="C66" s="3" t="s">
        <v>247</v>
      </c>
      <c r="D66" s="135" t="s">
        <v>240</v>
      </c>
      <c r="E66" s="48">
        <v>5.0</v>
      </c>
      <c r="F66" s="183">
        <f t="shared" si="1"/>
        <v>11</v>
      </c>
      <c r="G66" s="136" t="s">
        <v>276</v>
      </c>
      <c r="H66" s="137">
        <v>17.0312049</v>
      </c>
      <c r="I66" s="137">
        <v>0.30982604</v>
      </c>
      <c r="J66" s="137">
        <v>4.77230746</v>
      </c>
      <c r="K66" s="120">
        <f t="shared" si="2"/>
        <v>54.9702178</v>
      </c>
      <c r="L66" s="121">
        <v>-0.325</v>
      </c>
      <c r="M66" s="121">
        <v>-0.514</v>
      </c>
      <c r="N66" s="122">
        <v>0.189</v>
      </c>
      <c r="O66" s="120">
        <v>44.0</v>
      </c>
      <c r="P66" s="120">
        <v>25.250304021164023</v>
      </c>
      <c r="Q66" s="123">
        <v>15.192057516887113</v>
      </c>
      <c r="R66" s="120">
        <v>1.1428571428571428</v>
      </c>
      <c r="S66" s="120">
        <v>0.6016584</v>
      </c>
      <c r="T66" s="120">
        <v>117.2123076923077</v>
      </c>
      <c r="U66" s="124">
        <v>12.3</v>
      </c>
      <c r="V66" s="8">
        <f t="shared" si="3"/>
        <v>9.52945591</v>
      </c>
      <c r="AE66" s="15"/>
      <c r="AF66" s="15"/>
    </row>
    <row r="67" ht="14.25" customHeight="1">
      <c r="A67" s="134" t="s">
        <v>244</v>
      </c>
      <c r="B67" s="3" t="s">
        <v>257</v>
      </c>
      <c r="C67" s="3" t="s">
        <v>247</v>
      </c>
      <c r="D67" s="135" t="s">
        <v>240</v>
      </c>
      <c r="E67" s="48">
        <v>6.0</v>
      </c>
      <c r="F67" s="183">
        <f t="shared" si="1"/>
        <v>11</v>
      </c>
      <c r="G67" s="136" t="s">
        <v>276</v>
      </c>
      <c r="H67" s="137">
        <v>9.51286916</v>
      </c>
      <c r="I67" s="137">
        <v>0.35763606</v>
      </c>
      <c r="J67" s="137">
        <v>8.37177364</v>
      </c>
      <c r="K67" s="120">
        <f t="shared" si="2"/>
        <v>26.59930086</v>
      </c>
      <c r="L67" s="121"/>
      <c r="M67" s="121">
        <v>-0.683</v>
      </c>
      <c r="N67" s="122"/>
      <c r="O67" s="120">
        <v>34.8</v>
      </c>
      <c r="P67" s="120">
        <v>19.791427044917256</v>
      </c>
      <c r="Q67" s="123">
        <v>12.191194480265494</v>
      </c>
      <c r="R67" s="120">
        <v>1.2857142857142858</v>
      </c>
      <c r="S67" s="120">
        <v>0.6159836000000001</v>
      </c>
      <c r="T67" s="120">
        <v>155.53846153846155</v>
      </c>
      <c r="U67" s="124">
        <v>27.6</v>
      </c>
      <c r="V67" s="8">
        <f t="shared" si="3"/>
        <v>5.635451505</v>
      </c>
      <c r="AE67" s="15"/>
      <c r="AF67" s="15"/>
    </row>
    <row r="68" ht="14.25" customHeight="1">
      <c r="A68" s="134" t="s">
        <v>238</v>
      </c>
      <c r="B68" s="3" t="s">
        <v>250</v>
      </c>
      <c r="C68" s="3" t="s">
        <v>248</v>
      </c>
      <c r="D68" s="3" t="s">
        <v>251</v>
      </c>
      <c r="E68" s="48">
        <v>1.0</v>
      </c>
      <c r="F68" s="183">
        <f t="shared" si="1"/>
        <v>12</v>
      </c>
      <c r="G68" s="136" t="s">
        <v>276</v>
      </c>
      <c r="H68" s="137">
        <v>12.9464331</v>
      </c>
      <c r="I68" s="137">
        <v>0.38457806</v>
      </c>
      <c r="J68" s="137">
        <v>8.22258518</v>
      </c>
      <c r="K68" s="120">
        <f t="shared" si="2"/>
        <v>33.66399295</v>
      </c>
      <c r="L68" s="121">
        <v>-0.136</v>
      </c>
      <c r="M68" s="121">
        <v>-0.612</v>
      </c>
      <c r="N68" s="122">
        <v>0.476</v>
      </c>
      <c r="O68" s="120">
        <v>35.8</v>
      </c>
      <c r="P68" s="120">
        <v>17.274338613445376</v>
      </c>
      <c r="Q68" s="123">
        <v>6.809616509748497</v>
      </c>
      <c r="R68" s="120">
        <v>1.2857142857142858</v>
      </c>
      <c r="S68" s="120">
        <v>0.39420418125000006</v>
      </c>
      <c r="T68" s="120">
        <v>63.92307692307692</v>
      </c>
      <c r="U68" s="124">
        <v>16.4</v>
      </c>
      <c r="V68" s="8">
        <f t="shared" si="3"/>
        <v>3.897748593</v>
      </c>
      <c r="AE68" s="15"/>
      <c r="AF68" s="15"/>
    </row>
    <row r="69" ht="14.25" customHeight="1">
      <c r="A69" s="134" t="s">
        <v>238</v>
      </c>
      <c r="B69" s="3" t="s">
        <v>250</v>
      </c>
      <c r="C69" s="3" t="s">
        <v>248</v>
      </c>
      <c r="D69" s="3" t="s">
        <v>251</v>
      </c>
      <c r="E69" s="48">
        <v>2.0</v>
      </c>
      <c r="F69" s="183">
        <f t="shared" si="1"/>
        <v>12</v>
      </c>
      <c r="G69" s="136" t="s">
        <v>276</v>
      </c>
      <c r="H69" s="137">
        <v>8.99064246</v>
      </c>
      <c r="I69" s="137">
        <v>0.14263385</v>
      </c>
      <c r="J69" s="137">
        <v>3.49221607</v>
      </c>
      <c r="K69" s="120">
        <f t="shared" si="2"/>
        <v>63.03302098</v>
      </c>
      <c r="L69" s="121"/>
      <c r="M69" s="121">
        <v>-0.875</v>
      </c>
      <c r="N69" s="122"/>
      <c r="O69" s="120">
        <v>34.6</v>
      </c>
      <c r="P69" s="120">
        <v>5.499552866141732</v>
      </c>
      <c r="Q69" s="123">
        <v>1.839469956832661</v>
      </c>
      <c r="R69" s="120">
        <v>0.7142857142857143</v>
      </c>
      <c r="S69" s="120">
        <v>0.3344762750000001</v>
      </c>
      <c r="T69" s="120">
        <v>65.35555555555555</v>
      </c>
      <c r="U69" s="124">
        <v>6.9</v>
      </c>
      <c r="V69" s="8">
        <f t="shared" si="3"/>
        <v>9.471819646</v>
      </c>
      <c r="AE69" s="15"/>
      <c r="AF69" s="15"/>
    </row>
    <row r="70" ht="14.25" customHeight="1">
      <c r="A70" s="134" t="s">
        <v>238</v>
      </c>
      <c r="B70" s="3" t="s">
        <v>250</v>
      </c>
      <c r="C70" s="3" t="s">
        <v>248</v>
      </c>
      <c r="D70" s="3" t="s">
        <v>251</v>
      </c>
      <c r="E70" s="48">
        <v>3.0</v>
      </c>
      <c r="F70" s="183">
        <f t="shared" si="1"/>
        <v>12</v>
      </c>
      <c r="G70" s="136" t="s">
        <v>276</v>
      </c>
      <c r="H70" s="137">
        <v>12.4712322</v>
      </c>
      <c r="I70" s="137">
        <v>0.25404784</v>
      </c>
      <c r="J70" s="137">
        <v>5.13250041</v>
      </c>
      <c r="K70" s="120">
        <f t="shared" si="2"/>
        <v>49.09009342</v>
      </c>
      <c r="L70" s="121">
        <v>-0.326</v>
      </c>
      <c r="M70" s="121">
        <v>-0.518</v>
      </c>
      <c r="N70" s="122">
        <v>0.192</v>
      </c>
      <c r="O70" s="120">
        <v>31.3</v>
      </c>
      <c r="P70" s="120">
        <v>26.731772968749997</v>
      </c>
      <c r="Q70" s="123">
        <v>12.453736072235518</v>
      </c>
      <c r="R70" s="120">
        <v>1.0</v>
      </c>
      <c r="S70" s="120">
        <v>0.4658776687500001</v>
      </c>
      <c r="T70" s="120">
        <v>172.21971830985916</v>
      </c>
      <c r="U70" s="124">
        <v>11.9</v>
      </c>
      <c r="V70" s="8">
        <f t="shared" si="3"/>
        <v>14.47224524</v>
      </c>
      <c r="AE70" s="15"/>
      <c r="AF70" s="15"/>
    </row>
    <row r="71" ht="14.25" customHeight="1">
      <c r="A71" s="134" t="s">
        <v>238</v>
      </c>
      <c r="B71" s="3" t="s">
        <v>250</v>
      </c>
      <c r="C71" s="3" t="s">
        <v>248</v>
      </c>
      <c r="D71" s="3" t="s">
        <v>251</v>
      </c>
      <c r="E71" s="48">
        <v>4.0</v>
      </c>
      <c r="F71" s="183">
        <f t="shared" si="1"/>
        <v>12</v>
      </c>
      <c r="G71" s="136" t="s">
        <v>276</v>
      </c>
      <c r="H71" s="137">
        <v>12.7891608</v>
      </c>
      <c r="I71" s="137">
        <v>0.44819291</v>
      </c>
      <c r="J71" s="137">
        <v>8.7715707</v>
      </c>
      <c r="K71" s="120">
        <f t="shared" si="2"/>
        <v>28.5349467</v>
      </c>
      <c r="L71" s="121"/>
      <c r="M71" s="121">
        <v>-0.7</v>
      </c>
      <c r="N71" s="122"/>
      <c r="O71" s="120">
        <v>39.4</v>
      </c>
      <c r="P71" s="120">
        <v>19.06863195652174</v>
      </c>
      <c r="Q71" s="123">
        <v>10.705936941059917</v>
      </c>
      <c r="R71" s="120">
        <v>1.0</v>
      </c>
      <c r="S71" s="120">
        <v>0.5614423187500002</v>
      </c>
      <c r="T71" s="120">
        <v>145.85294117647055</v>
      </c>
      <c r="U71" s="124">
        <v>21.1</v>
      </c>
      <c r="V71" s="8">
        <f t="shared" si="3"/>
        <v>6.912461667</v>
      </c>
      <c r="AE71" s="15"/>
      <c r="AF71" s="15"/>
    </row>
    <row r="72" ht="14.25" customHeight="1">
      <c r="A72" s="134" t="s">
        <v>238</v>
      </c>
      <c r="B72" s="3" t="s">
        <v>250</v>
      </c>
      <c r="C72" s="3" t="s">
        <v>248</v>
      </c>
      <c r="D72" s="3" t="s">
        <v>251</v>
      </c>
      <c r="E72" s="48">
        <v>5.0</v>
      </c>
      <c r="F72" s="183">
        <f t="shared" si="1"/>
        <v>12</v>
      </c>
      <c r="G72" s="136" t="s">
        <v>276</v>
      </c>
      <c r="H72" s="137">
        <v>13.1234562</v>
      </c>
      <c r="I72" s="137">
        <v>0.37799085</v>
      </c>
      <c r="J72" s="137">
        <v>5.34386888</v>
      </c>
      <c r="K72" s="120">
        <f t="shared" si="2"/>
        <v>34.71897851</v>
      </c>
      <c r="L72" s="121">
        <v>-0.255</v>
      </c>
      <c r="M72" s="121">
        <v>-0.515</v>
      </c>
      <c r="N72" s="122">
        <v>0.26</v>
      </c>
      <c r="O72" s="120">
        <v>33.6</v>
      </c>
      <c r="P72" s="120">
        <v>20.553341846153845</v>
      </c>
      <c r="Q72" s="123">
        <v>10.311907829254743</v>
      </c>
      <c r="R72" s="120">
        <v>1.2857142857142858</v>
      </c>
      <c r="S72" s="120">
        <v>0.5017144125</v>
      </c>
      <c r="T72" s="120">
        <v>159.00266666666667</v>
      </c>
      <c r="U72" s="124">
        <v>7.9</v>
      </c>
      <c r="V72" s="8">
        <f t="shared" si="3"/>
        <v>20.12691983</v>
      </c>
      <c r="AE72" s="15"/>
      <c r="AF72" s="15"/>
    </row>
    <row r="73" ht="14.25" customHeight="1">
      <c r="A73" s="134" t="s">
        <v>238</v>
      </c>
      <c r="B73" s="3" t="s">
        <v>250</v>
      </c>
      <c r="C73" s="3" t="s">
        <v>248</v>
      </c>
      <c r="D73" s="3" t="s">
        <v>251</v>
      </c>
      <c r="E73" s="48">
        <v>6.0</v>
      </c>
      <c r="F73" s="183">
        <f t="shared" si="1"/>
        <v>12</v>
      </c>
      <c r="G73" s="136" t="s">
        <v>276</v>
      </c>
      <c r="H73" s="137">
        <v>13.848559</v>
      </c>
      <c r="I73" s="137">
        <v>0.60784815</v>
      </c>
      <c r="J73" s="137">
        <v>10.8556976</v>
      </c>
      <c r="K73" s="120">
        <f t="shared" si="2"/>
        <v>22.78292531</v>
      </c>
      <c r="L73" s="121"/>
      <c r="M73" s="121">
        <v>-0.67</v>
      </c>
      <c r="N73" s="122"/>
      <c r="O73" s="120">
        <v>28.0</v>
      </c>
      <c r="P73" s="120">
        <v>25.24580837209302</v>
      </c>
      <c r="Q73" s="123">
        <v>12.66618591549223</v>
      </c>
      <c r="R73" s="120">
        <v>1.2857142857142858</v>
      </c>
      <c r="S73" s="120">
        <v>0.5017144125</v>
      </c>
      <c r="T73" s="120">
        <v>187.89135802469136</v>
      </c>
      <c r="U73" s="124">
        <v>21.6</v>
      </c>
      <c r="V73" s="8">
        <f t="shared" si="3"/>
        <v>8.698673983</v>
      </c>
      <c r="AE73" s="15"/>
      <c r="AF73" s="15"/>
    </row>
    <row r="74" ht="14.25" customHeight="1">
      <c r="A74" s="134" t="s">
        <v>238</v>
      </c>
      <c r="B74" s="3" t="s">
        <v>257</v>
      </c>
      <c r="C74" s="3" t="s">
        <v>252</v>
      </c>
      <c r="D74" s="135" t="s">
        <v>240</v>
      </c>
      <c r="E74" s="48">
        <v>1.0</v>
      </c>
      <c r="F74" s="183">
        <f t="shared" si="1"/>
        <v>13</v>
      </c>
      <c r="G74" s="136" t="s">
        <v>276</v>
      </c>
      <c r="H74" s="137">
        <v>24.2325729</v>
      </c>
      <c r="I74" s="137">
        <v>0.48061323</v>
      </c>
      <c r="J74" s="137">
        <v>9.73431781</v>
      </c>
      <c r="K74" s="120">
        <f t="shared" si="2"/>
        <v>50.42011203</v>
      </c>
      <c r="L74" s="121">
        <v>-0.27</v>
      </c>
      <c r="M74" s="121">
        <v>-0.612</v>
      </c>
      <c r="N74" s="122">
        <v>0.342</v>
      </c>
      <c r="O74" s="120">
        <v>48.1</v>
      </c>
      <c r="P74" s="120">
        <v>28.462917573099418</v>
      </c>
      <c r="Q74" s="123">
        <v>14.270794538635737</v>
      </c>
      <c r="R74" s="120">
        <v>1.1428571428571428</v>
      </c>
      <c r="S74" s="120">
        <v>0.5013820000000001</v>
      </c>
      <c r="T74" s="120">
        <v>71.62264150943396</v>
      </c>
      <c r="U74" s="124">
        <v>26.6</v>
      </c>
      <c r="V74" s="8">
        <f t="shared" si="3"/>
        <v>2.692580508</v>
      </c>
      <c r="AE74" s="15"/>
      <c r="AF74" s="15"/>
    </row>
    <row r="75" ht="14.25" customHeight="1">
      <c r="A75" s="134" t="s">
        <v>238</v>
      </c>
      <c r="B75" s="3" t="s">
        <v>257</v>
      </c>
      <c r="C75" s="3" t="s">
        <v>252</v>
      </c>
      <c r="D75" s="135" t="s">
        <v>240</v>
      </c>
      <c r="E75" s="48">
        <v>2.0</v>
      </c>
      <c r="F75" s="183">
        <f t="shared" si="1"/>
        <v>13</v>
      </c>
      <c r="G75" s="136" t="s">
        <v>276</v>
      </c>
      <c r="H75" s="137">
        <v>19.0198873</v>
      </c>
      <c r="I75" s="137">
        <v>0.51438313</v>
      </c>
      <c r="J75" s="137">
        <v>8.14010756</v>
      </c>
      <c r="K75" s="120">
        <f t="shared" si="2"/>
        <v>36.9761102</v>
      </c>
      <c r="L75" s="121"/>
      <c r="M75" s="121">
        <v>-0.84</v>
      </c>
      <c r="N75" s="122"/>
      <c r="O75" s="120">
        <v>39.5</v>
      </c>
      <c r="P75" s="120">
        <v>15.07427325925926</v>
      </c>
      <c r="Q75" s="123">
        <v>7.989853233861009</v>
      </c>
      <c r="R75" s="120">
        <v>1.1428571428571428</v>
      </c>
      <c r="S75" s="120">
        <v>0.5300324000000001</v>
      </c>
      <c r="T75" s="120">
        <v>92.038</v>
      </c>
      <c r="U75" s="124">
        <v>12.3</v>
      </c>
      <c r="V75" s="8">
        <f t="shared" si="3"/>
        <v>7.482764228</v>
      </c>
      <c r="AE75" s="15"/>
      <c r="AF75" s="15"/>
    </row>
    <row r="76" ht="14.25" customHeight="1">
      <c r="A76" s="134" t="s">
        <v>238</v>
      </c>
      <c r="B76" s="3" t="s">
        <v>257</v>
      </c>
      <c r="C76" s="3" t="s">
        <v>252</v>
      </c>
      <c r="D76" s="135" t="s">
        <v>240</v>
      </c>
      <c r="E76" s="48">
        <v>3.0</v>
      </c>
      <c r="F76" s="183">
        <f t="shared" si="1"/>
        <v>13</v>
      </c>
      <c r="G76" s="136" t="s">
        <v>276</v>
      </c>
      <c r="H76" s="137">
        <v>10.1118585</v>
      </c>
      <c r="I76" s="137">
        <v>0.20981383</v>
      </c>
      <c r="J76" s="137">
        <v>5.56047751</v>
      </c>
      <c r="K76" s="120">
        <f t="shared" si="2"/>
        <v>48.19443265</v>
      </c>
      <c r="L76" s="121">
        <v>-0.34</v>
      </c>
      <c r="M76" s="121">
        <v>-0.568</v>
      </c>
      <c r="N76" s="122">
        <v>0.228</v>
      </c>
      <c r="O76" s="120">
        <v>43.9</v>
      </c>
      <c r="P76" s="120">
        <v>24.388059254385972</v>
      </c>
      <c r="Q76" s="123">
        <v>14.673280710099059</v>
      </c>
      <c r="R76" s="120">
        <v>1.1428571428571428</v>
      </c>
      <c r="S76" s="120">
        <v>0.6016584</v>
      </c>
      <c r="T76" s="120">
        <v>137.30232558139534</v>
      </c>
      <c r="U76" s="124">
        <v>8.3</v>
      </c>
      <c r="V76" s="8">
        <f t="shared" si="3"/>
        <v>16.54244887</v>
      </c>
      <c r="AE76" s="15"/>
      <c r="AF76" s="15"/>
    </row>
    <row r="77" ht="14.25" customHeight="1">
      <c r="A77" s="134" t="s">
        <v>238</v>
      </c>
      <c r="B77" s="3" t="s">
        <v>257</v>
      </c>
      <c r="C77" s="3" t="s">
        <v>252</v>
      </c>
      <c r="D77" s="135" t="s">
        <v>240</v>
      </c>
      <c r="E77" s="48">
        <v>4.0</v>
      </c>
      <c r="F77" s="183">
        <f t="shared" si="1"/>
        <v>13</v>
      </c>
      <c r="G77" s="136" t="s">
        <v>276</v>
      </c>
      <c r="H77" s="137">
        <v>10.7714662</v>
      </c>
      <c r="I77" s="137">
        <v>0.34798964</v>
      </c>
      <c r="J77" s="137">
        <v>7.43175808</v>
      </c>
      <c r="K77" s="120">
        <f t="shared" si="2"/>
        <v>30.95341057</v>
      </c>
      <c r="L77" s="121"/>
      <c r="M77" s="121">
        <v>-0.751</v>
      </c>
      <c r="N77" s="122"/>
      <c r="O77" s="120">
        <v>49.3</v>
      </c>
      <c r="P77" s="120">
        <v>16.47839929046563</v>
      </c>
      <c r="Q77" s="123">
        <v>9.442254620631129</v>
      </c>
      <c r="R77" s="120">
        <v>1.2857142857142858</v>
      </c>
      <c r="S77" s="120">
        <v>0.573008</v>
      </c>
      <c r="T77" s="120">
        <v>158.1985294117647</v>
      </c>
      <c r="U77" s="124">
        <v>34.8</v>
      </c>
      <c r="V77" s="8">
        <f t="shared" si="3"/>
        <v>4.545934753</v>
      </c>
      <c r="AE77" s="15"/>
      <c r="AF77" s="15"/>
    </row>
    <row r="78" ht="14.25" customHeight="1">
      <c r="A78" s="134" t="s">
        <v>238</v>
      </c>
      <c r="B78" s="3" t="s">
        <v>257</v>
      </c>
      <c r="C78" s="3" t="s">
        <v>252</v>
      </c>
      <c r="D78" s="135" t="s">
        <v>240</v>
      </c>
      <c r="E78" s="48">
        <v>5.0</v>
      </c>
      <c r="F78" s="183">
        <f t="shared" si="1"/>
        <v>13</v>
      </c>
      <c r="G78" s="136" t="s">
        <v>276</v>
      </c>
      <c r="H78" s="137">
        <v>12.3213856</v>
      </c>
      <c r="I78" s="137">
        <v>0.24363735</v>
      </c>
      <c r="J78" s="137">
        <v>3.89151767</v>
      </c>
      <c r="K78" s="120">
        <f t="shared" si="2"/>
        <v>50.5726466</v>
      </c>
      <c r="L78" s="121">
        <v>-0.278</v>
      </c>
      <c r="M78" s="121">
        <v>-0.769</v>
      </c>
      <c r="N78" s="122">
        <v>0.491</v>
      </c>
      <c r="O78" s="120">
        <v>37.3</v>
      </c>
      <c r="P78" s="120">
        <v>7.9256979022403256</v>
      </c>
      <c r="Q78" s="123">
        <v>4.314413888388578</v>
      </c>
      <c r="R78" s="120">
        <v>1.0</v>
      </c>
      <c r="S78" s="120">
        <v>0.5443576</v>
      </c>
      <c r="T78" s="120">
        <v>127.33636363636363</v>
      </c>
      <c r="U78" s="124">
        <v>4.7</v>
      </c>
      <c r="V78" s="8">
        <f t="shared" si="3"/>
        <v>27.09284333</v>
      </c>
      <c r="AE78" s="15"/>
      <c r="AF78" s="15"/>
    </row>
    <row r="79" ht="14.25" customHeight="1">
      <c r="A79" s="134" t="s">
        <v>238</v>
      </c>
      <c r="B79" s="3" t="s">
        <v>257</v>
      </c>
      <c r="C79" s="3" t="s">
        <v>252</v>
      </c>
      <c r="D79" s="135" t="s">
        <v>240</v>
      </c>
      <c r="E79" s="48">
        <v>6.0</v>
      </c>
      <c r="F79" s="183">
        <f t="shared" si="1"/>
        <v>13</v>
      </c>
      <c r="G79" s="136" t="s">
        <v>276</v>
      </c>
      <c r="H79" s="137">
        <v>11.5842395</v>
      </c>
      <c r="I79" s="137">
        <v>0.28396755</v>
      </c>
      <c r="J79" s="137">
        <v>6.98610135</v>
      </c>
      <c r="K79" s="120">
        <f t="shared" si="2"/>
        <v>40.79423688</v>
      </c>
      <c r="L79" s="121"/>
      <c r="M79" s="121">
        <v>-0.691</v>
      </c>
      <c r="N79" s="122"/>
      <c r="O79" s="120">
        <v>43.1</v>
      </c>
      <c r="P79" s="120">
        <v>17.867266879795398</v>
      </c>
      <c r="Q79" s="123">
        <v>12.029752060802917</v>
      </c>
      <c r="R79" s="120">
        <v>1.1428571428571428</v>
      </c>
      <c r="S79" s="120">
        <v>0.6732844</v>
      </c>
      <c r="T79" s="120">
        <v>137.16491228070174</v>
      </c>
      <c r="U79" s="124">
        <v>9.4</v>
      </c>
      <c r="V79" s="8">
        <f t="shared" si="3"/>
        <v>14.59201194</v>
      </c>
      <c r="AE79" s="15"/>
      <c r="AF79" s="15"/>
    </row>
    <row r="80" ht="14.25" customHeight="1">
      <c r="A80" s="134" t="s">
        <v>238</v>
      </c>
      <c r="B80" s="3" t="s">
        <v>258</v>
      </c>
      <c r="C80" s="3" t="s">
        <v>253</v>
      </c>
      <c r="D80" s="3" t="s">
        <v>251</v>
      </c>
      <c r="E80" s="48">
        <v>1.0</v>
      </c>
      <c r="F80" s="183">
        <f t="shared" si="1"/>
        <v>14</v>
      </c>
      <c r="G80" s="136" t="s">
        <v>276</v>
      </c>
      <c r="H80" s="137">
        <v>17.6475697</v>
      </c>
      <c r="I80" s="137">
        <v>0.29651127</v>
      </c>
      <c r="J80" s="137">
        <v>7.26186716</v>
      </c>
      <c r="K80" s="120">
        <f t="shared" si="2"/>
        <v>59.51736573</v>
      </c>
      <c r="L80" s="121">
        <v>-0.193</v>
      </c>
      <c r="M80" s="121">
        <v>-0.594</v>
      </c>
      <c r="N80" s="122">
        <v>0.401</v>
      </c>
      <c r="O80" s="120">
        <v>42.2</v>
      </c>
      <c r="P80" s="120">
        <v>18.10939441396509</v>
      </c>
      <c r="Q80" s="123">
        <v>5.9201765357187135</v>
      </c>
      <c r="R80" s="120">
        <v>1.0</v>
      </c>
      <c r="S80" s="120">
        <v>0.3269119</v>
      </c>
      <c r="T80" s="120">
        <v>176.68032786885246</v>
      </c>
      <c r="U80" s="124">
        <v>41.9</v>
      </c>
      <c r="V80" s="8">
        <f t="shared" si="3"/>
        <v>4.216714269</v>
      </c>
      <c r="AE80" s="15"/>
      <c r="AF80" s="15"/>
    </row>
    <row r="81" ht="14.25" customHeight="1">
      <c r="A81" s="134" t="s">
        <v>238</v>
      </c>
      <c r="B81" s="3" t="s">
        <v>258</v>
      </c>
      <c r="C81" s="3" t="s">
        <v>253</v>
      </c>
      <c r="D81" s="3" t="s">
        <v>251</v>
      </c>
      <c r="E81" s="48">
        <v>2.0</v>
      </c>
      <c r="F81" s="183">
        <f t="shared" si="1"/>
        <v>14</v>
      </c>
      <c r="G81" s="136" t="s">
        <v>276</v>
      </c>
      <c r="H81" s="137">
        <v>14.6605947</v>
      </c>
      <c r="I81" s="137">
        <v>0.44453656</v>
      </c>
      <c r="J81" s="137">
        <v>7.76360411</v>
      </c>
      <c r="K81" s="120">
        <f t="shared" si="2"/>
        <v>32.97950274</v>
      </c>
      <c r="L81" s="121"/>
      <c r="M81" s="121">
        <v>-0.9</v>
      </c>
      <c r="N81" s="122"/>
      <c r="O81" s="120">
        <v>35.2</v>
      </c>
      <c r="P81" s="120">
        <v>11.090863014285715</v>
      </c>
      <c r="Q81" s="123">
        <v>4.5321688757998375</v>
      </c>
      <c r="R81" s="120">
        <v>1.1428571428571428</v>
      </c>
      <c r="S81" s="120">
        <v>0.40863987499999993</v>
      </c>
      <c r="T81" s="120">
        <v>111.78</v>
      </c>
      <c r="U81" s="124">
        <v>27.8</v>
      </c>
      <c r="V81" s="8">
        <f t="shared" si="3"/>
        <v>4.020863309</v>
      </c>
      <c r="AE81" s="15"/>
      <c r="AF81" s="15"/>
    </row>
    <row r="82" ht="14.25" customHeight="1">
      <c r="A82" s="134" t="s">
        <v>238</v>
      </c>
      <c r="B82" s="3" t="s">
        <v>258</v>
      </c>
      <c r="C82" s="3" t="s">
        <v>253</v>
      </c>
      <c r="D82" s="3" t="s">
        <v>251</v>
      </c>
      <c r="E82" s="48">
        <v>3.0</v>
      </c>
      <c r="F82" s="183">
        <f t="shared" si="1"/>
        <v>14</v>
      </c>
      <c r="G82" s="136" t="s">
        <v>276</v>
      </c>
      <c r="H82" s="137">
        <v>12.2080304</v>
      </c>
      <c r="I82" s="137">
        <v>0.31629303</v>
      </c>
      <c r="J82" s="137">
        <v>6.68593119</v>
      </c>
      <c r="K82" s="120">
        <f t="shared" si="2"/>
        <v>38.59721601</v>
      </c>
      <c r="L82" s="121">
        <v>-0.196</v>
      </c>
      <c r="M82" s="121">
        <v>-0.587</v>
      </c>
      <c r="N82" s="122">
        <v>0.391</v>
      </c>
      <c r="O82" s="120">
        <v>34.9</v>
      </c>
      <c r="P82" s="120">
        <v>17.099568260869567</v>
      </c>
      <c r="Q82" s="123">
        <v>9.582946884583825</v>
      </c>
      <c r="R82" s="120">
        <v>1.2857142857142858</v>
      </c>
      <c r="S82" s="120">
        <v>0.5604203999999999</v>
      </c>
      <c r="T82" s="120">
        <v>163.93333333333334</v>
      </c>
      <c r="U82" s="124">
        <v>28.9</v>
      </c>
      <c r="V82" s="8">
        <f t="shared" si="3"/>
        <v>5.672433679</v>
      </c>
      <c r="AE82" s="15"/>
      <c r="AF82" s="15"/>
    </row>
    <row r="83" ht="14.25" customHeight="1">
      <c r="A83" s="134" t="s">
        <v>238</v>
      </c>
      <c r="B83" s="3" t="s">
        <v>258</v>
      </c>
      <c r="C83" s="3" t="s">
        <v>253</v>
      </c>
      <c r="D83" s="3" t="s">
        <v>251</v>
      </c>
      <c r="E83" s="48">
        <v>4.0</v>
      </c>
      <c r="F83" s="183">
        <f t="shared" si="1"/>
        <v>14</v>
      </c>
      <c r="G83" s="136" t="s">
        <v>276</v>
      </c>
      <c r="H83" s="137">
        <v>12.2960418</v>
      </c>
      <c r="I83" s="137">
        <v>0.34626629</v>
      </c>
      <c r="J83" s="137">
        <v>7.21174427</v>
      </c>
      <c r="K83" s="120">
        <f t="shared" si="2"/>
        <v>35.51036343</v>
      </c>
      <c r="L83" s="121"/>
      <c r="M83" s="121">
        <v>-0.65</v>
      </c>
      <c r="N83" s="122"/>
      <c r="O83" s="120">
        <v>36.9</v>
      </c>
      <c r="P83" s="120">
        <v>16.026098377777778</v>
      </c>
      <c r="Q83" s="123">
        <v>8.045794915051742</v>
      </c>
      <c r="R83" s="120">
        <v>1.1428571428571428</v>
      </c>
      <c r="S83" s="120">
        <v>0.5020432749999999</v>
      </c>
      <c r="T83" s="120">
        <v>105.80000000000001</v>
      </c>
      <c r="U83" s="124">
        <v>8.6</v>
      </c>
      <c r="V83" s="8">
        <f t="shared" si="3"/>
        <v>12.30232558</v>
      </c>
      <c r="AE83" s="15"/>
      <c r="AF83" s="15"/>
    </row>
    <row r="84" ht="14.25" customHeight="1">
      <c r="A84" s="134" t="s">
        <v>238</v>
      </c>
      <c r="B84" s="3" t="s">
        <v>258</v>
      </c>
      <c r="C84" s="3" t="s">
        <v>253</v>
      </c>
      <c r="D84" s="3" t="s">
        <v>251</v>
      </c>
      <c r="E84" s="48">
        <v>5.0</v>
      </c>
      <c r="F84" s="183">
        <f t="shared" si="1"/>
        <v>14</v>
      </c>
      <c r="G84" s="136" t="s">
        <v>276</v>
      </c>
      <c r="H84" s="137">
        <v>14.8689889</v>
      </c>
      <c r="I84" s="137">
        <v>0.36001767</v>
      </c>
      <c r="J84" s="137">
        <v>5.05399859</v>
      </c>
      <c r="K84" s="120">
        <f t="shared" si="2"/>
        <v>41.30071977</v>
      </c>
      <c r="L84" s="121">
        <v>-0.204</v>
      </c>
      <c r="M84" s="121">
        <v>-0.625</v>
      </c>
      <c r="N84" s="122">
        <v>0.421</v>
      </c>
      <c r="O84" s="120">
        <v>36.4</v>
      </c>
      <c r="P84" s="120">
        <v>12.004747244655581</v>
      </c>
      <c r="Q84" s="123">
        <v>6.026902622254113</v>
      </c>
      <c r="R84" s="120">
        <v>1.1428571428571428</v>
      </c>
      <c r="S84" s="120">
        <v>0.5020432749999999</v>
      </c>
      <c r="T84" s="120">
        <v>218.13970588235293</v>
      </c>
      <c r="U84" s="124">
        <v>19.8</v>
      </c>
      <c r="V84" s="8">
        <f t="shared" si="3"/>
        <v>11.01715686</v>
      </c>
      <c r="AE84" s="15"/>
      <c r="AF84" s="15"/>
    </row>
    <row r="85" ht="14.25" customHeight="1">
      <c r="A85" s="134" t="s">
        <v>238</v>
      </c>
      <c r="B85" s="3" t="s">
        <v>258</v>
      </c>
      <c r="C85" s="3" t="s">
        <v>253</v>
      </c>
      <c r="D85" s="3" t="s">
        <v>251</v>
      </c>
      <c r="E85" s="48">
        <v>6.0</v>
      </c>
      <c r="F85" s="183">
        <f t="shared" si="1"/>
        <v>14</v>
      </c>
      <c r="G85" s="136" t="s">
        <v>276</v>
      </c>
      <c r="H85" s="137">
        <v>10.9453664</v>
      </c>
      <c r="I85" s="137">
        <v>0.47185157</v>
      </c>
      <c r="J85" s="137">
        <v>9.04058944</v>
      </c>
      <c r="K85" s="120">
        <f t="shared" si="2"/>
        <v>23.19663025</v>
      </c>
      <c r="L85" s="121"/>
      <c r="M85" s="121">
        <v>-0.792</v>
      </c>
      <c r="N85" s="122"/>
      <c r="O85" s="120">
        <v>33.5</v>
      </c>
      <c r="P85" s="120">
        <v>15.271265945945943</v>
      </c>
      <c r="Q85" s="123">
        <v>8.20173192951951</v>
      </c>
      <c r="R85" s="120">
        <v>1.2857142857142858</v>
      </c>
      <c r="S85" s="120">
        <v>0.5370695499999999</v>
      </c>
      <c r="T85" s="120">
        <v>203.36249999999998</v>
      </c>
      <c r="U85" s="124">
        <v>41.3</v>
      </c>
      <c r="V85" s="8">
        <f t="shared" si="3"/>
        <v>4.924031477</v>
      </c>
      <c r="AE85" s="15"/>
      <c r="AF85" s="15"/>
    </row>
    <row r="86" ht="14.25" customHeight="1">
      <c r="A86" s="134" t="s">
        <v>249</v>
      </c>
      <c r="B86" s="3" t="s">
        <v>257</v>
      </c>
      <c r="C86" s="3" t="s">
        <v>254</v>
      </c>
      <c r="D86" s="135" t="s">
        <v>240</v>
      </c>
      <c r="E86" s="48">
        <v>1.0</v>
      </c>
      <c r="F86" s="183">
        <f t="shared" si="1"/>
        <v>15</v>
      </c>
      <c r="G86" s="136" t="s">
        <v>276</v>
      </c>
      <c r="H86" s="137">
        <v>18.4478849</v>
      </c>
      <c r="I86" s="137">
        <v>0.31890489</v>
      </c>
      <c r="J86" s="137">
        <v>7.53742028</v>
      </c>
      <c r="K86" s="120">
        <f t="shared" si="2"/>
        <v>57.84760748</v>
      </c>
      <c r="L86" s="121">
        <v>-0.24</v>
      </c>
      <c r="M86" s="121">
        <v>-0.716</v>
      </c>
      <c r="N86" s="122">
        <v>0.476</v>
      </c>
      <c r="O86" s="120">
        <v>41.7</v>
      </c>
      <c r="P86" s="120">
        <v>15.83491655462185</v>
      </c>
      <c r="Q86" s="123">
        <v>9.073533865130756</v>
      </c>
      <c r="R86" s="120">
        <v>0.8571428571428571</v>
      </c>
      <c r="S86" s="120">
        <v>0.573008</v>
      </c>
      <c r="T86" s="120">
        <v>56.08636363636364</v>
      </c>
      <c r="U86" s="124">
        <v>3.9</v>
      </c>
      <c r="V86" s="8">
        <f t="shared" si="3"/>
        <v>14.38111888</v>
      </c>
      <c r="AE86" s="15"/>
      <c r="AF86" s="15"/>
    </row>
    <row r="87" ht="14.25" customHeight="1">
      <c r="A87" s="134" t="s">
        <v>249</v>
      </c>
      <c r="B87" s="3" t="s">
        <v>257</v>
      </c>
      <c r="C87" s="3" t="s">
        <v>254</v>
      </c>
      <c r="D87" s="135" t="s">
        <v>240</v>
      </c>
      <c r="E87" s="48">
        <v>2.0</v>
      </c>
      <c r="F87" s="183">
        <f t="shared" si="1"/>
        <v>15</v>
      </c>
      <c r="G87" s="136" t="s">
        <v>276</v>
      </c>
      <c r="H87" s="137">
        <v>21.3703903</v>
      </c>
      <c r="I87" s="137">
        <v>0.65770845</v>
      </c>
      <c r="J87" s="137">
        <v>9.12990855</v>
      </c>
      <c r="K87" s="120">
        <f t="shared" si="2"/>
        <v>32.49219362</v>
      </c>
      <c r="L87" s="121"/>
      <c r="M87" s="121">
        <v>-0.88</v>
      </c>
      <c r="N87" s="122"/>
      <c r="O87" s="120">
        <v>49.5</v>
      </c>
      <c r="P87" s="120">
        <v>15.21651425</v>
      </c>
      <c r="Q87" s="123">
        <v>8.5012047874299</v>
      </c>
      <c r="R87" s="120">
        <v>0.8571428571428571</v>
      </c>
      <c r="S87" s="120">
        <v>0.5586828</v>
      </c>
      <c r="T87" s="120">
        <v>61.05576923076923</v>
      </c>
      <c r="U87" s="124">
        <v>6.4</v>
      </c>
      <c r="V87" s="8">
        <f t="shared" si="3"/>
        <v>9.539963942</v>
      </c>
      <c r="AE87" s="15"/>
      <c r="AF87" s="15"/>
    </row>
    <row r="88" ht="14.25" customHeight="1">
      <c r="A88" s="134" t="s">
        <v>249</v>
      </c>
      <c r="B88" s="3" t="s">
        <v>257</v>
      </c>
      <c r="C88" s="3" t="s">
        <v>254</v>
      </c>
      <c r="D88" s="135" t="s">
        <v>240</v>
      </c>
      <c r="E88" s="48">
        <v>3.0</v>
      </c>
      <c r="F88" s="183">
        <f t="shared" si="1"/>
        <v>15</v>
      </c>
      <c r="G88" s="136" t="s">
        <v>276</v>
      </c>
      <c r="H88" s="137">
        <v>12.0070379</v>
      </c>
      <c r="I88" s="137">
        <v>0.24248146</v>
      </c>
      <c r="J88" s="137">
        <v>4.79112582</v>
      </c>
      <c r="K88" s="120">
        <f t="shared" si="2"/>
        <v>49.51734413</v>
      </c>
      <c r="L88" s="121">
        <v>-0.275</v>
      </c>
      <c r="M88" s="121">
        <v>-0.614</v>
      </c>
      <c r="N88" s="122">
        <v>0.339</v>
      </c>
      <c r="O88" s="120">
        <v>44.9</v>
      </c>
      <c r="P88" s="120">
        <v>14.13311451327434</v>
      </c>
      <c r="Q88" s="123">
        <v>8.908226449124534</v>
      </c>
      <c r="R88" s="120">
        <v>1.1428571428571428</v>
      </c>
      <c r="S88" s="120">
        <v>0.6303088000000001</v>
      </c>
      <c r="T88" s="120">
        <v>99.32075471698111</v>
      </c>
      <c r="U88" s="124">
        <v>7.2</v>
      </c>
      <c r="V88" s="8">
        <f t="shared" si="3"/>
        <v>13.79454927</v>
      </c>
      <c r="AE88" s="15"/>
      <c r="AF88" s="15"/>
    </row>
    <row r="89" ht="14.25" customHeight="1">
      <c r="A89" s="134" t="s">
        <v>249</v>
      </c>
      <c r="B89" s="3" t="s">
        <v>257</v>
      </c>
      <c r="C89" s="3" t="s">
        <v>254</v>
      </c>
      <c r="D89" s="135" t="s">
        <v>240</v>
      </c>
      <c r="E89" s="48">
        <v>4.0</v>
      </c>
      <c r="F89" s="183">
        <f t="shared" si="1"/>
        <v>15</v>
      </c>
      <c r="G89" s="136" t="s">
        <v>276</v>
      </c>
      <c r="H89" s="137">
        <v>12.2690054</v>
      </c>
      <c r="I89" s="137">
        <v>0.29107796</v>
      </c>
      <c r="J89" s="137">
        <v>6.1905401</v>
      </c>
      <c r="K89" s="120">
        <f t="shared" si="2"/>
        <v>42.15023838</v>
      </c>
      <c r="L89" s="121"/>
      <c r="M89" s="121">
        <v>-0.835</v>
      </c>
      <c r="N89" s="122"/>
      <c r="O89" s="120">
        <v>41.7</v>
      </c>
      <c r="P89" s="120">
        <v>11.154126306306306</v>
      </c>
      <c r="Q89" s="123">
        <v>6.551188696687063</v>
      </c>
      <c r="R89" s="120">
        <v>1.1428571428571428</v>
      </c>
      <c r="S89" s="120">
        <v>0.5873332</v>
      </c>
      <c r="T89" s="120">
        <v>186.4627659574468</v>
      </c>
      <c r="U89" s="124">
        <v>10.6</v>
      </c>
      <c r="V89" s="8">
        <f t="shared" si="3"/>
        <v>17.59082698</v>
      </c>
      <c r="AE89" s="15"/>
      <c r="AF89" s="15"/>
    </row>
    <row r="90" ht="14.25" customHeight="1">
      <c r="A90" s="134" t="s">
        <v>249</v>
      </c>
      <c r="B90" s="3" t="s">
        <v>257</v>
      </c>
      <c r="C90" s="3" t="s">
        <v>254</v>
      </c>
      <c r="D90" s="135" t="s">
        <v>240</v>
      </c>
      <c r="E90" s="48">
        <v>5.0</v>
      </c>
      <c r="F90" s="183">
        <f t="shared" si="1"/>
        <v>15</v>
      </c>
      <c r="G90" s="136" t="s">
        <v>276</v>
      </c>
      <c r="H90" s="137">
        <v>18.9402145</v>
      </c>
      <c r="I90" s="137">
        <v>0.45749457</v>
      </c>
      <c r="J90" s="137">
        <v>5.8332366</v>
      </c>
      <c r="K90" s="120">
        <f t="shared" si="2"/>
        <v>41.39986733</v>
      </c>
      <c r="L90" s="121">
        <v>-0.321</v>
      </c>
      <c r="M90" s="121">
        <v>-0.755</v>
      </c>
      <c r="N90" s="122">
        <v>0.434</v>
      </c>
      <c r="O90" s="120">
        <v>31.2</v>
      </c>
      <c r="P90" s="120">
        <v>13.440637327188941</v>
      </c>
      <c r="Q90" s="123">
        <v>9.04937143845401</v>
      </c>
      <c r="R90" s="120">
        <v>1.2857142857142858</v>
      </c>
      <c r="S90" s="120">
        <v>0.6732844</v>
      </c>
      <c r="T90" s="120">
        <v>116.2019230769231</v>
      </c>
      <c r="U90" s="124">
        <v>8.1</v>
      </c>
      <c r="V90" s="8">
        <f t="shared" si="3"/>
        <v>14.34591643</v>
      </c>
      <c r="AE90" s="15"/>
      <c r="AF90" s="15"/>
    </row>
    <row r="91" ht="14.25" customHeight="1">
      <c r="A91" s="134" t="s">
        <v>249</v>
      </c>
      <c r="B91" s="3" t="s">
        <v>257</v>
      </c>
      <c r="C91" s="3" t="s">
        <v>254</v>
      </c>
      <c r="D91" s="135" t="s">
        <v>240</v>
      </c>
      <c r="E91" s="48">
        <v>6.0</v>
      </c>
      <c r="F91" s="183">
        <f t="shared" si="1"/>
        <v>15</v>
      </c>
      <c r="G91" s="136" t="s">
        <v>276</v>
      </c>
      <c r="H91" s="137">
        <v>15.5959679</v>
      </c>
      <c r="I91" s="137">
        <v>0.49510186</v>
      </c>
      <c r="J91" s="137">
        <v>9.54235094</v>
      </c>
      <c r="K91" s="120">
        <f t="shared" si="2"/>
        <v>31.50052375</v>
      </c>
      <c r="L91" s="121"/>
      <c r="M91" s="121">
        <v>-0.672</v>
      </c>
      <c r="N91" s="122"/>
      <c r="O91" s="120">
        <v>40.8</v>
      </c>
      <c r="P91" s="120">
        <v>24.34273198979592</v>
      </c>
      <c r="Q91" s="123">
        <v>14.646009180609429</v>
      </c>
      <c r="R91" s="120">
        <v>1.1428571428571428</v>
      </c>
      <c r="S91" s="120">
        <v>0.6016584</v>
      </c>
      <c r="T91" s="120">
        <v>70.26101694915255</v>
      </c>
      <c r="U91" s="124">
        <v>8.3</v>
      </c>
      <c r="V91" s="8">
        <f t="shared" si="3"/>
        <v>8.465182765</v>
      </c>
      <c r="AE91" s="15"/>
      <c r="AF91" s="15"/>
    </row>
    <row r="92" ht="14.25" customHeight="1">
      <c r="A92" s="134" t="s">
        <v>244</v>
      </c>
      <c r="B92" s="3" t="s">
        <v>250</v>
      </c>
      <c r="C92" s="3" t="s">
        <v>255</v>
      </c>
      <c r="D92" s="3" t="s">
        <v>251</v>
      </c>
      <c r="E92" s="48">
        <v>1.0</v>
      </c>
      <c r="F92" s="183">
        <f t="shared" si="1"/>
        <v>16</v>
      </c>
      <c r="G92" s="136" t="s">
        <v>276</v>
      </c>
      <c r="H92" s="137">
        <v>22.0314786</v>
      </c>
      <c r="I92" s="137">
        <v>0.46723691</v>
      </c>
      <c r="J92" s="137">
        <v>8.15135222</v>
      </c>
      <c r="K92" s="120">
        <f t="shared" si="2"/>
        <v>47.15269305</v>
      </c>
      <c r="L92" s="121">
        <v>-0.18</v>
      </c>
      <c r="M92" s="121">
        <v>-0.587</v>
      </c>
      <c r="N92" s="122">
        <v>0.407</v>
      </c>
      <c r="O92" s="120">
        <v>39.6</v>
      </c>
      <c r="P92" s="120">
        <v>20.027892432432434</v>
      </c>
      <c r="Q92" s="123">
        <v>7.655834122172218</v>
      </c>
      <c r="R92" s="120">
        <v>1.0</v>
      </c>
      <c r="S92" s="120">
        <v>0.38225860000000006</v>
      </c>
      <c r="T92" s="120">
        <v>113.8</v>
      </c>
      <c r="U92" s="124">
        <v>1.1</v>
      </c>
      <c r="V92" s="8">
        <f t="shared" si="3"/>
        <v>103.4545455</v>
      </c>
      <c r="AE92" s="15"/>
      <c r="AF92" s="15"/>
    </row>
    <row r="93" ht="14.25" customHeight="1">
      <c r="A93" s="134" t="s">
        <v>244</v>
      </c>
      <c r="B93" s="3" t="s">
        <v>250</v>
      </c>
      <c r="C93" s="3" t="s">
        <v>255</v>
      </c>
      <c r="D93" s="3" t="s">
        <v>251</v>
      </c>
      <c r="E93" s="48">
        <v>2.0</v>
      </c>
      <c r="F93" s="183">
        <f t="shared" si="1"/>
        <v>16</v>
      </c>
      <c r="G93" s="136" t="s">
        <v>276</v>
      </c>
      <c r="H93" s="137">
        <v>19.2308371</v>
      </c>
      <c r="I93" s="137">
        <v>0.64399367</v>
      </c>
      <c r="J93" s="137">
        <v>9.5839906</v>
      </c>
      <c r="K93" s="120">
        <f t="shared" si="2"/>
        <v>29.86184181</v>
      </c>
      <c r="L93" s="121"/>
      <c r="M93" s="121">
        <v>-0.764</v>
      </c>
      <c r="N93" s="122"/>
      <c r="O93" s="120">
        <v>40.9</v>
      </c>
      <c r="P93" s="120">
        <v>19.40079068825911</v>
      </c>
      <c r="Q93" s="123">
        <v>9.038395137752865</v>
      </c>
      <c r="R93" s="120">
        <v>1.0</v>
      </c>
      <c r="S93" s="120">
        <v>0.4658776687500001</v>
      </c>
      <c r="T93" s="120">
        <v>207.7951807228916</v>
      </c>
      <c r="U93" s="124">
        <v>25.9</v>
      </c>
      <c r="V93" s="8">
        <f t="shared" si="3"/>
        <v>8.022979951</v>
      </c>
      <c r="AE93" s="15"/>
      <c r="AF93" s="15"/>
    </row>
    <row r="94" ht="14.25" customHeight="1">
      <c r="A94" s="134" t="s">
        <v>244</v>
      </c>
      <c r="B94" s="3" t="s">
        <v>250</v>
      </c>
      <c r="C94" s="3" t="s">
        <v>255</v>
      </c>
      <c r="D94" s="3" t="s">
        <v>251</v>
      </c>
      <c r="E94" s="48">
        <v>3.0</v>
      </c>
      <c r="F94" s="183">
        <f t="shared" si="1"/>
        <v>16</v>
      </c>
      <c r="G94" s="136" t="s">
        <v>276</v>
      </c>
      <c r="H94" s="137">
        <v>14.4132886</v>
      </c>
      <c r="I94" s="137">
        <v>0.46615515</v>
      </c>
      <c r="J94" s="137">
        <v>8.51565566</v>
      </c>
      <c r="K94" s="120">
        <f t="shared" si="2"/>
        <v>30.91950952</v>
      </c>
      <c r="L94" s="121">
        <v>-0.297</v>
      </c>
      <c r="M94" s="121">
        <v>-0.62</v>
      </c>
      <c r="N94" s="122">
        <v>0.323</v>
      </c>
      <c r="O94" s="120">
        <v>43.7</v>
      </c>
      <c r="P94" s="120">
        <v>26.364259009287924</v>
      </c>
      <c r="Q94" s="123">
        <v>13.542265117934221</v>
      </c>
      <c r="R94" s="120">
        <v>1.0</v>
      </c>
      <c r="S94" s="120">
        <v>0.5136599937500002</v>
      </c>
      <c r="T94" s="120">
        <v>129.84057971014494</v>
      </c>
      <c r="U94" s="124">
        <v>20.2</v>
      </c>
      <c r="V94" s="8">
        <f t="shared" si="3"/>
        <v>6.427751471</v>
      </c>
      <c r="AE94" s="15"/>
      <c r="AF94" s="15"/>
    </row>
    <row r="95" ht="14.25" customHeight="1">
      <c r="A95" s="134" t="s">
        <v>244</v>
      </c>
      <c r="B95" s="3" t="s">
        <v>250</v>
      </c>
      <c r="C95" s="3" t="s">
        <v>255</v>
      </c>
      <c r="D95" s="3" t="s">
        <v>251</v>
      </c>
      <c r="E95" s="48">
        <v>4.0</v>
      </c>
      <c r="F95" s="183">
        <f t="shared" si="1"/>
        <v>16</v>
      </c>
      <c r="G95" s="136" t="s">
        <v>276</v>
      </c>
      <c r="H95" s="137">
        <v>17.9173309</v>
      </c>
      <c r="I95" s="137">
        <v>0.51631674</v>
      </c>
      <c r="J95" s="137">
        <v>9.32150669</v>
      </c>
      <c r="K95" s="120">
        <f t="shared" si="2"/>
        <v>34.70220799</v>
      </c>
      <c r="L95" s="121"/>
      <c r="M95" s="121">
        <v>-0.752</v>
      </c>
      <c r="N95" s="122"/>
      <c r="O95" s="120">
        <v>36.3</v>
      </c>
      <c r="P95" s="120">
        <v>19.339225497925312</v>
      </c>
      <c r="Q95" s="123">
        <v>8.778695000906465</v>
      </c>
      <c r="R95" s="120">
        <v>1.1428571428571428</v>
      </c>
      <c r="S95" s="120">
        <v>0.45393208750000014</v>
      </c>
      <c r="T95" s="120">
        <v>121.31864406779661</v>
      </c>
      <c r="U95" s="124">
        <v>22.6</v>
      </c>
      <c r="V95" s="8">
        <f t="shared" si="3"/>
        <v>5.368081596</v>
      </c>
      <c r="AE95" s="15"/>
      <c r="AF95" s="15"/>
    </row>
    <row r="96" ht="14.25" customHeight="1">
      <c r="A96" s="134" t="s">
        <v>244</v>
      </c>
      <c r="B96" s="3" t="s">
        <v>250</v>
      </c>
      <c r="C96" s="3" t="s">
        <v>255</v>
      </c>
      <c r="D96" s="3" t="s">
        <v>251</v>
      </c>
      <c r="E96" s="48">
        <v>5.0</v>
      </c>
      <c r="F96" s="183">
        <f t="shared" si="1"/>
        <v>16</v>
      </c>
      <c r="G96" s="136" t="s">
        <v>276</v>
      </c>
      <c r="H96" s="137">
        <v>16.9811759</v>
      </c>
      <c r="I96" s="137">
        <v>0.29917668</v>
      </c>
      <c r="J96" s="137">
        <v>5.82883336</v>
      </c>
      <c r="K96" s="120">
        <f t="shared" si="2"/>
        <v>56.75969096</v>
      </c>
      <c r="L96" s="121">
        <v>-0.32</v>
      </c>
      <c r="M96" s="121">
        <v>-0.68</v>
      </c>
      <c r="N96" s="122">
        <v>0.36</v>
      </c>
      <c r="O96" s="120">
        <v>37.3</v>
      </c>
      <c r="P96" s="120">
        <v>16.191203777777776</v>
      </c>
      <c r="Q96" s="123">
        <v>7.929946950772808</v>
      </c>
      <c r="R96" s="120">
        <v>1.1428571428571428</v>
      </c>
      <c r="S96" s="120">
        <v>0.48976883125000015</v>
      </c>
      <c r="T96" s="120">
        <v>173.25479452054796</v>
      </c>
      <c r="U96" s="124">
        <v>10.6</v>
      </c>
      <c r="V96" s="8">
        <f t="shared" si="3"/>
        <v>16.34479194</v>
      </c>
      <c r="AE96" s="15"/>
      <c r="AF96" s="15"/>
    </row>
    <row r="97" ht="14.25" customHeight="1">
      <c r="A97" s="153" t="s">
        <v>244</v>
      </c>
      <c r="B97" s="154" t="s">
        <v>250</v>
      </c>
      <c r="C97" s="3" t="s">
        <v>255</v>
      </c>
      <c r="D97" s="154" t="s">
        <v>251</v>
      </c>
      <c r="E97" s="155">
        <v>6.0</v>
      </c>
      <c r="F97" s="183">
        <f t="shared" si="1"/>
        <v>16</v>
      </c>
      <c r="G97" s="156" t="s">
        <v>276</v>
      </c>
      <c r="H97" s="157">
        <v>14.5525164</v>
      </c>
      <c r="I97" s="157">
        <v>0.53229406</v>
      </c>
      <c r="J97" s="157">
        <v>9.40803153</v>
      </c>
      <c r="K97" s="120">
        <f t="shared" si="2"/>
        <v>27.33924252</v>
      </c>
      <c r="L97" s="158"/>
      <c r="M97" s="158">
        <v>-0.865</v>
      </c>
      <c r="N97" s="159"/>
      <c r="O97" s="120">
        <v>40.3</v>
      </c>
      <c r="P97" s="120">
        <v>15.811817697478993</v>
      </c>
      <c r="Q97" s="123">
        <v>8.68854223870947</v>
      </c>
      <c r="R97" s="120">
        <v>1.1428571428571428</v>
      </c>
      <c r="S97" s="120">
        <v>0.5494967375</v>
      </c>
      <c r="T97" s="120">
        <v>234.0375</v>
      </c>
      <c r="U97" s="124">
        <v>28.1</v>
      </c>
      <c r="V97" s="8">
        <f t="shared" si="3"/>
        <v>8.328736655</v>
      </c>
      <c r="AE97" s="15"/>
      <c r="AF97" s="15"/>
    </row>
    <row r="98" ht="15.0" customHeight="1">
      <c r="A98" s="115" t="s">
        <v>238</v>
      </c>
      <c r="B98" s="116" t="s">
        <v>239</v>
      </c>
      <c r="C98" s="116" t="s">
        <v>241</v>
      </c>
      <c r="D98" s="116" t="s">
        <v>240</v>
      </c>
      <c r="E98" s="117">
        <v>1.0</v>
      </c>
      <c r="F98" s="183">
        <f t="shared" si="1"/>
        <v>1</v>
      </c>
      <c r="G98" s="160" t="s">
        <v>277</v>
      </c>
      <c r="H98" s="119">
        <v>10.9409172</v>
      </c>
      <c r="I98" s="119">
        <v>0.15764681</v>
      </c>
      <c r="J98" s="119">
        <v>4.7621658</v>
      </c>
      <c r="K98" s="120">
        <f t="shared" si="2"/>
        <v>69.40144999</v>
      </c>
      <c r="L98" s="121">
        <v>-0.492</v>
      </c>
      <c r="M98" s="121">
        <v>-1.25</v>
      </c>
      <c r="N98" s="122">
        <v>0.758</v>
      </c>
      <c r="O98" s="120">
        <v>42.7</v>
      </c>
      <c r="P98" s="120">
        <v>6.282540633245382</v>
      </c>
      <c r="Q98" s="123">
        <v>4.315405225886003</v>
      </c>
      <c r="R98" s="120">
        <v>0.2857142857142857</v>
      </c>
      <c r="S98" s="120">
        <v>0.6868885500000002</v>
      </c>
      <c r="T98" s="15"/>
      <c r="U98" s="161"/>
      <c r="AE98" s="15"/>
      <c r="AF98" s="15"/>
    </row>
    <row r="99" ht="15.0" customHeight="1">
      <c r="A99" s="134" t="s">
        <v>238</v>
      </c>
      <c r="B99" s="135" t="s">
        <v>239</v>
      </c>
      <c r="C99" s="116" t="s">
        <v>241</v>
      </c>
      <c r="D99" s="135" t="s">
        <v>240</v>
      </c>
      <c r="E99" s="8">
        <v>2.0</v>
      </c>
      <c r="F99" s="183">
        <f t="shared" si="1"/>
        <v>1</v>
      </c>
      <c r="G99" s="162" t="s">
        <v>277</v>
      </c>
      <c r="H99" s="137">
        <v>11.7760705</v>
      </c>
      <c r="I99" s="137">
        <v>0.19673413</v>
      </c>
      <c r="J99" s="137">
        <v>4.32300665</v>
      </c>
      <c r="K99" s="120">
        <f t="shared" si="2"/>
        <v>59.85779132</v>
      </c>
      <c r="L99" s="121"/>
      <c r="M99" s="121">
        <v>-1.023</v>
      </c>
      <c r="N99" s="122"/>
      <c r="O99" s="120">
        <v>23.1</v>
      </c>
      <c r="P99" s="120">
        <v>8.070279556443335</v>
      </c>
      <c r="Q99" s="123">
        <v>7.784324533891924</v>
      </c>
      <c r="R99" s="120">
        <v>1.1428571428571428</v>
      </c>
      <c r="S99" s="120">
        <v>0.9645669000000001</v>
      </c>
      <c r="T99" s="15"/>
      <c r="U99" s="161"/>
      <c r="AE99" s="15"/>
      <c r="AF99" s="15"/>
    </row>
    <row r="100" ht="15.0" customHeight="1">
      <c r="A100" s="134" t="s">
        <v>238</v>
      </c>
      <c r="B100" s="135" t="s">
        <v>239</v>
      </c>
      <c r="C100" s="116" t="s">
        <v>241</v>
      </c>
      <c r="D100" s="135" t="s">
        <v>240</v>
      </c>
      <c r="E100" s="8">
        <v>3.0</v>
      </c>
      <c r="F100" s="183">
        <f t="shared" si="1"/>
        <v>1</v>
      </c>
      <c r="G100" s="162" t="s">
        <v>277</v>
      </c>
      <c r="H100" s="137">
        <v>6.39026485</v>
      </c>
      <c r="I100" s="137">
        <v>0.10529625</v>
      </c>
      <c r="J100" s="137">
        <v>4.07738301</v>
      </c>
      <c r="K100" s="120">
        <f t="shared" si="2"/>
        <v>60.68843715</v>
      </c>
      <c r="L100" s="121">
        <v>-0.452</v>
      </c>
      <c r="M100" s="121">
        <v>-1.24</v>
      </c>
      <c r="N100" s="122">
        <v>0.788</v>
      </c>
      <c r="O100" s="120">
        <v>44.0</v>
      </c>
      <c r="P100" s="120">
        <v>5.174343921319797</v>
      </c>
      <c r="Q100" s="123">
        <v>5.21786455189043</v>
      </c>
      <c r="R100" s="120">
        <v>1.0</v>
      </c>
      <c r="S100" s="120">
        <v>1.0084108500000002</v>
      </c>
      <c r="T100" s="15"/>
      <c r="U100" s="161"/>
      <c r="AE100" s="15"/>
      <c r="AF100" s="15"/>
    </row>
    <row r="101" ht="15.0" customHeight="1">
      <c r="A101" s="134" t="s">
        <v>238</v>
      </c>
      <c r="B101" s="135" t="s">
        <v>239</v>
      </c>
      <c r="C101" s="116" t="s">
        <v>241</v>
      </c>
      <c r="D101" s="135" t="s">
        <v>240</v>
      </c>
      <c r="E101" s="8">
        <v>4.0</v>
      </c>
      <c r="F101" s="183">
        <f t="shared" si="1"/>
        <v>1</v>
      </c>
      <c r="G101" s="162" t="s">
        <v>277</v>
      </c>
      <c r="H101" s="137">
        <v>8.52810569</v>
      </c>
      <c r="I101" s="137">
        <v>0.15501968</v>
      </c>
      <c r="J101" s="137">
        <v>5.2055904</v>
      </c>
      <c r="K101" s="120">
        <f t="shared" si="2"/>
        <v>55.01305183</v>
      </c>
      <c r="L101" s="121"/>
      <c r="M101" s="121">
        <v>-1.12</v>
      </c>
      <c r="N101" s="122"/>
      <c r="O101" s="120">
        <v>37.2</v>
      </c>
      <c r="P101" s="120">
        <v>8.227970980131822</v>
      </c>
      <c r="Q101" s="123">
        <v>6.974437132917446</v>
      </c>
      <c r="R101" s="120">
        <v>0.7142857142857143</v>
      </c>
      <c r="S101" s="120">
        <v>0.8476497000000002</v>
      </c>
      <c r="T101" s="15"/>
      <c r="U101" s="161"/>
      <c r="AE101" s="15"/>
      <c r="AF101" s="15"/>
    </row>
    <row r="102" ht="15.0" customHeight="1">
      <c r="A102" s="134" t="s">
        <v>238</v>
      </c>
      <c r="B102" s="135" t="s">
        <v>239</v>
      </c>
      <c r="C102" s="116" t="s">
        <v>241</v>
      </c>
      <c r="D102" s="135" t="s">
        <v>240</v>
      </c>
      <c r="E102" s="8">
        <v>5.0</v>
      </c>
      <c r="F102" s="183">
        <f t="shared" si="1"/>
        <v>1</v>
      </c>
      <c r="G102" s="162" t="s">
        <v>277</v>
      </c>
      <c r="H102" s="137">
        <v>3.1916602</v>
      </c>
      <c r="I102" s="137">
        <v>0.04695032</v>
      </c>
      <c r="J102" s="137">
        <v>2.30901671</v>
      </c>
      <c r="K102" s="120">
        <f t="shared" si="2"/>
        <v>67.97951963</v>
      </c>
      <c r="L102" s="121">
        <v>-0.518</v>
      </c>
      <c r="M102" s="121">
        <v>-1.223</v>
      </c>
      <c r="N102" s="122">
        <v>0.705</v>
      </c>
      <c r="O102" s="120">
        <v>56.7</v>
      </c>
      <c r="P102" s="120">
        <v>3.275201007092198</v>
      </c>
      <c r="Q102" s="123">
        <v>2.6326254019065005</v>
      </c>
      <c r="R102" s="120">
        <v>0.42857142857142855</v>
      </c>
      <c r="S102" s="120">
        <v>0.8038057500000002</v>
      </c>
      <c r="T102" s="15"/>
      <c r="U102" s="161"/>
      <c r="AE102" s="15"/>
      <c r="AF102" s="15"/>
    </row>
    <row r="103" ht="15.0" customHeight="1">
      <c r="A103" s="134" t="s">
        <v>238</v>
      </c>
      <c r="B103" s="135" t="s">
        <v>239</v>
      </c>
      <c r="C103" s="116" t="s">
        <v>241</v>
      </c>
      <c r="D103" s="135" t="s">
        <v>240</v>
      </c>
      <c r="E103" s="8">
        <v>6.0</v>
      </c>
      <c r="F103" s="183">
        <f t="shared" si="1"/>
        <v>1</v>
      </c>
      <c r="G103" s="162" t="s">
        <v>277</v>
      </c>
      <c r="H103" s="137">
        <v>6.22875142</v>
      </c>
      <c r="I103" s="137">
        <v>0.10421385</v>
      </c>
      <c r="J103" s="137">
        <v>4.55797172</v>
      </c>
      <c r="K103" s="120">
        <f t="shared" si="2"/>
        <v>59.76894069</v>
      </c>
      <c r="L103" s="121"/>
      <c r="M103" s="121">
        <v>-1.097</v>
      </c>
      <c r="N103" s="122"/>
      <c r="O103" s="120">
        <v>46.5</v>
      </c>
      <c r="P103" s="120">
        <v>7.476129250250136</v>
      </c>
      <c r="Q103" s="123">
        <v>7.211226814913099</v>
      </c>
      <c r="R103" s="120">
        <v>0.8571428571428571</v>
      </c>
      <c r="S103" s="120">
        <v>0.9645669000000001</v>
      </c>
      <c r="T103" s="15"/>
      <c r="U103" s="161"/>
      <c r="AE103" s="15"/>
      <c r="AF103" s="15"/>
    </row>
    <row r="104" ht="15.0" customHeight="1">
      <c r="A104" s="134" t="s">
        <v>244</v>
      </c>
      <c r="B104" s="3" t="s">
        <v>239</v>
      </c>
      <c r="C104" s="3" t="s">
        <v>30</v>
      </c>
      <c r="D104" s="135" t="s">
        <v>240</v>
      </c>
      <c r="E104" s="8">
        <v>1.0</v>
      </c>
      <c r="F104" s="183">
        <f t="shared" si="1"/>
        <v>2</v>
      </c>
      <c r="G104" s="162" t="s">
        <v>277</v>
      </c>
      <c r="H104" s="137">
        <v>10.7546004</v>
      </c>
      <c r="I104" s="137">
        <v>0.17531878</v>
      </c>
      <c r="J104" s="137">
        <v>5.27450417</v>
      </c>
      <c r="K104" s="120">
        <f t="shared" si="2"/>
        <v>61.34311681</v>
      </c>
      <c r="L104" s="121">
        <v>-0.53</v>
      </c>
      <c r="M104" s="121">
        <v>-1.15</v>
      </c>
      <c r="N104" s="122">
        <v>0.62</v>
      </c>
      <c r="O104" s="120">
        <v>45.7</v>
      </c>
      <c r="P104" s="120">
        <v>8.507264790322582</v>
      </c>
      <c r="Q104" s="123">
        <v>6.713857657865948</v>
      </c>
      <c r="R104" s="120">
        <v>0.0</v>
      </c>
      <c r="S104" s="120">
        <v>0.7891911000000001</v>
      </c>
      <c r="T104" s="15"/>
      <c r="U104" s="161"/>
      <c r="AE104" s="15"/>
      <c r="AF104" s="15"/>
    </row>
    <row r="105" ht="15.0" customHeight="1">
      <c r="A105" s="134" t="s">
        <v>244</v>
      </c>
      <c r="B105" s="3" t="s">
        <v>239</v>
      </c>
      <c r="C105" s="3" t="s">
        <v>30</v>
      </c>
      <c r="D105" s="135" t="s">
        <v>240</v>
      </c>
      <c r="E105" s="8">
        <v>2.0</v>
      </c>
      <c r="F105" s="183">
        <f t="shared" si="1"/>
        <v>2</v>
      </c>
      <c r="G105" s="162" t="s">
        <v>277</v>
      </c>
      <c r="H105" s="137">
        <v>11.3998279</v>
      </c>
      <c r="I105" s="137">
        <v>0.23838655</v>
      </c>
      <c r="J105" s="137">
        <v>5.0984032</v>
      </c>
      <c r="K105" s="120">
        <f t="shared" si="2"/>
        <v>47.82076799</v>
      </c>
      <c r="L105" s="121"/>
      <c r="M105" s="121">
        <v>-1.142</v>
      </c>
      <c r="N105" s="122"/>
      <c r="O105" s="120">
        <v>40.5</v>
      </c>
      <c r="P105" s="120">
        <v>7.153980168381663</v>
      </c>
      <c r="Q105" s="123">
        <v>6.900492473677379</v>
      </c>
      <c r="R105" s="120">
        <v>0.7142857142857143</v>
      </c>
      <c r="S105" s="120">
        <v>0.9645669000000001</v>
      </c>
      <c r="T105" s="15"/>
      <c r="U105" s="161"/>
      <c r="AE105" s="15"/>
      <c r="AF105" s="15"/>
    </row>
    <row r="106" ht="15.0" customHeight="1">
      <c r="A106" s="134" t="s">
        <v>244</v>
      </c>
      <c r="B106" s="3" t="s">
        <v>239</v>
      </c>
      <c r="C106" s="3" t="s">
        <v>30</v>
      </c>
      <c r="D106" s="135" t="s">
        <v>240</v>
      </c>
      <c r="E106" s="8">
        <v>3.0</v>
      </c>
      <c r="F106" s="183">
        <f t="shared" si="1"/>
        <v>2</v>
      </c>
      <c r="G106" s="162" t="s">
        <v>277</v>
      </c>
      <c r="H106" s="137">
        <v>7.95777516</v>
      </c>
      <c r="I106" s="137">
        <v>0.10291853</v>
      </c>
      <c r="J106" s="137">
        <v>4.13817536</v>
      </c>
      <c r="K106" s="120">
        <f t="shared" si="2"/>
        <v>77.32111176</v>
      </c>
      <c r="L106" s="121">
        <v>-0.35</v>
      </c>
      <c r="M106" s="121">
        <v>-1.237</v>
      </c>
      <c r="N106" s="122">
        <v>0.887</v>
      </c>
      <c r="O106" s="120">
        <v>48.4</v>
      </c>
      <c r="P106" s="120">
        <v>4.665361172491544</v>
      </c>
      <c r="Q106" s="123">
        <v>4.431870342870981</v>
      </c>
      <c r="R106" s="120">
        <v>0.7142857142857143</v>
      </c>
      <c r="S106" s="120">
        <v>0.9499522500000003</v>
      </c>
      <c r="T106" s="15"/>
      <c r="U106" s="161"/>
      <c r="AE106" s="15"/>
      <c r="AF106" s="15"/>
    </row>
    <row r="107" ht="15.0" customHeight="1">
      <c r="A107" s="134" t="s">
        <v>244</v>
      </c>
      <c r="B107" s="3" t="s">
        <v>239</v>
      </c>
      <c r="C107" s="3" t="s">
        <v>30</v>
      </c>
      <c r="D107" s="135" t="s">
        <v>240</v>
      </c>
      <c r="E107" s="8">
        <v>4.0</v>
      </c>
      <c r="F107" s="183">
        <f t="shared" si="1"/>
        <v>2</v>
      </c>
      <c r="G107" s="162" t="s">
        <v>277</v>
      </c>
      <c r="H107" s="137">
        <v>10.5160495</v>
      </c>
      <c r="I107" s="137">
        <v>0.16584517</v>
      </c>
      <c r="J107" s="137">
        <v>5.44197572</v>
      </c>
      <c r="K107" s="120">
        <f t="shared" si="2"/>
        <v>63.40883789</v>
      </c>
      <c r="L107" s="121"/>
      <c r="M107" s="121">
        <v>-1.125</v>
      </c>
      <c r="N107" s="122"/>
      <c r="O107" s="120">
        <v>47.6</v>
      </c>
      <c r="P107" s="120">
        <v>7.822677125059891</v>
      </c>
      <c r="Q107" s="123">
        <v>6.173587165270854</v>
      </c>
      <c r="R107" s="120">
        <v>0.5714285714285714</v>
      </c>
      <c r="S107" s="120">
        <v>0.7891911000000001</v>
      </c>
      <c r="T107" s="15"/>
      <c r="U107" s="161"/>
      <c r="AE107" s="15"/>
      <c r="AF107" s="15"/>
    </row>
    <row r="108" ht="15.0" customHeight="1">
      <c r="A108" s="134" t="s">
        <v>244</v>
      </c>
      <c r="B108" s="3" t="s">
        <v>239</v>
      </c>
      <c r="C108" s="3" t="s">
        <v>30</v>
      </c>
      <c r="D108" s="135" t="s">
        <v>240</v>
      </c>
      <c r="E108" s="8">
        <v>5.0</v>
      </c>
      <c r="F108" s="183">
        <f t="shared" si="1"/>
        <v>2</v>
      </c>
      <c r="G108" s="162" t="s">
        <v>277</v>
      </c>
      <c r="H108" s="137">
        <v>8.84876193</v>
      </c>
      <c r="I108" s="137">
        <v>0.1649857</v>
      </c>
      <c r="J108" s="137">
        <v>5.84050306</v>
      </c>
      <c r="K108" s="120">
        <f t="shared" si="2"/>
        <v>53.63350842</v>
      </c>
      <c r="L108" s="121">
        <v>-0.408</v>
      </c>
      <c r="M108" s="121">
        <v>-1.22</v>
      </c>
      <c r="N108" s="122">
        <v>0.812</v>
      </c>
      <c r="O108" s="120">
        <v>45.6</v>
      </c>
      <c r="P108" s="120">
        <v>7.192737758620689</v>
      </c>
      <c r="Q108" s="123">
        <v>7.148115452113758</v>
      </c>
      <c r="R108" s="120">
        <v>0.8571428571428571</v>
      </c>
      <c r="S108" s="120">
        <v>0.9937962000000001</v>
      </c>
      <c r="T108" s="15"/>
      <c r="U108" s="161"/>
      <c r="AE108" s="15"/>
      <c r="AF108" s="15"/>
    </row>
    <row r="109" ht="15.0" customHeight="1">
      <c r="A109" s="134" t="s">
        <v>244</v>
      </c>
      <c r="B109" s="3" t="s">
        <v>239</v>
      </c>
      <c r="C109" s="3" t="s">
        <v>30</v>
      </c>
      <c r="D109" s="135" t="s">
        <v>240</v>
      </c>
      <c r="E109" s="8">
        <v>6.0</v>
      </c>
      <c r="F109" s="183">
        <f t="shared" si="1"/>
        <v>2</v>
      </c>
      <c r="G109" s="162" t="s">
        <v>277</v>
      </c>
      <c r="H109" s="137">
        <v>7.33879704</v>
      </c>
      <c r="I109" s="137">
        <v>0.10560734</v>
      </c>
      <c r="J109" s="137">
        <v>4.47720808</v>
      </c>
      <c r="K109" s="120">
        <f t="shared" si="2"/>
        <v>69.49135392</v>
      </c>
      <c r="L109" s="121"/>
      <c r="M109" s="121">
        <v>-1.14</v>
      </c>
      <c r="N109" s="122"/>
      <c r="O109" s="120">
        <v>47.8</v>
      </c>
      <c r="P109" s="120">
        <v>6.300011369606001</v>
      </c>
      <c r="Q109" s="123">
        <v>6.721289664885303</v>
      </c>
      <c r="R109" s="120">
        <v>0.8571428571428571</v>
      </c>
      <c r="S109" s="120">
        <v>1.0668694500000002</v>
      </c>
      <c r="T109" s="15"/>
      <c r="U109" s="161"/>
      <c r="AE109" s="15"/>
      <c r="AF109" s="15"/>
    </row>
    <row r="110" ht="15.0" customHeight="1">
      <c r="A110" s="134" t="s">
        <v>249</v>
      </c>
      <c r="B110" s="3" t="s">
        <v>250</v>
      </c>
      <c r="C110" s="3" t="s">
        <v>42</v>
      </c>
      <c r="D110" s="3" t="s">
        <v>251</v>
      </c>
      <c r="E110" s="8">
        <v>1.0</v>
      </c>
      <c r="F110" s="183">
        <f t="shared" si="1"/>
        <v>3</v>
      </c>
      <c r="G110" s="162" t="s">
        <v>277</v>
      </c>
      <c r="H110" s="137">
        <v>7.87537029</v>
      </c>
      <c r="I110" s="137">
        <v>0.1528763</v>
      </c>
      <c r="J110" s="137">
        <v>4.57560118</v>
      </c>
      <c r="K110" s="120">
        <f t="shared" si="2"/>
        <v>51.51465786</v>
      </c>
      <c r="L110" s="121">
        <v>-0.378</v>
      </c>
      <c r="M110" s="121">
        <v>-1.128</v>
      </c>
      <c r="N110" s="122">
        <v>0.75</v>
      </c>
      <c r="O110" s="120">
        <v>39.9</v>
      </c>
      <c r="P110" s="120">
        <v>6.100801573333333</v>
      </c>
      <c r="Q110" s="123">
        <v>6.687080978528702</v>
      </c>
      <c r="R110" s="120">
        <v>0.7142857142857143</v>
      </c>
      <c r="S110" s="120">
        <v>1.0960987500000003</v>
      </c>
      <c r="T110" s="15"/>
      <c r="U110" s="161"/>
      <c r="AE110" s="15"/>
      <c r="AF110" s="15"/>
    </row>
    <row r="111" ht="15.0" customHeight="1">
      <c r="A111" s="134" t="s">
        <v>249</v>
      </c>
      <c r="B111" s="3" t="s">
        <v>250</v>
      </c>
      <c r="C111" s="3" t="s">
        <v>42</v>
      </c>
      <c r="D111" s="3" t="s">
        <v>251</v>
      </c>
      <c r="E111" s="8">
        <v>2.0</v>
      </c>
      <c r="F111" s="183">
        <f t="shared" si="1"/>
        <v>3</v>
      </c>
      <c r="G111" s="162" t="s">
        <v>277</v>
      </c>
      <c r="H111" s="137">
        <v>5.72744644</v>
      </c>
      <c r="I111" s="137">
        <v>0.07437795</v>
      </c>
      <c r="J111" s="137">
        <v>2.07476313</v>
      </c>
      <c r="K111" s="120">
        <f t="shared" si="2"/>
        <v>77.00462893</v>
      </c>
      <c r="L111" s="121"/>
      <c r="M111" s="121">
        <v>-1.087</v>
      </c>
      <c r="N111" s="122"/>
      <c r="O111" s="120">
        <v>29.5</v>
      </c>
      <c r="P111" s="120">
        <v>2.8151467164179107</v>
      </c>
      <c r="Q111" s="123">
        <v>2.7565397252595005</v>
      </c>
      <c r="R111" s="120">
        <v>0.8571428571428571</v>
      </c>
      <c r="S111" s="120">
        <v>0.9791815500000003</v>
      </c>
      <c r="T111" s="15"/>
      <c r="U111" s="161"/>
      <c r="AE111" s="15"/>
      <c r="AF111" s="15"/>
    </row>
    <row r="112" ht="15.0" customHeight="1">
      <c r="A112" s="134" t="s">
        <v>249</v>
      </c>
      <c r="B112" s="3" t="s">
        <v>250</v>
      </c>
      <c r="C112" s="3" t="s">
        <v>42</v>
      </c>
      <c r="D112" s="3" t="s">
        <v>251</v>
      </c>
      <c r="E112" s="8">
        <v>3.0</v>
      </c>
      <c r="F112" s="183">
        <f t="shared" si="1"/>
        <v>3</v>
      </c>
      <c r="G112" s="162" t="s">
        <v>277</v>
      </c>
      <c r="H112" s="137">
        <v>6.76604208</v>
      </c>
      <c r="I112" s="137">
        <v>0.09596353</v>
      </c>
      <c r="J112" s="137">
        <v>3.7830597</v>
      </c>
      <c r="K112" s="120">
        <f t="shared" si="2"/>
        <v>70.50639008</v>
      </c>
      <c r="L112" s="121">
        <v>-0.329</v>
      </c>
      <c r="M112" s="121">
        <v>-1.045</v>
      </c>
      <c r="N112" s="122">
        <v>0.716</v>
      </c>
      <c r="O112" s="120">
        <v>37.9</v>
      </c>
      <c r="P112" s="120">
        <v>5.283602932960894</v>
      </c>
      <c r="Q112" s="123">
        <v>5.482478539897983</v>
      </c>
      <c r="R112" s="120">
        <v>1.0</v>
      </c>
      <c r="S112" s="120">
        <v>1.03764015</v>
      </c>
      <c r="T112" s="15"/>
      <c r="U112" s="161"/>
      <c r="AE112" s="15"/>
      <c r="AF112" s="15"/>
    </row>
    <row r="113" ht="15.0" customHeight="1">
      <c r="A113" s="134" t="s">
        <v>249</v>
      </c>
      <c r="B113" s="3" t="s">
        <v>250</v>
      </c>
      <c r="C113" s="3" t="s">
        <v>42</v>
      </c>
      <c r="D113" s="3" t="s">
        <v>251</v>
      </c>
      <c r="E113" s="8">
        <v>4.0</v>
      </c>
      <c r="F113" s="183">
        <f t="shared" si="1"/>
        <v>3</v>
      </c>
      <c r="G113" s="162" t="s">
        <v>277</v>
      </c>
      <c r="H113" s="137">
        <v>8.48036344</v>
      </c>
      <c r="I113" s="137">
        <v>0.14711526</v>
      </c>
      <c r="J113" s="137">
        <v>5.05278481</v>
      </c>
      <c r="K113" s="120">
        <f t="shared" si="2"/>
        <v>57.64434934</v>
      </c>
      <c r="L113" s="121"/>
      <c r="M113" s="121">
        <v>-0.978</v>
      </c>
      <c r="N113" s="122"/>
      <c r="O113" s="120">
        <v>37.1</v>
      </c>
      <c r="P113" s="120">
        <v>8.045835684713376</v>
      </c>
      <c r="Q113" s="123">
        <v>7.878333856802957</v>
      </c>
      <c r="R113" s="120">
        <v>0.8571428571428571</v>
      </c>
      <c r="S113" s="120">
        <v>0.9791815500000003</v>
      </c>
      <c r="T113" s="15"/>
      <c r="U113" s="161"/>
      <c r="AE113" s="15"/>
      <c r="AF113" s="15"/>
    </row>
    <row r="114" ht="15.0" customHeight="1">
      <c r="A114" s="134" t="s">
        <v>249</v>
      </c>
      <c r="B114" s="3" t="s">
        <v>250</v>
      </c>
      <c r="C114" s="3" t="s">
        <v>42</v>
      </c>
      <c r="D114" s="3" t="s">
        <v>251</v>
      </c>
      <c r="E114" s="8">
        <v>5.0</v>
      </c>
      <c r="F114" s="183">
        <f t="shared" si="1"/>
        <v>3</v>
      </c>
      <c r="G114" s="162" t="s">
        <v>277</v>
      </c>
      <c r="H114" s="137">
        <v>11.2872779</v>
      </c>
      <c r="I114" s="137">
        <v>0.16181459</v>
      </c>
      <c r="J114" s="137">
        <v>6.10990972</v>
      </c>
      <c r="K114" s="120">
        <f t="shared" si="2"/>
        <v>69.75438927</v>
      </c>
      <c r="L114" s="121">
        <v>-0.343</v>
      </c>
      <c r="M114" s="121">
        <v>-1.118</v>
      </c>
      <c r="N114" s="122">
        <v>0.775</v>
      </c>
      <c r="O114" s="120">
        <v>38.0</v>
      </c>
      <c r="P114" s="120">
        <v>7.8837544774193535</v>
      </c>
      <c r="Q114" s="123">
        <v>9.217464989873344</v>
      </c>
      <c r="R114" s="120">
        <v>1.0</v>
      </c>
      <c r="S114" s="120">
        <v>1.1691720000000003</v>
      </c>
      <c r="T114" s="15"/>
      <c r="U114" s="161"/>
      <c r="AE114" s="15"/>
      <c r="AF114" s="15"/>
    </row>
    <row r="115" ht="15.0" customHeight="1">
      <c r="A115" s="134" t="s">
        <v>249</v>
      </c>
      <c r="B115" s="3" t="s">
        <v>250</v>
      </c>
      <c r="C115" s="3" t="s">
        <v>42</v>
      </c>
      <c r="D115" s="3" t="s">
        <v>251</v>
      </c>
      <c r="E115" s="8">
        <v>6.0</v>
      </c>
      <c r="F115" s="183">
        <f t="shared" si="1"/>
        <v>3</v>
      </c>
      <c r="G115" s="162" t="s">
        <v>277</v>
      </c>
      <c r="H115" s="137">
        <v>8.92967586</v>
      </c>
      <c r="I115" s="137">
        <v>0.12803493</v>
      </c>
      <c r="J115" s="137">
        <v>4.84053705</v>
      </c>
      <c r="K115" s="120">
        <f t="shared" si="2"/>
        <v>69.74406016</v>
      </c>
      <c r="L115" s="121"/>
      <c r="M115" s="121">
        <v>-0.997</v>
      </c>
      <c r="N115" s="122"/>
      <c r="O115" s="120">
        <v>39.8</v>
      </c>
      <c r="P115" s="120">
        <v>7.481510123647604</v>
      </c>
      <c r="Q115" s="123">
        <v>8.528492850428187</v>
      </c>
      <c r="R115" s="120">
        <v>0.8571428571428571</v>
      </c>
      <c r="S115" s="120">
        <v>1.1399427000000004</v>
      </c>
      <c r="T115" s="15"/>
      <c r="U115" s="161"/>
      <c r="AE115" s="15"/>
      <c r="AF115" s="15"/>
    </row>
    <row r="116" ht="15.0" customHeight="1">
      <c r="A116" s="134" t="s">
        <v>256</v>
      </c>
      <c r="B116" s="3" t="s">
        <v>257</v>
      </c>
      <c r="C116" s="3" t="s">
        <v>242</v>
      </c>
      <c r="D116" s="135" t="s">
        <v>240</v>
      </c>
      <c r="E116" s="8">
        <v>1.0</v>
      </c>
      <c r="F116" s="183">
        <f t="shared" si="1"/>
        <v>4</v>
      </c>
      <c r="G116" s="162" t="s">
        <v>277</v>
      </c>
      <c r="H116" s="137">
        <v>9.9782164</v>
      </c>
      <c r="I116" s="137">
        <v>0.21463845</v>
      </c>
      <c r="J116" s="137">
        <v>6.08599331</v>
      </c>
      <c r="K116" s="120">
        <f t="shared" si="2"/>
        <v>46.48848517</v>
      </c>
      <c r="L116" s="121">
        <v>-0.49</v>
      </c>
      <c r="M116" s="121">
        <v>-1.197</v>
      </c>
      <c r="N116" s="122">
        <v>0.707</v>
      </c>
      <c r="O116" s="120">
        <v>44.1</v>
      </c>
      <c r="P116" s="120">
        <v>8.608194214992928</v>
      </c>
      <c r="Q116" s="123">
        <v>8.051567717385371</v>
      </c>
      <c r="R116" s="120">
        <v>0.42857142857142855</v>
      </c>
      <c r="S116" s="120">
        <v>0.9353376000000002</v>
      </c>
      <c r="T116" s="15"/>
      <c r="U116" s="161"/>
      <c r="AE116" s="15"/>
      <c r="AF116" s="15"/>
    </row>
    <row r="117" ht="15.0" customHeight="1">
      <c r="A117" s="134" t="s">
        <v>256</v>
      </c>
      <c r="B117" s="3" t="s">
        <v>257</v>
      </c>
      <c r="C117" s="3" t="s">
        <v>242</v>
      </c>
      <c r="D117" s="135" t="s">
        <v>240</v>
      </c>
      <c r="E117" s="8">
        <v>2.0</v>
      </c>
      <c r="F117" s="183">
        <f t="shared" si="1"/>
        <v>4</v>
      </c>
      <c r="G117" s="162" t="s">
        <v>277</v>
      </c>
      <c r="H117" s="137">
        <v>7.84345957</v>
      </c>
      <c r="I117" s="137">
        <v>0.1645392</v>
      </c>
      <c r="J117" s="137">
        <v>4.14556703</v>
      </c>
      <c r="K117" s="120">
        <f t="shared" si="2"/>
        <v>47.66924581</v>
      </c>
      <c r="L117" s="121"/>
      <c r="M117" s="121">
        <v>-1.032</v>
      </c>
      <c r="N117" s="122"/>
      <c r="O117" s="120">
        <v>43.6</v>
      </c>
      <c r="P117" s="120">
        <v>6.867273560057646</v>
      </c>
      <c r="Q117" s="123">
        <v>6.423219170207776</v>
      </c>
      <c r="R117" s="120">
        <v>1.1428571428571428</v>
      </c>
      <c r="S117" s="120">
        <v>0.9353376000000002</v>
      </c>
      <c r="T117" s="15"/>
      <c r="U117" s="161"/>
      <c r="AE117" s="15"/>
      <c r="AF117" s="15"/>
    </row>
    <row r="118" ht="15.0" customHeight="1">
      <c r="A118" s="134" t="s">
        <v>256</v>
      </c>
      <c r="B118" s="3" t="s">
        <v>257</v>
      </c>
      <c r="C118" s="3" t="s">
        <v>242</v>
      </c>
      <c r="D118" s="135" t="s">
        <v>240</v>
      </c>
      <c r="E118" s="8">
        <v>3.0</v>
      </c>
      <c r="F118" s="183">
        <f t="shared" si="1"/>
        <v>4</v>
      </c>
      <c r="G118" s="162" t="s">
        <v>277</v>
      </c>
      <c r="H118" s="137">
        <v>10.3479577</v>
      </c>
      <c r="I118" s="137">
        <v>0.16178691</v>
      </c>
      <c r="J118" s="137">
        <v>5.88070421</v>
      </c>
      <c r="K118" s="120">
        <f t="shared" si="2"/>
        <v>63.96041373</v>
      </c>
      <c r="L118" s="121">
        <v>-0.32</v>
      </c>
      <c r="M118" s="121">
        <v>-1.176</v>
      </c>
      <c r="N118" s="122">
        <v>0.856</v>
      </c>
      <c r="O118" s="120">
        <v>48.8</v>
      </c>
      <c r="P118" s="120">
        <v>6.869981553738319</v>
      </c>
      <c r="Q118" s="123">
        <v>6.827361562175239</v>
      </c>
      <c r="R118" s="120">
        <v>0.8571428571428571</v>
      </c>
      <c r="S118" s="120">
        <v>0.9937962000000001</v>
      </c>
      <c r="T118" s="15"/>
      <c r="U118" s="161"/>
      <c r="AE118" s="15"/>
      <c r="AF118" s="15"/>
    </row>
    <row r="119" ht="15.0" customHeight="1">
      <c r="A119" s="134" t="s">
        <v>256</v>
      </c>
      <c r="B119" s="3" t="s">
        <v>257</v>
      </c>
      <c r="C119" s="3" t="s">
        <v>242</v>
      </c>
      <c r="D119" s="135" t="s">
        <v>240</v>
      </c>
      <c r="E119" s="8">
        <v>4.0</v>
      </c>
      <c r="F119" s="183">
        <f t="shared" si="1"/>
        <v>4</v>
      </c>
      <c r="G119" s="162" t="s">
        <v>277</v>
      </c>
      <c r="H119" s="137">
        <v>8.11922067</v>
      </c>
      <c r="I119" s="137">
        <v>0.17638161</v>
      </c>
      <c r="J119" s="137">
        <v>5.69988022</v>
      </c>
      <c r="K119" s="120">
        <f t="shared" si="2"/>
        <v>46.03212699</v>
      </c>
      <c r="L119" s="121"/>
      <c r="M119" s="121">
        <v>-1.132</v>
      </c>
      <c r="N119" s="122"/>
      <c r="O119" s="120">
        <v>53.8</v>
      </c>
      <c r="P119" s="120">
        <v>8.100217744113008</v>
      </c>
      <c r="Q119" s="123">
        <v>7.339674529748074</v>
      </c>
      <c r="R119" s="120">
        <v>0.2857142857142857</v>
      </c>
      <c r="S119" s="120">
        <v>0.9061083000000002</v>
      </c>
      <c r="T119" s="15"/>
      <c r="U119" s="161"/>
      <c r="AE119" s="15"/>
      <c r="AF119" s="15"/>
    </row>
    <row r="120" ht="15.0" customHeight="1">
      <c r="A120" s="134" t="s">
        <v>256</v>
      </c>
      <c r="B120" s="3" t="s">
        <v>257</v>
      </c>
      <c r="C120" s="3" t="s">
        <v>242</v>
      </c>
      <c r="D120" s="135" t="s">
        <v>240</v>
      </c>
      <c r="E120" s="8">
        <v>5.0</v>
      </c>
      <c r="F120" s="183">
        <f t="shared" si="1"/>
        <v>4</v>
      </c>
      <c r="G120" s="162" t="s">
        <v>277</v>
      </c>
      <c r="H120" s="137">
        <v>11.836214</v>
      </c>
      <c r="I120" s="137">
        <v>0.20038511</v>
      </c>
      <c r="J120" s="137">
        <v>7.16398258</v>
      </c>
      <c r="K120" s="120">
        <f t="shared" si="2"/>
        <v>59.0673329</v>
      </c>
      <c r="L120" s="121">
        <v>-0.475</v>
      </c>
      <c r="M120" s="121">
        <v>-1.077</v>
      </c>
      <c r="N120" s="122">
        <v>0.602</v>
      </c>
      <c r="O120" s="120">
        <v>46.8</v>
      </c>
      <c r="P120" s="120">
        <v>11.900303289036545</v>
      </c>
      <c r="Q120" s="123">
        <v>11.13080111763955</v>
      </c>
      <c r="R120" s="120">
        <v>0.8571428571428571</v>
      </c>
      <c r="S120" s="120">
        <v>0.9353376000000002</v>
      </c>
      <c r="T120" s="15"/>
      <c r="U120" s="161"/>
      <c r="AE120" s="15"/>
      <c r="AF120" s="15"/>
    </row>
    <row r="121" ht="15.0" customHeight="1">
      <c r="A121" s="134" t="s">
        <v>256</v>
      </c>
      <c r="B121" s="3" t="s">
        <v>257</v>
      </c>
      <c r="C121" s="3" t="s">
        <v>242</v>
      </c>
      <c r="D121" s="135" t="s">
        <v>240</v>
      </c>
      <c r="E121" s="8">
        <v>6.0</v>
      </c>
      <c r="F121" s="183">
        <f t="shared" si="1"/>
        <v>4</v>
      </c>
      <c r="G121" s="162" t="s">
        <v>277</v>
      </c>
      <c r="H121" s="137">
        <v>8.60778847</v>
      </c>
      <c r="I121" s="137">
        <v>0.1282694</v>
      </c>
      <c r="J121" s="137">
        <v>4.85926985</v>
      </c>
      <c r="K121" s="120">
        <f t="shared" si="2"/>
        <v>67.10710793</v>
      </c>
      <c r="L121" s="121"/>
      <c r="M121" s="121">
        <v>-0.958</v>
      </c>
      <c r="N121" s="122"/>
      <c r="O121" s="120">
        <v>49.6</v>
      </c>
      <c r="P121" s="120">
        <v>9.174145883285819</v>
      </c>
      <c r="Q121" s="123">
        <v>9.787615972720907</v>
      </c>
      <c r="R121" s="120">
        <v>0.8571428571428571</v>
      </c>
      <c r="S121" s="120">
        <v>1.0668694500000002</v>
      </c>
      <c r="T121" s="15"/>
      <c r="U121" s="161"/>
      <c r="AE121" s="15"/>
      <c r="AF121" s="15"/>
    </row>
    <row r="122" ht="15.0" customHeight="1">
      <c r="A122" s="134" t="s">
        <v>249</v>
      </c>
      <c r="B122" s="3" t="s">
        <v>258</v>
      </c>
      <c r="C122" s="3" t="s">
        <v>65</v>
      </c>
      <c r="D122" s="3" t="s">
        <v>251</v>
      </c>
      <c r="E122" s="8">
        <v>1.0</v>
      </c>
      <c r="F122" s="183">
        <f t="shared" si="1"/>
        <v>5</v>
      </c>
      <c r="G122" s="162" t="s">
        <v>277</v>
      </c>
      <c r="H122" s="137">
        <v>6.96508331</v>
      </c>
      <c r="I122" s="137">
        <v>0.1139059</v>
      </c>
      <c r="J122" s="137">
        <v>3.83991721</v>
      </c>
      <c r="K122" s="120">
        <f t="shared" si="2"/>
        <v>61.14769569</v>
      </c>
      <c r="L122" s="121">
        <v>-0.52</v>
      </c>
      <c r="M122" s="121">
        <v>-1.223</v>
      </c>
      <c r="N122" s="122">
        <v>0.703</v>
      </c>
      <c r="O122" s="120">
        <v>35.2</v>
      </c>
      <c r="P122" s="120">
        <v>5.462186642958748</v>
      </c>
      <c r="Q122" s="123">
        <v>5.907268005592263</v>
      </c>
      <c r="R122" s="120">
        <v>0.7142857142857143</v>
      </c>
      <c r="S122" s="120">
        <v>1.0814841000000002</v>
      </c>
      <c r="T122" s="15"/>
      <c r="U122" s="161"/>
      <c r="AE122" s="15"/>
      <c r="AF122" s="15"/>
    </row>
    <row r="123" ht="15.0" customHeight="1">
      <c r="A123" s="134" t="s">
        <v>249</v>
      </c>
      <c r="B123" s="3" t="s">
        <v>258</v>
      </c>
      <c r="C123" s="3" t="s">
        <v>65</v>
      </c>
      <c r="D123" s="3" t="s">
        <v>251</v>
      </c>
      <c r="E123" s="8">
        <v>2.0</v>
      </c>
      <c r="F123" s="183">
        <f t="shared" si="1"/>
        <v>5</v>
      </c>
      <c r="G123" s="162" t="s">
        <v>277</v>
      </c>
      <c r="H123" s="137">
        <v>7.34186305</v>
      </c>
      <c r="I123" s="137">
        <v>0.14874563</v>
      </c>
      <c r="J123" s="137">
        <v>3.63629375</v>
      </c>
      <c r="K123" s="120">
        <f t="shared" si="2"/>
        <v>49.35851258</v>
      </c>
      <c r="L123" s="121"/>
      <c r="M123" s="121">
        <v>-1.056</v>
      </c>
      <c r="N123" s="122"/>
      <c r="O123" s="120">
        <v>40.0</v>
      </c>
      <c r="P123" s="120">
        <v>6.027039514030464</v>
      </c>
      <c r="Q123" s="123">
        <v>5.725399747192148</v>
      </c>
      <c r="R123" s="120">
        <v>0.8571428571428571</v>
      </c>
      <c r="S123" s="120">
        <v>0.9499522500000003</v>
      </c>
      <c r="T123" s="15"/>
      <c r="U123" s="161"/>
      <c r="AE123" s="15"/>
      <c r="AF123" s="15"/>
    </row>
    <row r="124" ht="15.0" customHeight="1">
      <c r="A124" s="134" t="s">
        <v>249</v>
      </c>
      <c r="B124" s="3" t="s">
        <v>258</v>
      </c>
      <c r="C124" s="3" t="s">
        <v>65</v>
      </c>
      <c r="D124" s="3" t="s">
        <v>251</v>
      </c>
      <c r="E124" s="8">
        <v>3.0</v>
      </c>
      <c r="F124" s="183">
        <f t="shared" si="1"/>
        <v>5</v>
      </c>
      <c r="G124" s="162" t="s">
        <v>277</v>
      </c>
      <c r="H124" s="137">
        <v>10.6175231</v>
      </c>
      <c r="I124" s="137">
        <v>0.17767972</v>
      </c>
      <c r="J124" s="137">
        <v>6.11709147</v>
      </c>
      <c r="K124" s="120">
        <f t="shared" si="2"/>
        <v>59.75652764</v>
      </c>
      <c r="L124" s="121">
        <v>-0.321</v>
      </c>
      <c r="M124" s="121">
        <v>-1.098</v>
      </c>
      <c r="N124" s="122">
        <v>0.777</v>
      </c>
      <c r="O124" s="120">
        <v>32.6</v>
      </c>
      <c r="P124" s="120">
        <v>7.872704594594594</v>
      </c>
      <c r="Q124" s="123">
        <v>9.434659420678136</v>
      </c>
      <c r="R124" s="120">
        <v>1.1428571428571428</v>
      </c>
      <c r="S124" s="120">
        <v>1.1984013000000002</v>
      </c>
      <c r="T124" s="15"/>
      <c r="U124" s="161"/>
      <c r="AE124" s="15"/>
      <c r="AF124" s="15"/>
    </row>
    <row r="125" ht="15.0" customHeight="1">
      <c r="A125" s="134" t="s">
        <v>249</v>
      </c>
      <c r="B125" s="3" t="s">
        <v>258</v>
      </c>
      <c r="C125" s="3" t="s">
        <v>65</v>
      </c>
      <c r="D125" s="3" t="s">
        <v>251</v>
      </c>
      <c r="E125" s="8">
        <v>4.0</v>
      </c>
      <c r="F125" s="183">
        <f t="shared" si="1"/>
        <v>5</v>
      </c>
      <c r="G125" s="162" t="s">
        <v>277</v>
      </c>
      <c r="H125" s="137">
        <v>6.11570676</v>
      </c>
      <c r="I125" s="137">
        <v>0.17557154</v>
      </c>
      <c r="J125" s="137">
        <v>5.95323413</v>
      </c>
      <c r="K125" s="120">
        <f t="shared" si="2"/>
        <v>34.83313275</v>
      </c>
      <c r="L125" s="121"/>
      <c r="M125" s="121">
        <v>-1.04</v>
      </c>
      <c r="N125" s="122"/>
      <c r="O125" s="120">
        <v>37.2</v>
      </c>
      <c r="P125" s="120">
        <v>10.136097475014047</v>
      </c>
      <c r="Q125" s="123">
        <v>11.110163772241055</v>
      </c>
      <c r="R125" s="120">
        <v>0.8571428571428571</v>
      </c>
      <c r="S125" s="120">
        <v>1.0960987500000003</v>
      </c>
      <c r="T125" s="15"/>
      <c r="U125" s="161"/>
      <c r="AE125" s="15"/>
      <c r="AF125" s="15"/>
    </row>
    <row r="126" ht="15.0" customHeight="1">
      <c r="A126" s="134" t="s">
        <v>249</v>
      </c>
      <c r="B126" s="3" t="s">
        <v>258</v>
      </c>
      <c r="C126" s="3" t="s">
        <v>65</v>
      </c>
      <c r="D126" s="3" t="s">
        <v>251</v>
      </c>
      <c r="E126" s="8">
        <v>5.0</v>
      </c>
      <c r="F126" s="183">
        <f t="shared" si="1"/>
        <v>5</v>
      </c>
      <c r="G126" s="162" t="s">
        <v>277</v>
      </c>
      <c r="H126" s="137">
        <v>8.35397788</v>
      </c>
      <c r="I126" s="137">
        <v>0.12495074</v>
      </c>
      <c r="J126" s="137">
        <v>5.05871828</v>
      </c>
      <c r="K126" s="120">
        <f t="shared" si="2"/>
        <v>66.85817051</v>
      </c>
      <c r="L126" s="121">
        <v>-0.517</v>
      </c>
      <c r="M126" s="121">
        <v>-1.045</v>
      </c>
      <c r="N126" s="122">
        <v>0.528</v>
      </c>
      <c r="O126" s="120">
        <v>38.3</v>
      </c>
      <c r="P126" s="120">
        <v>9.580905833333334</v>
      </c>
      <c r="Q126" s="123">
        <v>9.941532566035876</v>
      </c>
      <c r="R126" s="120">
        <v>0.7142857142857143</v>
      </c>
      <c r="S126" s="120">
        <v>1.03764015</v>
      </c>
      <c r="T126" s="15"/>
      <c r="U126" s="161"/>
      <c r="AE126" s="15"/>
      <c r="AF126" s="15"/>
    </row>
    <row r="127" ht="15.0" customHeight="1">
      <c r="A127" s="134" t="s">
        <v>249</v>
      </c>
      <c r="B127" s="3" t="s">
        <v>258</v>
      </c>
      <c r="C127" s="3" t="s">
        <v>65</v>
      </c>
      <c r="D127" s="3" t="s">
        <v>251</v>
      </c>
      <c r="E127" s="8">
        <v>6.0</v>
      </c>
      <c r="F127" s="183">
        <f t="shared" si="1"/>
        <v>5</v>
      </c>
      <c r="G127" s="162" t="s">
        <v>277</v>
      </c>
      <c r="H127" s="137">
        <v>8.72802161</v>
      </c>
      <c r="I127" s="137">
        <v>0.13309913</v>
      </c>
      <c r="J127" s="137">
        <v>5.27032718</v>
      </c>
      <c r="K127" s="120">
        <f t="shared" si="2"/>
        <v>65.57534681</v>
      </c>
      <c r="L127" s="121"/>
      <c r="M127" s="121">
        <v>-1.102</v>
      </c>
      <c r="N127" s="122"/>
      <c r="O127" s="120">
        <v>41.2</v>
      </c>
      <c r="P127" s="120">
        <v>8.11656196387045</v>
      </c>
      <c r="Q127" s="123">
        <v>9.252415559811785</v>
      </c>
      <c r="R127" s="120">
        <v>1.0</v>
      </c>
      <c r="S127" s="120">
        <v>1.1399427000000004</v>
      </c>
      <c r="T127" s="15"/>
      <c r="U127" s="161"/>
      <c r="AE127" s="15"/>
      <c r="AF127" s="15"/>
    </row>
    <row r="128" ht="15.0" customHeight="1">
      <c r="A128" s="134" t="s">
        <v>256</v>
      </c>
      <c r="B128" s="3" t="s">
        <v>239</v>
      </c>
      <c r="C128" s="3" t="s">
        <v>243</v>
      </c>
      <c r="D128" s="135" t="s">
        <v>240</v>
      </c>
      <c r="E128" s="8">
        <v>1.0</v>
      </c>
      <c r="F128" s="183">
        <f t="shared" si="1"/>
        <v>6</v>
      </c>
      <c r="G128" s="162" t="s">
        <v>277</v>
      </c>
      <c r="H128" s="137">
        <v>5.25483356</v>
      </c>
      <c r="I128" s="137">
        <v>0.09417166</v>
      </c>
      <c r="J128" s="137">
        <v>3.4887761</v>
      </c>
      <c r="K128" s="120">
        <f t="shared" si="2"/>
        <v>55.80058332</v>
      </c>
      <c r="L128" s="121">
        <v>-0.513</v>
      </c>
      <c r="M128" s="121">
        <v>-1.168</v>
      </c>
      <c r="N128" s="122">
        <v>0.655</v>
      </c>
      <c r="O128" s="120">
        <v>43.8</v>
      </c>
      <c r="P128" s="120">
        <v>5.32637572519084</v>
      </c>
      <c r="Q128" s="123">
        <v>5.293331955466901</v>
      </c>
      <c r="R128" s="120">
        <v>0.7142857142857143</v>
      </c>
      <c r="S128" s="120">
        <v>0.9937962000000001</v>
      </c>
      <c r="T128" s="15"/>
      <c r="U128" s="161"/>
      <c r="AE128" s="15"/>
      <c r="AF128" s="15"/>
    </row>
    <row r="129" ht="15.0" customHeight="1">
      <c r="A129" s="134" t="s">
        <v>256</v>
      </c>
      <c r="B129" s="3" t="s">
        <v>239</v>
      </c>
      <c r="C129" s="3" t="s">
        <v>243</v>
      </c>
      <c r="D129" s="135" t="s">
        <v>240</v>
      </c>
      <c r="E129" s="8">
        <v>2.0</v>
      </c>
      <c r="F129" s="183">
        <f t="shared" si="1"/>
        <v>6</v>
      </c>
      <c r="G129" s="162" t="s">
        <v>277</v>
      </c>
      <c r="H129" s="137">
        <v>5.53517296</v>
      </c>
      <c r="I129" s="137">
        <v>0.07996899</v>
      </c>
      <c r="J129" s="137">
        <v>2.47564692</v>
      </c>
      <c r="K129" s="120">
        <f t="shared" si="2"/>
        <v>69.21649204</v>
      </c>
      <c r="L129" s="121"/>
      <c r="M129" s="121">
        <v>-1.052</v>
      </c>
      <c r="N129" s="122"/>
      <c r="O129" s="120">
        <v>50.5</v>
      </c>
      <c r="P129" s="120">
        <v>4.5397225899913805</v>
      </c>
      <c r="Q129" s="123">
        <v>5.042330712986132</v>
      </c>
      <c r="R129" s="120">
        <v>1.2857142857142858</v>
      </c>
      <c r="S129" s="120">
        <v>1.1107134</v>
      </c>
      <c r="T129" s="15"/>
      <c r="U129" s="161"/>
      <c r="AE129" s="15"/>
      <c r="AF129" s="15"/>
    </row>
    <row r="130" ht="15.0" customHeight="1">
      <c r="A130" s="134" t="s">
        <v>256</v>
      </c>
      <c r="B130" s="3" t="s">
        <v>239</v>
      </c>
      <c r="C130" s="3" t="s">
        <v>243</v>
      </c>
      <c r="D130" s="135" t="s">
        <v>240</v>
      </c>
      <c r="E130" s="8">
        <v>3.0</v>
      </c>
      <c r="F130" s="183">
        <f t="shared" si="1"/>
        <v>6</v>
      </c>
      <c r="G130" s="162" t="s">
        <v>277</v>
      </c>
      <c r="H130" s="137">
        <v>11.2441917</v>
      </c>
      <c r="I130" s="137">
        <v>0.19363732</v>
      </c>
      <c r="J130" s="137">
        <v>6.57142378</v>
      </c>
      <c r="K130" s="120">
        <f t="shared" si="2"/>
        <v>58.06830884</v>
      </c>
      <c r="L130" s="121">
        <v>-0.46</v>
      </c>
      <c r="M130" s="121">
        <v>-1.181</v>
      </c>
      <c r="N130" s="122">
        <v>0.721</v>
      </c>
      <c r="O130" s="120">
        <v>52.9</v>
      </c>
      <c r="P130" s="120">
        <v>9.1143186962552</v>
      </c>
      <c r="Q130" s="123">
        <v>9.324180441395827</v>
      </c>
      <c r="R130" s="120">
        <v>1.0</v>
      </c>
      <c r="S130" s="120">
        <v>1.0230255000000004</v>
      </c>
      <c r="T130" s="15"/>
      <c r="U130" s="161"/>
      <c r="AE130" s="15"/>
      <c r="AF130" s="15"/>
    </row>
    <row r="131" ht="15.0" customHeight="1">
      <c r="A131" s="134" t="s">
        <v>256</v>
      </c>
      <c r="B131" s="3" t="s">
        <v>239</v>
      </c>
      <c r="C131" s="3" t="s">
        <v>243</v>
      </c>
      <c r="D131" s="135" t="s">
        <v>240</v>
      </c>
      <c r="E131" s="8">
        <v>4.0</v>
      </c>
      <c r="F131" s="183">
        <f t="shared" si="1"/>
        <v>6</v>
      </c>
      <c r="G131" s="162" t="s">
        <v>277</v>
      </c>
      <c r="H131" s="137">
        <v>10.6091507</v>
      </c>
      <c r="I131" s="137">
        <v>0.20508299</v>
      </c>
      <c r="J131" s="137">
        <v>6.59408621</v>
      </c>
      <c r="K131" s="120">
        <f t="shared" si="2"/>
        <v>51.73101241</v>
      </c>
      <c r="L131" s="121"/>
      <c r="M131" s="121">
        <v>-0.998</v>
      </c>
      <c r="N131" s="122"/>
      <c r="O131" s="120">
        <v>27.7</v>
      </c>
      <c r="P131" s="120">
        <v>13.420890664115767</v>
      </c>
      <c r="Q131" s="123">
        <v>12.356922043892132</v>
      </c>
      <c r="R131" s="120">
        <v>0.0</v>
      </c>
      <c r="S131" s="120">
        <v>0.9207229500000002</v>
      </c>
      <c r="T131" s="15"/>
      <c r="U131" s="161"/>
      <c r="AE131" s="15"/>
      <c r="AF131" s="15"/>
    </row>
    <row r="132" ht="15.0" customHeight="1">
      <c r="A132" s="134" t="s">
        <v>256</v>
      </c>
      <c r="B132" s="3" t="s">
        <v>239</v>
      </c>
      <c r="C132" s="3" t="s">
        <v>243</v>
      </c>
      <c r="D132" s="135" t="s">
        <v>240</v>
      </c>
      <c r="E132" s="8">
        <v>5.0</v>
      </c>
      <c r="F132" s="183">
        <f t="shared" si="1"/>
        <v>6</v>
      </c>
      <c r="G132" s="162" t="s">
        <v>277</v>
      </c>
      <c r="H132" s="137">
        <v>14.7087608</v>
      </c>
      <c r="I132" s="137">
        <v>0.28184839</v>
      </c>
      <c r="J132" s="137">
        <v>8.86117499</v>
      </c>
      <c r="K132" s="120">
        <f t="shared" si="2"/>
        <v>52.18678311</v>
      </c>
      <c r="L132" s="121">
        <v>-0.547</v>
      </c>
      <c r="M132" s="121">
        <v>-0.983</v>
      </c>
      <c r="N132" s="122">
        <v>0.436</v>
      </c>
      <c r="O132" s="120">
        <v>58.9</v>
      </c>
      <c r="P132" s="120">
        <v>20.323795848623856</v>
      </c>
      <c r="Q132" s="123">
        <v>19.90068592093908</v>
      </c>
      <c r="R132" s="120">
        <v>0.8571428571428571</v>
      </c>
      <c r="S132" s="120">
        <v>0.9791815500000003</v>
      </c>
      <c r="T132" s="15"/>
      <c r="U132" s="161"/>
      <c r="AE132" s="15"/>
      <c r="AF132" s="15"/>
    </row>
    <row r="133" ht="15.0" customHeight="1">
      <c r="A133" s="134" t="s">
        <v>256</v>
      </c>
      <c r="B133" s="3" t="s">
        <v>239</v>
      </c>
      <c r="C133" s="3" t="s">
        <v>243</v>
      </c>
      <c r="D133" s="135" t="s">
        <v>240</v>
      </c>
      <c r="E133" s="8">
        <v>6.0</v>
      </c>
      <c r="F133" s="183">
        <f t="shared" si="1"/>
        <v>6</v>
      </c>
      <c r="G133" s="162" t="s">
        <v>277</v>
      </c>
      <c r="H133" s="137">
        <v>4.66713835</v>
      </c>
      <c r="I133" s="137">
        <v>0.0636256</v>
      </c>
      <c r="J133" s="137">
        <v>2.9028657</v>
      </c>
      <c r="K133" s="120">
        <f t="shared" si="2"/>
        <v>73.35315266</v>
      </c>
      <c r="L133" s="121"/>
      <c r="M133" s="121">
        <v>-1.234</v>
      </c>
      <c r="N133" s="122"/>
      <c r="O133" s="120">
        <v>35.7</v>
      </c>
      <c r="P133" s="120">
        <v>3.9911260363246392</v>
      </c>
      <c r="Q133" s="123">
        <v>4.374668259507893</v>
      </c>
      <c r="R133" s="120">
        <v>1.0</v>
      </c>
      <c r="S133" s="120">
        <v>1.0960987500000003</v>
      </c>
      <c r="T133" s="15"/>
      <c r="U133" s="161"/>
      <c r="AE133" s="15"/>
      <c r="AF133" s="15"/>
    </row>
    <row r="134" ht="15.0" customHeight="1">
      <c r="A134" s="134" t="s">
        <v>244</v>
      </c>
      <c r="B134" s="3" t="s">
        <v>258</v>
      </c>
      <c r="C134" s="3" t="s">
        <v>245</v>
      </c>
      <c r="D134" s="3" t="s">
        <v>251</v>
      </c>
      <c r="E134" s="8">
        <v>1.0</v>
      </c>
      <c r="F134" s="183">
        <f t="shared" si="1"/>
        <v>7</v>
      </c>
      <c r="G134" s="162" t="s">
        <v>277</v>
      </c>
      <c r="H134" s="137">
        <v>15.2680348</v>
      </c>
      <c r="I134" s="137">
        <v>0.25918764</v>
      </c>
      <c r="J134" s="137">
        <v>7.31640737</v>
      </c>
      <c r="K134" s="120">
        <f t="shared" si="2"/>
        <v>58.90726425</v>
      </c>
      <c r="L134" s="121">
        <v>-0.449</v>
      </c>
      <c r="M134" s="121">
        <v>-1.156</v>
      </c>
      <c r="N134" s="122">
        <v>0.707</v>
      </c>
      <c r="O134" s="120">
        <v>39.6</v>
      </c>
      <c r="P134" s="120">
        <v>10.348525275813298</v>
      </c>
      <c r="Q134" s="123">
        <v>11.796725843928861</v>
      </c>
      <c r="R134" s="120">
        <v>1.1428571428571428</v>
      </c>
      <c r="S134" s="120">
        <v>1.1399427000000004</v>
      </c>
      <c r="T134" s="15"/>
      <c r="U134" s="161"/>
      <c r="AE134" s="15"/>
      <c r="AF134" s="15"/>
    </row>
    <row r="135" ht="15.0" customHeight="1">
      <c r="A135" s="134" t="s">
        <v>244</v>
      </c>
      <c r="B135" s="3" t="s">
        <v>258</v>
      </c>
      <c r="C135" s="3" t="s">
        <v>245</v>
      </c>
      <c r="D135" s="3" t="s">
        <v>251</v>
      </c>
      <c r="E135" s="8">
        <v>2.0</v>
      </c>
      <c r="F135" s="183">
        <f t="shared" si="1"/>
        <v>7</v>
      </c>
      <c r="G135" s="162" t="s">
        <v>277</v>
      </c>
      <c r="H135" s="137">
        <v>12.6057212</v>
      </c>
      <c r="I135" s="137">
        <v>0.25136732</v>
      </c>
      <c r="J135" s="137">
        <v>5.96896182</v>
      </c>
      <c r="K135" s="120">
        <f t="shared" si="2"/>
        <v>50.14860802</v>
      </c>
      <c r="L135" s="121"/>
      <c r="M135" s="121">
        <v>-1.047</v>
      </c>
      <c r="N135" s="122"/>
      <c r="O135" s="120">
        <v>37.8</v>
      </c>
      <c r="P135" s="120">
        <v>8.908898238805971</v>
      </c>
      <c r="Q135" s="123">
        <v>8.593228356620536</v>
      </c>
      <c r="R135" s="120">
        <v>0.8571428571428571</v>
      </c>
      <c r="S135" s="120">
        <v>0.9645669000000001</v>
      </c>
      <c r="T135" s="15"/>
      <c r="U135" s="161"/>
      <c r="AE135" s="15"/>
      <c r="AF135" s="15"/>
    </row>
    <row r="136" ht="15.0" customHeight="1">
      <c r="A136" s="134" t="s">
        <v>244</v>
      </c>
      <c r="B136" s="3" t="s">
        <v>258</v>
      </c>
      <c r="C136" s="3" t="s">
        <v>245</v>
      </c>
      <c r="D136" s="3" t="s">
        <v>251</v>
      </c>
      <c r="E136" s="8">
        <v>3.0</v>
      </c>
      <c r="F136" s="183">
        <f t="shared" si="1"/>
        <v>7</v>
      </c>
      <c r="G136" s="162" t="s">
        <v>277</v>
      </c>
      <c r="H136" s="137">
        <v>11.1435772</v>
      </c>
      <c r="I136" s="137">
        <v>0.17950466</v>
      </c>
      <c r="J136" s="137">
        <v>6.34206366</v>
      </c>
      <c r="K136" s="120">
        <f t="shared" si="2"/>
        <v>62.07959838</v>
      </c>
      <c r="L136" s="121">
        <v>-0.306</v>
      </c>
      <c r="M136" s="121">
        <v>-1.132</v>
      </c>
      <c r="N136" s="122">
        <v>0.826</v>
      </c>
      <c r="O136" s="120">
        <v>43.0</v>
      </c>
      <c r="P136" s="120">
        <v>7.678043171912834</v>
      </c>
      <c r="Q136" s="123">
        <v>8.976953091391675</v>
      </c>
      <c r="R136" s="120">
        <v>0.8571428571428571</v>
      </c>
      <c r="S136" s="120">
        <v>1.1691720000000003</v>
      </c>
      <c r="T136" s="15"/>
      <c r="U136" s="161"/>
      <c r="AE136" s="15"/>
      <c r="AF136" s="15"/>
    </row>
    <row r="137" ht="15.0" customHeight="1">
      <c r="A137" s="134" t="s">
        <v>244</v>
      </c>
      <c r="B137" s="3" t="s">
        <v>258</v>
      </c>
      <c r="C137" s="3" t="s">
        <v>245</v>
      </c>
      <c r="D137" s="3" t="s">
        <v>251</v>
      </c>
      <c r="E137" s="8">
        <v>4.0</v>
      </c>
      <c r="F137" s="183">
        <f t="shared" si="1"/>
        <v>7</v>
      </c>
      <c r="G137" s="162" t="s">
        <v>277</v>
      </c>
      <c r="H137" s="137">
        <v>9.61397426</v>
      </c>
      <c r="I137" s="137">
        <v>0.18707707</v>
      </c>
      <c r="J137" s="137">
        <v>6.13214843</v>
      </c>
      <c r="K137" s="120">
        <f t="shared" si="2"/>
        <v>51.39044705</v>
      </c>
      <c r="L137" s="121"/>
      <c r="M137" s="121">
        <v>-1.18</v>
      </c>
      <c r="N137" s="122"/>
      <c r="O137" s="120">
        <v>40.9</v>
      </c>
      <c r="P137" s="120">
        <v>7.636548480697385</v>
      </c>
      <c r="Q137" s="123">
        <v>8.705227693767078</v>
      </c>
      <c r="R137" s="120">
        <v>1.1428571428571428</v>
      </c>
      <c r="S137" s="120">
        <v>1.1399427000000004</v>
      </c>
      <c r="T137" s="15"/>
      <c r="U137" s="161"/>
      <c r="AE137" s="15"/>
      <c r="AF137" s="15"/>
    </row>
    <row r="138" ht="15.0" customHeight="1">
      <c r="A138" s="134" t="s">
        <v>244</v>
      </c>
      <c r="B138" s="3" t="s">
        <v>258</v>
      </c>
      <c r="C138" s="3" t="s">
        <v>245</v>
      </c>
      <c r="D138" s="3" t="s">
        <v>251</v>
      </c>
      <c r="E138" s="8">
        <v>5.0</v>
      </c>
      <c r="F138" s="183">
        <f t="shared" si="1"/>
        <v>7</v>
      </c>
      <c r="G138" s="162" t="s">
        <v>277</v>
      </c>
      <c r="H138" s="137">
        <v>12.6686493</v>
      </c>
      <c r="I138" s="137">
        <v>0.1919644</v>
      </c>
      <c r="J138" s="137">
        <v>7.08930003</v>
      </c>
      <c r="K138" s="120">
        <f t="shared" si="2"/>
        <v>65.99478497</v>
      </c>
      <c r="L138" s="121">
        <v>-0.376</v>
      </c>
      <c r="M138" s="121">
        <v>-1.212</v>
      </c>
      <c r="N138" s="122">
        <v>0.836</v>
      </c>
      <c r="O138" s="120">
        <v>42.0</v>
      </c>
      <c r="P138" s="120">
        <v>8.480023959330145</v>
      </c>
      <c r="Q138" s="123">
        <v>7.807752675905132</v>
      </c>
      <c r="R138" s="120">
        <v>0.8571428571428571</v>
      </c>
      <c r="S138" s="120">
        <v>0.9207229500000002</v>
      </c>
      <c r="T138" s="15"/>
      <c r="U138" s="161"/>
      <c r="AE138" s="15"/>
      <c r="AF138" s="15"/>
    </row>
    <row r="139" ht="15.0" customHeight="1">
      <c r="A139" s="134" t="s">
        <v>244</v>
      </c>
      <c r="B139" s="3" t="s">
        <v>258</v>
      </c>
      <c r="C139" s="3" t="s">
        <v>245</v>
      </c>
      <c r="D139" s="3" t="s">
        <v>251</v>
      </c>
      <c r="E139" s="8">
        <v>6.0</v>
      </c>
      <c r="F139" s="183">
        <f t="shared" si="1"/>
        <v>7</v>
      </c>
      <c r="G139" s="162" t="s">
        <v>277</v>
      </c>
      <c r="H139" s="137">
        <v>2.74228896</v>
      </c>
      <c r="I139" s="137">
        <v>0.03833153</v>
      </c>
      <c r="J139" s="137">
        <v>2.0421591</v>
      </c>
      <c r="K139" s="120">
        <f t="shared" si="2"/>
        <v>71.54133842</v>
      </c>
      <c r="L139" s="121"/>
      <c r="M139" s="121">
        <v>-1.004</v>
      </c>
      <c r="N139" s="122"/>
      <c r="O139" s="120">
        <v>42.3</v>
      </c>
      <c r="P139" s="120">
        <v>3.2570320574162683</v>
      </c>
      <c r="Q139" s="123">
        <v>3.379627232612225</v>
      </c>
      <c r="R139" s="120">
        <v>0.7142857142857143</v>
      </c>
      <c r="S139" s="120">
        <v>1.03764015</v>
      </c>
      <c r="T139" s="15"/>
      <c r="U139" s="161"/>
      <c r="AE139" s="15"/>
      <c r="AF139" s="15"/>
    </row>
    <row r="140" ht="15.0" customHeight="1">
      <c r="A140" s="134" t="s">
        <v>256</v>
      </c>
      <c r="B140" s="3" t="s">
        <v>250</v>
      </c>
      <c r="C140" s="3" t="s">
        <v>94</v>
      </c>
      <c r="D140" s="3" t="s">
        <v>251</v>
      </c>
      <c r="E140" s="8">
        <v>1.0</v>
      </c>
      <c r="F140" s="183">
        <f t="shared" si="1"/>
        <v>8</v>
      </c>
      <c r="G140" s="162" t="s">
        <v>277</v>
      </c>
      <c r="H140" s="137">
        <v>4.62806723</v>
      </c>
      <c r="I140" s="137">
        <v>0.05829291</v>
      </c>
      <c r="J140" s="137">
        <v>2.33953963</v>
      </c>
      <c r="K140" s="120">
        <f t="shared" si="2"/>
        <v>79.39331267</v>
      </c>
      <c r="L140" s="121">
        <v>-0.41</v>
      </c>
      <c r="M140" s="121">
        <v>-1.045</v>
      </c>
      <c r="N140" s="122">
        <v>0.635</v>
      </c>
      <c r="O140" s="120">
        <v>44.8</v>
      </c>
      <c r="P140" s="120">
        <v>3.684314377952756</v>
      </c>
      <c r="Q140" s="123">
        <v>3.876837488909803</v>
      </c>
      <c r="R140" s="120">
        <v>1.2857142857142858</v>
      </c>
      <c r="S140" s="120">
        <v>1.0522548000000003</v>
      </c>
      <c r="T140" s="15"/>
      <c r="U140" s="161"/>
      <c r="AE140" s="15"/>
      <c r="AF140" s="15"/>
    </row>
    <row r="141" ht="15.0" customHeight="1">
      <c r="A141" s="134" t="s">
        <v>256</v>
      </c>
      <c r="B141" s="3" t="s">
        <v>250</v>
      </c>
      <c r="C141" s="3" t="s">
        <v>94</v>
      </c>
      <c r="D141" s="3" t="s">
        <v>251</v>
      </c>
      <c r="E141" s="8">
        <v>2.0</v>
      </c>
      <c r="F141" s="183">
        <f t="shared" si="1"/>
        <v>8</v>
      </c>
      <c r="G141" s="162" t="s">
        <v>277</v>
      </c>
      <c r="H141" s="137">
        <v>6.7717893</v>
      </c>
      <c r="I141" s="137">
        <v>0.09691783</v>
      </c>
      <c r="J141" s="137">
        <v>2.99597325</v>
      </c>
      <c r="K141" s="120">
        <f t="shared" si="2"/>
        <v>69.87144987</v>
      </c>
      <c r="L141" s="121"/>
      <c r="M141" s="121">
        <v>-1.037</v>
      </c>
      <c r="N141" s="122"/>
      <c r="O141" s="120">
        <v>33.1</v>
      </c>
      <c r="P141" s="120">
        <v>4.564736108360124</v>
      </c>
      <c r="Q141" s="123">
        <v>4.202857295660855</v>
      </c>
      <c r="R141" s="120">
        <v>0.8571428571428571</v>
      </c>
      <c r="S141" s="120">
        <v>0.9207229500000002</v>
      </c>
      <c r="T141" s="15"/>
      <c r="U141" s="161"/>
      <c r="AE141" s="15"/>
      <c r="AF141" s="15"/>
    </row>
    <row r="142" ht="15.0" customHeight="1">
      <c r="A142" s="134" t="s">
        <v>256</v>
      </c>
      <c r="B142" s="3" t="s">
        <v>250</v>
      </c>
      <c r="C142" s="3" t="s">
        <v>94</v>
      </c>
      <c r="D142" s="3" t="s">
        <v>251</v>
      </c>
      <c r="E142" s="8">
        <v>3.0</v>
      </c>
      <c r="F142" s="183">
        <f t="shared" si="1"/>
        <v>8</v>
      </c>
      <c r="G142" s="162" t="s">
        <v>277</v>
      </c>
      <c r="H142" s="137">
        <v>7.14247523</v>
      </c>
      <c r="I142" s="137">
        <v>0.1081617</v>
      </c>
      <c r="J142" s="137">
        <v>4.30665156</v>
      </c>
      <c r="K142" s="120">
        <f t="shared" si="2"/>
        <v>66.0351606</v>
      </c>
      <c r="L142" s="121">
        <v>-0.312</v>
      </c>
      <c r="M142" s="121">
        <v>-0.957</v>
      </c>
      <c r="N142" s="122">
        <v>0.645</v>
      </c>
      <c r="O142" s="120">
        <v>42.2</v>
      </c>
      <c r="P142" s="120">
        <v>6.676979162790697</v>
      </c>
      <c r="Q142" s="123">
        <v>6.830719946503537</v>
      </c>
      <c r="R142" s="120">
        <v>0.5714285714285714</v>
      </c>
      <c r="S142" s="120">
        <v>1.0230255000000004</v>
      </c>
      <c r="T142" s="15"/>
      <c r="U142" s="161"/>
      <c r="AE142" s="15"/>
      <c r="AF142" s="15"/>
    </row>
    <row r="143" ht="15.0" customHeight="1">
      <c r="A143" s="134" t="s">
        <v>256</v>
      </c>
      <c r="B143" s="3" t="s">
        <v>250</v>
      </c>
      <c r="C143" s="3" t="s">
        <v>94</v>
      </c>
      <c r="D143" s="3" t="s">
        <v>251</v>
      </c>
      <c r="E143" s="8">
        <v>4.0</v>
      </c>
      <c r="F143" s="183">
        <f t="shared" si="1"/>
        <v>8</v>
      </c>
      <c r="G143" s="162" t="s">
        <v>277</v>
      </c>
      <c r="H143" s="137">
        <v>7.5811609</v>
      </c>
      <c r="I143" s="137">
        <v>0.10074274</v>
      </c>
      <c r="J143" s="137">
        <v>3.98512576</v>
      </c>
      <c r="K143" s="120">
        <f t="shared" si="2"/>
        <v>75.25267726</v>
      </c>
      <c r="L143" s="121"/>
      <c r="M143" s="121">
        <v>-0.987</v>
      </c>
      <c r="N143" s="122"/>
      <c r="O143" s="120">
        <v>34.9</v>
      </c>
      <c r="P143" s="120">
        <v>6.57253601174278</v>
      </c>
      <c r="Q143" s="123">
        <v>6.723871939681165</v>
      </c>
      <c r="R143" s="120">
        <v>1.0</v>
      </c>
      <c r="S143" s="120">
        <v>1.0230255000000004</v>
      </c>
      <c r="T143" s="15"/>
      <c r="U143" s="161"/>
      <c r="AE143" s="15"/>
      <c r="AF143" s="15"/>
    </row>
    <row r="144" ht="15.0" customHeight="1">
      <c r="A144" s="134" t="s">
        <v>256</v>
      </c>
      <c r="B144" s="3" t="s">
        <v>250</v>
      </c>
      <c r="C144" s="3" t="s">
        <v>94</v>
      </c>
      <c r="D144" s="3" t="s">
        <v>251</v>
      </c>
      <c r="E144" s="8">
        <v>5.0</v>
      </c>
      <c r="F144" s="183">
        <f t="shared" si="1"/>
        <v>8</v>
      </c>
      <c r="G144" s="162" t="s">
        <v>277</v>
      </c>
      <c r="H144" s="137">
        <v>7.35783902</v>
      </c>
      <c r="I144" s="137">
        <v>0.11283843</v>
      </c>
      <c r="J144" s="137">
        <v>5.03363468</v>
      </c>
      <c r="K144" s="120">
        <f t="shared" si="2"/>
        <v>65.20685391</v>
      </c>
      <c r="L144" s="121">
        <v>-0.42</v>
      </c>
      <c r="M144" s="121">
        <v>-1.018</v>
      </c>
      <c r="N144" s="122">
        <v>0.598</v>
      </c>
      <c r="O144" s="120">
        <v>36.9</v>
      </c>
      <c r="P144" s="120">
        <v>8.41744929765886</v>
      </c>
      <c r="Q144" s="123">
        <v>7.504102598059836</v>
      </c>
      <c r="R144" s="120">
        <v>0.8571428571428571</v>
      </c>
      <c r="S144" s="120">
        <v>0.8914936500000001</v>
      </c>
      <c r="T144" s="15"/>
      <c r="U144" s="161"/>
      <c r="AE144" s="15"/>
      <c r="AF144" s="15"/>
    </row>
    <row r="145" ht="15.0" customHeight="1">
      <c r="A145" s="134" t="s">
        <v>256</v>
      </c>
      <c r="B145" s="3" t="s">
        <v>250</v>
      </c>
      <c r="C145" s="3" t="s">
        <v>94</v>
      </c>
      <c r="D145" s="3" t="s">
        <v>251</v>
      </c>
      <c r="E145" s="8">
        <v>6.0</v>
      </c>
      <c r="F145" s="183">
        <f t="shared" si="1"/>
        <v>8</v>
      </c>
      <c r="G145" s="162" t="s">
        <v>277</v>
      </c>
      <c r="H145" s="137">
        <v>3.76351846</v>
      </c>
      <c r="I145" s="137">
        <v>0.04865869</v>
      </c>
      <c r="J145" s="137">
        <v>2.47259693</v>
      </c>
      <c r="K145" s="120">
        <f t="shared" si="2"/>
        <v>77.3452483</v>
      </c>
      <c r="L145" s="121"/>
      <c r="M145" s="121">
        <v>-1.012</v>
      </c>
      <c r="N145" s="122"/>
      <c r="O145" s="120">
        <v>39.1</v>
      </c>
      <c r="P145" s="120">
        <v>3.9164888885368985</v>
      </c>
      <c r="Q145" s="123">
        <v>4.063906117774761</v>
      </c>
      <c r="R145" s="120">
        <v>0.0</v>
      </c>
      <c r="S145" s="120">
        <v>1.03764015</v>
      </c>
      <c r="T145" s="15"/>
      <c r="U145" s="161"/>
      <c r="AE145" s="15"/>
      <c r="AF145" s="15"/>
    </row>
    <row r="146" ht="15.0" customHeight="1">
      <c r="A146" s="134" t="s">
        <v>249</v>
      </c>
      <c r="B146" s="3" t="s">
        <v>239</v>
      </c>
      <c r="C146" s="3" t="s">
        <v>101</v>
      </c>
      <c r="D146" s="135" t="s">
        <v>240</v>
      </c>
      <c r="E146" s="8">
        <v>1.0</v>
      </c>
      <c r="F146" s="183">
        <f t="shared" si="1"/>
        <v>9</v>
      </c>
      <c r="G146" s="162" t="s">
        <v>277</v>
      </c>
      <c r="H146" s="137">
        <v>12.2441974</v>
      </c>
      <c r="I146" s="137">
        <v>0.16478016</v>
      </c>
      <c r="J146" s="137">
        <v>5.59644918</v>
      </c>
      <c r="K146" s="120">
        <f t="shared" si="2"/>
        <v>74.30625993</v>
      </c>
      <c r="L146" s="121">
        <v>-0.48</v>
      </c>
      <c r="M146" s="121">
        <v>-0.908</v>
      </c>
      <c r="N146" s="122">
        <v>0.428</v>
      </c>
      <c r="O146" s="120">
        <v>36.3</v>
      </c>
      <c r="P146" s="120">
        <v>13.075815841121493</v>
      </c>
      <c r="Q146" s="123">
        <v>9.554923599122313</v>
      </c>
      <c r="R146" s="120">
        <v>0.5714285714285714</v>
      </c>
      <c r="S146" s="120">
        <v>0.7307325000000001</v>
      </c>
      <c r="T146" s="15"/>
      <c r="U146" s="161"/>
      <c r="AE146" s="15"/>
      <c r="AF146" s="15"/>
    </row>
    <row r="147" ht="15.0" customHeight="1">
      <c r="A147" s="134" t="s">
        <v>249</v>
      </c>
      <c r="B147" s="3" t="s">
        <v>239</v>
      </c>
      <c r="C147" s="3" t="s">
        <v>101</v>
      </c>
      <c r="D147" s="135" t="s">
        <v>240</v>
      </c>
      <c r="E147" s="8">
        <v>2.0</v>
      </c>
      <c r="F147" s="183">
        <f t="shared" si="1"/>
        <v>9</v>
      </c>
      <c r="G147" s="162" t="s">
        <v>277</v>
      </c>
      <c r="H147" s="137">
        <v>4.04750294</v>
      </c>
      <c r="I147" s="137">
        <v>0.06155992</v>
      </c>
      <c r="J147" s="137">
        <v>2.09195947</v>
      </c>
      <c r="K147" s="120">
        <f t="shared" si="2"/>
        <v>65.7489961</v>
      </c>
      <c r="L147" s="121"/>
      <c r="M147" s="121">
        <v>-1.025</v>
      </c>
      <c r="N147" s="122"/>
      <c r="O147" s="120">
        <v>44.6</v>
      </c>
      <c r="P147" s="120">
        <v>3.453959202205822</v>
      </c>
      <c r="Q147" s="123">
        <v>3.230617910689109</v>
      </c>
      <c r="R147" s="120">
        <v>1.1428571428571428</v>
      </c>
      <c r="S147" s="120">
        <v>0.9353376000000002</v>
      </c>
      <c r="T147" s="15"/>
      <c r="U147" s="161"/>
      <c r="AE147" s="15"/>
      <c r="AF147" s="15"/>
    </row>
    <row r="148" ht="15.0" customHeight="1">
      <c r="A148" s="134" t="s">
        <v>249</v>
      </c>
      <c r="B148" s="3" t="s">
        <v>239</v>
      </c>
      <c r="C148" s="3" t="s">
        <v>101</v>
      </c>
      <c r="D148" s="135" t="s">
        <v>240</v>
      </c>
      <c r="E148" s="8">
        <v>3.0</v>
      </c>
      <c r="F148" s="183">
        <f t="shared" si="1"/>
        <v>9</v>
      </c>
      <c r="G148" s="162" t="s">
        <v>277</v>
      </c>
      <c r="H148" s="137">
        <v>5.70154756</v>
      </c>
      <c r="I148" s="137">
        <v>0.06487896</v>
      </c>
      <c r="J148" s="137">
        <v>2.86266593</v>
      </c>
      <c r="K148" s="120">
        <f t="shared" si="2"/>
        <v>87.87976194</v>
      </c>
      <c r="L148" s="121">
        <v>-0.415</v>
      </c>
      <c r="M148" s="121">
        <v>-1.24</v>
      </c>
      <c r="N148" s="122">
        <v>0.825</v>
      </c>
      <c r="O148" s="120">
        <v>42.7</v>
      </c>
      <c r="P148" s="120">
        <v>3.469898096969697</v>
      </c>
      <c r="Q148" s="123">
        <v>3.3976601969328395</v>
      </c>
      <c r="R148" s="120">
        <v>1.1428571428571428</v>
      </c>
      <c r="S148" s="120">
        <v>0.9791815500000003</v>
      </c>
      <c r="T148" s="15"/>
      <c r="U148" s="161"/>
      <c r="AE148" s="15"/>
      <c r="AF148" s="15"/>
    </row>
    <row r="149" ht="15.0" customHeight="1">
      <c r="A149" s="134" t="s">
        <v>249</v>
      </c>
      <c r="B149" s="3" t="s">
        <v>239</v>
      </c>
      <c r="C149" s="3" t="s">
        <v>101</v>
      </c>
      <c r="D149" s="135" t="s">
        <v>240</v>
      </c>
      <c r="E149" s="8">
        <v>4.0</v>
      </c>
      <c r="F149" s="183">
        <f t="shared" si="1"/>
        <v>9</v>
      </c>
      <c r="G149" s="162" t="s">
        <v>277</v>
      </c>
      <c r="H149" s="137">
        <v>10.1063176</v>
      </c>
      <c r="I149" s="137">
        <v>0.15977844</v>
      </c>
      <c r="J149" s="137">
        <v>5.66328097</v>
      </c>
      <c r="K149" s="120">
        <f t="shared" si="2"/>
        <v>63.25207331</v>
      </c>
      <c r="L149" s="121"/>
      <c r="M149" s="121">
        <v>-1.17</v>
      </c>
      <c r="N149" s="122"/>
      <c r="O149" s="120">
        <v>42.2</v>
      </c>
      <c r="P149" s="120">
        <v>7.544301717132695</v>
      </c>
      <c r="Q149" s="123">
        <v>7.387241049049655</v>
      </c>
      <c r="R149" s="120">
        <v>1.1428571428571428</v>
      </c>
      <c r="S149" s="120">
        <v>0.9791815500000003</v>
      </c>
      <c r="T149" s="15"/>
      <c r="U149" s="161"/>
      <c r="AE149" s="15"/>
      <c r="AF149" s="15"/>
    </row>
    <row r="150" ht="15.0" customHeight="1">
      <c r="A150" s="134" t="s">
        <v>249</v>
      </c>
      <c r="B150" s="3" t="s">
        <v>239</v>
      </c>
      <c r="C150" s="3" t="s">
        <v>101</v>
      </c>
      <c r="D150" s="135" t="s">
        <v>240</v>
      </c>
      <c r="E150" s="8">
        <v>5.0</v>
      </c>
      <c r="F150" s="183">
        <f t="shared" si="1"/>
        <v>9</v>
      </c>
      <c r="G150" s="162" t="s">
        <v>277</v>
      </c>
      <c r="H150" s="137">
        <v>8.75315193</v>
      </c>
      <c r="I150" s="137">
        <v>0.14936123</v>
      </c>
      <c r="J150" s="137">
        <v>5.86475931</v>
      </c>
      <c r="K150" s="120">
        <f t="shared" si="2"/>
        <v>58.60390899</v>
      </c>
      <c r="L150" s="121">
        <v>-0.363</v>
      </c>
      <c r="M150" s="121">
        <v>-1.161</v>
      </c>
      <c r="N150" s="122">
        <v>0.798</v>
      </c>
      <c r="O150" s="120">
        <v>39.4</v>
      </c>
      <c r="P150" s="120">
        <v>7.349322443609022</v>
      </c>
      <c r="Q150" s="123">
        <v>8.70002979528974</v>
      </c>
      <c r="R150" s="120">
        <v>1.0</v>
      </c>
      <c r="S150" s="120">
        <v>1.1837866500000003</v>
      </c>
      <c r="T150" s="15"/>
      <c r="U150" s="161"/>
      <c r="AE150" s="15"/>
      <c r="AF150" s="15"/>
    </row>
    <row r="151" ht="15.0" customHeight="1">
      <c r="A151" s="134" t="s">
        <v>249</v>
      </c>
      <c r="B151" s="3" t="s">
        <v>239</v>
      </c>
      <c r="C151" s="3" t="s">
        <v>101</v>
      </c>
      <c r="D151" s="135" t="s">
        <v>240</v>
      </c>
      <c r="E151" s="8">
        <v>6.0</v>
      </c>
      <c r="F151" s="183">
        <f t="shared" si="1"/>
        <v>9</v>
      </c>
      <c r="G151" s="162" t="s">
        <v>277</v>
      </c>
      <c r="H151" s="137">
        <v>4.9801727</v>
      </c>
      <c r="I151" s="137">
        <v>0.06395797</v>
      </c>
      <c r="J151" s="137">
        <v>3.10543431</v>
      </c>
      <c r="K151" s="120">
        <f t="shared" si="2"/>
        <v>77.86633472</v>
      </c>
      <c r="L151" s="121"/>
      <c r="M151" s="121">
        <v>-1.93</v>
      </c>
      <c r="N151" s="122"/>
      <c r="O151" s="120">
        <v>42.2</v>
      </c>
      <c r="P151" s="120">
        <v>2.055666896145419</v>
      </c>
      <c r="Q151" s="123">
        <v>2.1931282108738706</v>
      </c>
      <c r="R151" s="120">
        <v>1.0</v>
      </c>
      <c r="S151" s="120">
        <v>1.0668694500000002</v>
      </c>
      <c r="T151" s="15"/>
      <c r="U151" s="161"/>
      <c r="AE151" s="15"/>
      <c r="AF151" s="15"/>
    </row>
    <row r="152" ht="15.0" customHeight="1">
      <c r="A152" s="134" t="s">
        <v>256</v>
      </c>
      <c r="B152" s="3" t="s">
        <v>258</v>
      </c>
      <c r="C152" s="3" t="s">
        <v>246</v>
      </c>
      <c r="D152" s="3" t="s">
        <v>251</v>
      </c>
      <c r="E152" s="8">
        <v>1.0</v>
      </c>
      <c r="F152" s="183">
        <f t="shared" si="1"/>
        <v>10</v>
      </c>
      <c r="G152" s="162" t="s">
        <v>277</v>
      </c>
      <c r="H152" s="137">
        <v>6.64505701</v>
      </c>
      <c r="I152" s="137">
        <v>0.08103853</v>
      </c>
      <c r="J152" s="137">
        <v>3.20189806</v>
      </c>
      <c r="K152" s="120">
        <f t="shared" si="2"/>
        <v>81.99873579</v>
      </c>
      <c r="L152" s="121">
        <v>-0.36</v>
      </c>
      <c r="M152" s="121">
        <v>-1.099</v>
      </c>
      <c r="N152" s="122">
        <v>0.739</v>
      </c>
      <c r="O152" s="120">
        <v>38.2</v>
      </c>
      <c r="P152" s="120">
        <v>4.332744330175913</v>
      </c>
      <c r="Q152" s="123">
        <v>3.9259355993503364</v>
      </c>
      <c r="R152" s="120">
        <v>0.8571428571428571</v>
      </c>
      <c r="S152" s="120">
        <v>0.9061083000000002</v>
      </c>
      <c r="T152" s="15"/>
      <c r="U152" s="161"/>
      <c r="AE152" s="15"/>
      <c r="AF152" s="15"/>
    </row>
    <row r="153" ht="15.0" customHeight="1">
      <c r="A153" s="134" t="s">
        <v>256</v>
      </c>
      <c r="B153" s="3" t="s">
        <v>258</v>
      </c>
      <c r="C153" s="3" t="s">
        <v>246</v>
      </c>
      <c r="D153" s="3" t="s">
        <v>251</v>
      </c>
      <c r="E153" s="8">
        <v>2.0</v>
      </c>
      <c r="F153" s="183">
        <f t="shared" si="1"/>
        <v>10</v>
      </c>
      <c r="G153" s="162" t="s">
        <v>277</v>
      </c>
      <c r="H153" s="137">
        <v>8.29283485</v>
      </c>
      <c r="I153" s="137">
        <v>0.11249188</v>
      </c>
      <c r="J153" s="137">
        <v>3.52635846</v>
      </c>
      <c r="K153" s="120">
        <f t="shared" si="2"/>
        <v>73.71940846</v>
      </c>
      <c r="L153" s="121"/>
      <c r="M153" s="121">
        <v>-0.985</v>
      </c>
      <c r="N153" s="122"/>
      <c r="O153" s="120">
        <v>44.7</v>
      </c>
      <c r="P153" s="120">
        <v>5.709130215163437</v>
      </c>
      <c r="Q153" s="123">
        <v>4.589031694447109</v>
      </c>
      <c r="R153" s="120">
        <v>0.5714285714285714</v>
      </c>
      <c r="S153" s="120">
        <v>0.8038057500000002</v>
      </c>
      <c r="T153" s="15"/>
      <c r="U153" s="161"/>
      <c r="AE153" s="15"/>
      <c r="AF153" s="15"/>
    </row>
    <row r="154" ht="15.0" customHeight="1">
      <c r="A154" s="134" t="s">
        <v>256</v>
      </c>
      <c r="B154" s="3" t="s">
        <v>258</v>
      </c>
      <c r="C154" s="3" t="s">
        <v>246</v>
      </c>
      <c r="D154" s="3" t="s">
        <v>251</v>
      </c>
      <c r="E154" s="8">
        <v>3.0</v>
      </c>
      <c r="F154" s="183">
        <f t="shared" si="1"/>
        <v>10</v>
      </c>
      <c r="G154" s="162" t="s">
        <v>277</v>
      </c>
      <c r="H154" s="137">
        <v>4.65780357</v>
      </c>
      <c r="I154" s="137">
        <v>0.06310428</v>
      </c>
      <c r="J154" s="137">
        <v>2.94154343</v>
      </c>
      <c r="K154" s="120">
        <f t="shared" si="2"/>
        <v>73.81121487</v>
      </c>
      <c r="L154" s="121">
        <v>-0.301</v>
      </c>
      <c r="M154" s="121">
        <v>-1.159</v>
      </c>
      <c r="N154" s="122">
        <v>0.858</v>
      </c>
      <c r="O154" s="120">
        <v>41.2</v>
      </c>
      <c r="P154" s="120">
        <v>3.4283722960372955</v>
      </c>
      <c r="Q154" s="123">
        <v>4.108565816455081</v>
      </c>
      <c r="R154" s="120">
        <v>1.0</v>
      </c>
      <c r="S154" s="120">
        <v>1.1984013000000002</v>
      </c>
      <c r="T154" s="15"/>
      <c r="U154" s="161"/>
      <c r="AE154" s="15"/>
      <c r="AF154" s="15"/>
    </row>
    <row r="155" ht="15.0" customHeight="1">
      <c r="A155" s="134" t="s">
        <v>256</v>
      </c>
      <c r="B155" s="3" t="s">
        <v>258</v>
      </c>
      <c r="C155" s="3" t="s">
        <v>246</v>
      </c>
      <c r="D155" s="3" t="s">
        <v>251</v>
      </c>
      <c r="E155" s="8">
        <v>4.0</v>
      </c>
      <c r="F155" s="183">
        <f t="shared" si="1"/>
        <v>10</v>
      </c>
      <c r="G155" s="162" t="s">
        <v>277</v>
      </c>
      <c r="H155" s="137">
        <v>3.22031491</v>
      </c>
      <c r="I155" s="137">
        <v>0.05070299</v>
      </c>
      <c r="J155" s="137">
        <v>2.26903491</v>
      </c>
      <c r="K155" s="120">
        <f t="shared" si="2"/>
        <v>63.51331371</v>
      </c>
      <c r="L155" s="121"/>
      <c r="M155" s="121">
        <v>-0.983</v>
      </c>
      <c r="N155" s="122"/>
      <c r="O155" s="120">
        <v>63.7</v>
      </c>
      <c r="P155" s="120">
        <v>3.685472590836</v>
      </c>
      <c r="Q155" s="123">
        <v>3.98578000797494</v>
      </c>
      <c r="R155" s="120">
        <v>1.1428571428571428</v>
      </c>
      <c r="S155" s="120">
        <v>1.0814841000000002</v>
      </c>
      <c r="T155" s="15"/>
      <c r="U155" s="161"/>
      <c r="AE155" s="15"/>
      <c r="AF155" s="15"/>
    </row>
    <row r="156" ht="15.0" customHeight="1">
      <c r="A156" s="134" t="s">
        <v>256</v>
      </c>
      <c r="B156" s="3" t="s">
        <v>258</v>
      </c>
      <c r="C156" s="3" t="s">
        <v>246</v>
      </c>
      <c r="D156" s="3" t="s">
        <v>251</v>
      </c>
      <c r="E156" s="8">
        <v>5.0</v>
      </c>
      <c r="F156" s="183">
        <f t="shared" si="1"/>
        <v>10</v>
      </c>
      <c r="G156" s="162" t="s">
        <v>277</v>
      </c>
      <c r="H156" s="137">
        <v>7.86649639</v>
      </c>
      <c r="I156" s="137">
        <v>0.10147469</v>
      </c>
      <c r="J156" s="137">
        <v>4.63479178</v>
      </c>
      <c r="K156" s="120">
        <f t="shared" si="2"/>
        <v>77.52175828</v>
      </c>
      <c r="L156" s="121">
        <v>-0.441</v>
      </c>
      <c r="M156" s="121">
        <v>-1.102</v>
      </c>
      <c r="N156" s="122">
        <v>0.661</v>
      </c>
      <c r="O156" s="120">
        <v>32.5</v>
      </c>
      <c r="P156" s="120">
        <v>7.011787866868381</v>
      </c>
      <c r="Q156" s="123">
        <v>7.1732377883969605</v>
      </c>
      <c r="R156" s="120">
        <v>0.8571428571428571</v>
      </c>
      <c r="S156" s="120">
        <v>1.0230255000000004</v>
      </c>
      <c r="T156" s="15"/>
      <c r="U156" s="161"/>
      <c r="AE156" s="15"/>
      <c r="AF156" s="15"/>
    </row>
    <row r="157" ht="15.0" customHeight="1">
      <c r="A157" s="134" t="s">
        <v>256</v>
      </c>
      <c r="B157" s="3" t="s">
        <v>258</v>
      </c>
      <c r="C157" s="3" t="s">
        <v>246</v>
      </c>
      <c r="D157" s="3" t="s">
        <v>251</v>
      </c>
      <c r="E157" s="8">
        <v>6.0</v>
      </c>
      <c r="F157" s="183">
        <f t="shared" si="1"/>
        <v>10</v>
      </c>
      <c r="G157" s="162" t="s">
        <v>277</v>
      </c>
      <c r="H157" s="137">
        <v>6.23981898</v>
      </c>
      <c r="I157" s="137">
        <v>0.08169246</v>
      </c>
      <c r="J157" s="137">
        <v>3.66675821</v>
      </c>
      <c r="K157" s="120">
        <f t="shared" si="2"/>
        <v>76.38182251</v>
      </c>
      <c r="L157" s="121"/>
      <c r="M157" s="121">
        <v>-1.057</v>
      </c>
      <c r="N157" s="122"/>
      <c r="O157" s="120">
        <v>40.0</v>
      </c>
      <c r="P157" s="120">
        <v>5.316685095770441</v>
      </c>
      <c r="Q157" s="123">
        <v>5.6722089039478085</v>
      </c>
      <c r="R157" s="120">
        <v>1.0</v>
      </c>
      <c r="S157" s="120">
        <v>1.0668694500000002</v>
      </c>
      <c r="T157" s="15"/>
      <c r="U157" s="161"/>
      <c r="AE157" s="15"/>
      <c r="AF157" s="15"/>
    </row>
    <row r="158" ht="15.0" customHeight="1">
      <c r="A158" s="134" t="s">
        <v>244</v>
      </c>
      <c r="B158" s="3" t="s">
        <v>257</v>
      </c>
      <c r="C158" s="3" t="s">
        <v>247</v>
      </c>
      <c r="D158" s="135" t="s">
        <v>240</v>
      </c>
      <c r="E158" s="48">
        <v>1.0</v>
      </c>
      <c r="F158" s="183">
        <f t="shared" si="1"/>
        <v>11</v>
      </c>
      <c r="G158" s="162" t="s">
        <v>277</v>
      </c>
      <c r="H158" s="137">
        <v>8.62830921</v>
      </c>
      <c r="I158" s="137">
        <v>0.12150648</v>
      </c>
      <c r="J158" s="137">
        <v>4.53343611</v>
      </c>
      <c r="K158" s="120">
        <f t="shared" si="2"/>
        <v>71.01110336</v>
      </c>
      <c r="L158" s="121">
        <v>-0.399</v>
      </c>
      <c r="M158" s="121">
        <v>-1.265</v>
      </c>
      <c r="N158" s="122">
        <v>0.866</v>
      </c>
      <c r="O158" s="120">
        <v>49.4</v>
      </c>
      <c r="P158" s="120">
        <v>5.234914676674366</v>
      </c>
      <c r="Q158" s="123">
        <v>4.972918975664838</v>
      </c>
      <c r="R158" s="120">
        <v>0.5714285714285714</v>
      </c>
      <c r="S158" s="120">
        <v>0.9499522500000003</v>
      </c>
      <c r="T158" s="15"/>
      <c r="U158" s="161"/>
      <c r="AE158" s="15"/>
      <c r="AF158" s="15"/>
    </row>
    <row r="159" ht="15.0" customHeight="1">
      <c r="A159" s="134" t="s">
        <v>244</v>
      </c>
      <c r="B159" s="3" t="s">
        <v>257</v>
      </c>
      <c r="C159" s="3" t="s">
        <v>247</v>
      </c>
      <c r="D159" s="135" t="s">
        <v>240</v>
      </c>
      <c r="E159" s="48">
        <v>2.0</v>
      </c>
      <c r="F159" s="183">
        <f t="shared" si="1"/>
        <v>11</v>
      </c>
      <c r="G159" s="162" t="s">
        <v>277</v>
      </c>
      <c r="H159" s="137">
        <v>10.600966</v>
      </c>
      <c r="I159" s="137">
        <v>0.17463129</v>
      </c>
      <c r="J159" s="137">
        <v>4.97553404</v>
      </c>
      <c r="K159" s="120">
        <f t="shared" si="2"/>
        <v>60.70484848</v>
      </c>
      <c r="L159" s="121"/>
      <c r="M159" s="121">
        <v>-1.13</v>
      </c>
      <c r="N159" s="122"/>
      <c r="O159" s="120">
        <v>42.1</v>
      </c>
      <c r="P159" s="120">
        <v>6.619306397754335</v>
      </c>
      <c r="Q159" s="123">
        <v>5.3206365435267235</v>
      </c>
      <c r="R159" s="120">
        <v>0.42857142857142855</v>
      </c>
      <c r="S159" s="120">
        <v>0.8038057500000002</v>
      </c>
      <c r="T159" s="15"/>
      <c r="U159" s="161"/>
      <c r="AE159" s="15"/>
      <c r="AF159" s="15"/>
    </row>
    <row r="160" ht="15.0" customHeight="1">
      <c r="A160" s="134" t="s">
        <v>244</v>
      </c>
      <c r="B160" s="3" t="s">
        <v>257</v>
      </c>
      <c r="C160" s="3" t="s">
        <v>247</v>
      </c>
      <c r="D160" s="135" t="s">
        <v>240</v>
      </c>
      <c r="E160" s="48">
        <v>3.0</v>
      </c>
      <c r="F160" s="183">
        <f t="shared" si="1"/>
        <v>11</v>
      </c>
      <c r="G160" s="162" t="s">
        <v>277</v>
      </c>
      <c r="H160" s="137">
        <v>10.2512598</v>
      </c>
      <c r="I160" s="137">
        <v>0.16623854</v>
      </c>
      <c r="J160" s="137">
        <v>6.06205203</v>
      </c>
      <c r="K160" s="120">
        <f t="shared" si="2"/>
        <v>61.66596386</v>
      </c>
      <c r="L160" s="121">
        <v>-0.39</v>
      </c>
      <c r="M160" s="121">
        <v>-1.106</v>
      </c>
      <c r="N160" s="122">
        <v>0.716</v>
      </c>
      <c r="O160" s="120">
        <v>45.8</v>
      </c>
      <c r="P160" s="120">
        <v>8.466553114525139</v>
      </c>
      <c r="Q160" s="123">
        <v>7.176671207561301</v>
      </c>
      <c r="R160" s="120">
        <v>0.42857142857142855</v>
      </c>
      <c r="S160" s="120">
        <v>0.8476497000000002</v>
      </c>
      <c r="T160" s="15"/>
      <c r="U160" s="161"/>
      <c r="AE160" s="15"/>
      <c r="AF160" s="15"/>
    </row>
    <row r="161" ht="15.0" customHeight="1">
      <c r="A161" s="134" t="s">
        <v>244</v>
      </c>
      <c r="B161" s="3" t="s">
        <v>257</v>
      </c>
      <c r="C161" s="3" t="s">
        <v>247</v>
      </c>
      <c r="D161" s="135" t="s">
        <v>240</v>
      </c>
      <c r="E161" s="48">
        <v>4.0</v>
      </c>
      <c r="F161" s="183">
        <f t="shared" si="1"/>
        <v>11</v>
      </c>
      <c r="G161" s="162" t="s">
        <v>277</v>
      </c>
      <c r="H161" s="137">
        <v>7.55318691</v>
      </c>
      <c r="I161" s="137">
        <v>0.11779614</v>
      </c>
      <c r="J161" s="137">
        <v>4.5943443</v>
      </c>
      <c r="K161" s="120">
        <f t="shared" si="2"/>
        <v>64.12083545</v>
      </c>
      <c r="L161" s="121"/>
      <c r="M161" s="121">
        <v>-1.048</v>
      </c>
      <c r="N161" s="122"/>
      <c r="O161" s="120">
        <v>31.9</v>
      </c>
      <c r="P161" s="120">
        <v>6.860609404632133</v>
      </c>
      <c r="Q161" s="123">
        <v>6.818047556007677</v>
      </c>
      <c r="R161" s="120">
        <v>0.8571428571428571</v>
      </c>
      <c r="S161" s="120">
        <v>0.9937962000000001</v>
      </c>
      <c r="T161" s="15"/>
      <c r="U161" s="161"/>
      <c r="AE161" s="15"/>
      <c r="AF161" s="15"/>
    </row>
    <row r="162" ht="15.0" customHeight="1">
      <c r="A162" s="134" t="s">
        <v>244</v>
      </c>
      <c r="B162" s="3" t="s">
        <v>257</v>
      </c>
      <c r="C162" s="3" t="s">
        <v>247</v>
      </c>
      <c r="D162" s="135" t="s">
        <v>240</v>
      </c>
      <c r="E162" s="48">
        <v>5.0</v>
      </c>
      <c r="F162" s="183">
        <f t="shared" si="1"/>
        <v>11</v>
      </c>
      <c r="G162" s="162" t="s">
        <v>277</v>
      </c>
      <c r="H162" s="137">
        <v>13.5427958</v>
      </c>
      <c r="I162" s="137">
        <v>0.24546095</v>
      </c>
      <c r="J162" s="137">
        <v>8.44678092</v>
      </c>
      <c r="K162" s="120">
        <f t="shared" si="2"/>
        <v>55.17291365</v>
      </c>
      <c r="L162" s="121">
        <v>-0.346</v>
      </c>
      <c r="M162" s="121">
        <v>-1.196</v>
      </c>
      <c r="N162" s="122">
        <v>0.85</v>
      </c>
      <c r="O162" s="120">
        <v>27.3</v>
      </c>
      <c r="P162" s="120">
        <v>9.937389317647058</v>
      </c>
      <c r="Q162" s="123">
        <v>9.875739741798242</v>
      </c>
      <c r="R162" s="120">
        <v>0.8571428571428571</v>
      </c>
      <c r="S162" s="120">
        <v>0.9937962000000001</v>
      </c>
      <c r="T162" s="15"/>
      <c r="U162" s="161"/>
      <c r="AE162" s="15"/>
      <c r="AF162" s="15"/>
    </row>
    <row r="163" ht="15.0" customHeight="1">
      <c r="A163" s="134" t="s">
        <v>244</v>
      </c>
      <c r="B163" s="3" t="s">
        <v>257</v>
      </c>
      <c r="C163" s="3" t="s">
        <v>247</v>
      </c>
      <c r="D163" s="135" t="s">
        <v>240</v>
      </c>
      <c r="E163" s="48">
        <v>6.0</v>
      </c>
      <c r="F163" s="183">
        <f t="shared" si="1"/>
        <v>11</v>
      </c>
      <c r="G163" s="162" t="s">
        <v>277</v>
      </c>
      <c r="H163" s="137">
        <v>3.92359243</v>
      </c>
      <c r="I163" s="137">
        <v>0.0456819</v>
      </c>
      <c r="J163" s="137">
        <v>2.26897334</v>
      </c>
      <c r="K163" s="120">
        <f t="shared" si="2"/>
        <v>85.8894317</v>
      </c>
      <c r="L163" s="121"/>
      <c r="M163" s="121">
        <v>-1.182</v>
      </c>
      <c r="N163" s="122"/>
      <c r="O163" s="120">
        <v>43.6</v>
      </c>
      <c r="P163" s="120">
        <v>2.823264947055384</v>
      </c>
      <c r="Q163" s="123">
        <v>2.9707940922107743</v>
      </c>
      <c r="R163" s="120">
        <v>1.1428571428571428</v>
      </c>
      <c r="S163" s="120">
        <v>1.0522548000000003</v>
      </c>
      <c r="T163" s="15"/>
      <c r="U163" s="161"/>
      <c r="AE163" s="15"/>
      <c r="AF163" s="15"/>
    </row>
    <row r="164" ht="15.0" customHeight="1">
      <c r="A164" s="134" t="s">
        <v>238</v>
      </c>
      <c r="B164" s="3" t="s">
        <v>250</v>
      </c>
      <c r="C164" s="3" t="s">
        <v>248</v>
      </c>
      <c r="D164" s="3" t="s">
        <v>251</v>
      </c>
      <c r="E164" s="48">
        <v>1.0</v>
      </c>
      <c r="F164" s="183">
        <f t="shared" si="1"/>
        <v>12</v>
      </c>
      <c r="G164" s="162" t="s">
        <v>277</v>
      </c>
      <c r="H164" s="137">
        <v>7.15142307</v>
      </c>
      <c r="I164" s="137">
        <v>0.07112087</v>
      </c>
      <c r="J164" s="137">
        <v>2.93489301</v>
      </c>
      <c r="K164" s="120">
        <f t="shared" si="2"/>
        <v>100.5530876</v>
      </c>
      <c r="L164" s="121">
        <v>-0.52</v>
      </c>
      <c r="M164" s="121">
        <v>-1.178</v>
      </c>
      <c r="N164" s="122">
        <v>0.658</v>
      </c>
      <c r="O164" s="120">
        <v>35.8</v>
      </c>
      <c r="P164" s="120">
        <v>4.460323723404256</v>
      </c>
      <c r="Q164" s="123">
        <v>3.5852338557337515</v>
      </c>
      <c r="R164" s="120">
        <v>0.5714285714285714</v>
      </c>
      <c r="S164" s="120">
        <v>0.8038057500000002</v>
      </c>
      <c r="T164" s="15"/>
      <c r="U164" s="161"/>
      <c r="AE164" s="15"/>
      <c r="AF164" s="15"/>
    </row>
    <row r="165" ht="15.0" customHeight="1">
      <c r="A165" s="134" t="s">
        <v>238</v>
      </c>
      <c r="B165" s="3" t="s">
        <v>250</v>
      </c>
      <c r="C165" s="3" t="s">
        <v>248</v>
      </c>
      <c r="D165" s="3" t="s">
        <v>251</v>
      </c>
      <c r="E165" s="48">
        <v>2.0</v>
      </c>
      <c r="F165" s="183">
        <f t="shared" si="1"/>
        <v>12</v>
      </c>
      <c r="G165" s="162" t="s">
        <v>277</v>
      </c>
      <c r="H165" s="137">
        <v>7.52071787</v>
      </c>
      <c r="I165" s="137">
        <v>0.12679732</v>
      </c>
      <c r="J165" s="137">
        <v>4.11486903</v>
      </c>
      <c r="K165" s="120">
        <f t="shared" si="2"/>
        <v>59.31290874</v>
      </c>
      <c r="L165" s="121"/>
      <c r="M165" s="121">
        <v>-0.917</v>
      </c>
      <c r="N165" s="122"/>
      <c r="O165" s="120">
        <v>35.5</v>
      </c>
      <c r="P165" s="120">
        <v>9.13745260142562</v>
      </c>
      <c r="Q165" s="123">
        <v>6.944114926394098</v>
      </c>
      <c r="R165" s="120">
        <v>0.5714285714285714</v>
      </c>
      <c r="S165" s="120">
        <v>0.7599618000000001</v>
      </c>
      <c r="T165" s="15"/>
      <c r="U165" s="161"/>
      <c r="AE165" s="15"/>
      <c r="AF165" s="15"/>
    </row>
    <row r="166" ht="15.0" customHeight="1">
      <c r="A166" s="134" t="s">
        <v>238</v>
      </c>
      <c r="B166" s="3" t="s">
        <v>250</v>
      </c>
      <c r="C166" s="3" t="s">
        <v>248</v>
      </c>
      <c r="D166" s="3" t="s">
        <v>251</v>
      </c>
      <c r="E166" s="48">
        <v>3.0</v>
      </c>
      <c r="F166" s="183">
        <f t="shared" si="1"/>
        <v>12</v>
      </c>
      <c r="G166" s="162" t="s">
        <v>277</v>
      </c>
      <c r="H166" s="137">
        <v>13.4242453</v>
      </c>
      <c r="I166" s="137">
        <v>0.2888466</v>
      </c>
      <c r="J166" s="137">
        <v>8.79001886</v>
      </c>
      <c r="K166" s="120">
        <f t="shared" si="2"/>
        <v>46.4753447</v>
      </c>
      <c r="L166" s="121">
        <v>-0.43</v>
      </c>
      <c r="M166" s="121">
        <v>-1.11</v>
      </c>
      <c r="N166" s="122">
        <v>0.68</v>
      </c>
      <c r="O166" s="120">
        <v>37.2</v>
      </c>
      <c r="P166" s="120">
        <v>12.926498323529408</v>
      </c>
      <c r="Q166" s="123">
        <v>13.601969908125778</v>
      </c>
      <c r="R166" s="120">
        <v>1.2857142857142858</v>
      </c>
      <c r="S166" s="120">
        <v>1.0522548000000003</v>
      </c>
      <c r="T166" s="15"/>
      <c r="U166" s="161"/>
      <c r="AE166" s="15"/>
      <c r="AF166" s="15"/>
    </row>
    <row r="167" ht="15.0" customHeight="1">
      <c r="A167" s="134" t="s">
        <v>238</v>
      </c>
      <c r="B167" s="3" t="s">
        <v>250</v>
      </c>
      <c r="C167" s="3" t="s">
        <v>248</v>
      </c>
      <c r="D167" s="3" t="s">
        <v>251</v>
      </c>
      <c r="E167" s="48">
        <v>4.0</v>
      </c>
      <c r="F167" s="183">
        <f t="shared" si="1"/>
        <v>12</v>
      </c>
      <c r="G167" s="162" t="s">
        <v>277</v>
      </c>
      <c r="H167" s="137">
        <v>4.03917802</v>
      </c>
      <c r="I167" s="137">
        <v>0.06069219</v>
      </c>
      <c r="J167" s="137">
        <v>2.71821928</v>
      </c>
      <c r="K167" s="120">
        <f t="shared" si="2"/>
        <v>66.55185816</v>
      </c>
      <c r="L167" s="121"/>
      <c r="M167" s="121">
        <v>-1.023</v>
      </c>
      <c r="N167" s="122"/>
      <c r="O167" s="120">
        <v>39.7</v>
      </c>
      <c r="P167" s="120">
        <v>4.885983642801934</v>
      </c>
      <c r="Q167" s="123">
        <v>5.498334445086198</v>
      </c>
      <c r="R167" s="120">
        <v>0.8571428571428571</v>
      </c>
      <c r="S167" s="120">
        <v>1.1253280500000002</v>
      </c>
      <c r="T167" s="15"/>
      <c r="U167" s="161"/>
      <c r="AE167" s="15"/>
      <c r="AF167" s="15"/>
    </row>
    <row r="168" ht="15.0" customHeight="1">
      <c r="A168" s="134" t="s">
        <v>238</v>
      </c>
      <c r="B168" s="3" t="s">
        <v>250</v>
      </c>
      <c r="C168" s="3" t="s">
        <v>248</v>
      </c>
      <c r="D168" s="3" t="s">
        <v>251</v>
      </c>
      <c r="E168" s="48">
        <v>5.0</v>
      </c>
      <c r="F168" s="183">
        <f t="shared" si="1"/>
        <v>12</v>
      </c>
      <c r="G168" s="162" t="s">
        <v>277</v>
      </c>
      <c r="H168" s="137">
        <v>6.13793539</v>
      </c>
      <c r="I168" s="137">
        <v>0.17314919</v>
      </c>
      <c r="J168" s="137">
        <v>6.08740958</v>
      </c>
      <c r="K168" s="120">
        <f t="shared" si="2"/>
        <v>35.44882532</v>
      </c>
      <c r="L168" s="121">
        <v>-0.45</v>
      </c>
      <c r="M168" s="121">
        <v>-1.026</v>
      </c>
      <c r="N168" s="122">
        <v>0.576</v>
      </c>
      <c r="O168" s="120">
        <v>36.4</v>
      </c>
      <c r="P168" s="120">
        <v>10.568419409722221</v>
      </c>
      <c r="Q168" s="123">
        <v>11.42957755374597</v>
      </c>
      <c r="R168" s="120">
        <v>1.2857142857142858</v>
      </c>
      <c r="S168" s="120">
        <v>1.0814841000000002</v>
      </c>
      <c r="T168" s="15"/>
      <c r="U168" s="161"/>
      <c r="AE168" s="15"/>
      <c r="AF168" s="15"/>
    </row>
    <row r="169" ht="15.0" customHeight="1">
      <c r="A169" s="134" t="s">
        <v>238</v>
      </c>
      <c r="B169" s="3" t="s">
        <v>250</v>
      </c>
      <c r="C169" s="3" t="s">
        <v>248</v>
      </c>
      <c r="D169" s="3" t="s">
        <v>251</v>
      </c>
      <c r="E169" s="48">
        <v>6.0</v>
      </c>
      <c r="F169" s="183">
        <f t="shared" si="1"/>
        <v>12</v>
      </c>
      <c r="G169" s="162" t="s">
        <v>277</v>
      </c>
      <c r="H169" s="137">
        <v>6.144291</v>
      </c>
      <c r="I169" s="137">
        <v>0.09015419</v>
      </c>
      <c r="J169" s="137">
        <v>4.21513319</v>
      </c>
      <c r="K169" s="120">
        <f t="shared" si="2"/>
        <v>68.15313853</v>
      </c>
      <c r="L169" s="121"/>
      <c r="M169" s="121">
        <v>-1.19</v>
      </c>
      <c r="N169" s="122"/>
      <c r="O169" s="120">
        <v>34.9</v>
      </c>
      <c r="P169" s="120">
        <v>5.827399928110268</v>
      </c>
      <c r="Q169" s="123">
        <v>6.728067418389182</v>
      </c>
      <c r="R169" s="120">
        <v>1.1428571428571428</v>
      </c>
      <c r="S169" s="120">
        <v>1.1545573500000001</v>
      </c>
      <c r="T169" s="15"/>
      <c r="U169" s="161"/>
      <c r="AE169" s="15"/>
      <c r="AF169" s="15"/>
    </row>
    <row r="170" ht="15.0" customHeight="1">
      <c r="A170" s="134" t="s">
        <v>238</v>
      </c>
      <c r="B170" s="3" t="s">
        <v>257</v>
      </c>
      <c r="C170" s="3" t="s">
        <v>252</v>
      </c>
      <c r="D170" s="135" t="s">
        <v>240</v>
      </c>
      <c r="E170" s="48">
        <v>1.0</v>
      </c>
      <c r="F170" s="183">
        <f t="shared" si="1"/>
        <v>13</v>
      </c>
      <c r="G170" s="162" t="s">
        <v>277</v>
      </c>
      <c r="H170" s="137">
        <v>6.40036227</v>
      </c>
      <c r="I170" s="137">
        <v>0.09192052</v>
      </c>
      <c r="J170" s="137">
        <v>3.68517644</v>
      </c>
      <c r="K170" s="120">
        <f t="shared" si="2"/>
        <v>69.62930878</v>
      </c>
      <c r="L170" s="121">
        <v>-0.615</v>
      </c>
      <c r="M170" s="121">
        <v>-1.087</v>
      </c>
      <c r="N170" s="122">
        <v>0.472</v>
      </c>
      <c r="O170" s="120">
        <v>40.5</v>
      </c>
      <c r="P170" s="120">
        <v>7.807577203389831</v>
      </c>
      <c r="Q170" s="123">
        <v>6.161670441478146</v>
      </c>
      <c r="R170" s="120">
        <v>0.5714285714285714</v>
      </c>
      <c r="S170" s="120">
        <v>0.7891911000000001</v>
      </c>
      <c r="T170" s="15"/>
      <c r="U170" s="161"/>
      <c r="AE170" s="15"/>
      <c r="AF170" s="15"/>
    </row>
    <row r="171" ht="15.0" customHeight="1">
      <c r="A171" s="134" t="s">
        <v>238</v>
      </c>
      <c r="B171" s="3" t="s">
        <v>257</v>
      </c>
      <c r="C171" s="3" t="s">
        <v>252</v>
      </c>
      <c r="D171" s="135" t="s">
        <v>240</v>
      </c>
      <c r="E171" s="48">
        <v>2.0</v>
      </c>
      <c r="F171" s="183">
        <f t="shared" si="1"/>
        <v>13</v>
      </c>
      <c r="G171" s="162" t="s">
        <v>277</v>
      </c>
      <c r="H171" s="137">
        <v>6.70056905</v>
      </c>
      <c r="I171" s="137">
        <v>0.11591129</v>
      </c>
      <c r="J171" s="137">
        <v>3.82478325</v>
      </c>
      <c r="K171" s="120">
        <f t="shared" si="2"/>
        <v>57.80773426</v>
      </c>
      <c r="L171" s="121"/>
      <c r="M171" s="121">
        <v>-1.125</v>
      </c>
      <c r="N171" s="122"/>
      <c r="O171" s="120">
        <v>39.9</v>
      </c>
      <c r="P171" s="120">
        <v>5.824513454246425</v>
      </c>
      <c r="Q171" s="123">
        <v>5.4478864354625625</v>
      </c>
      <c r="R171" s="120">
        <v>0.5714285714285714</v>
      </c>
      <c r="S171" s="120">
        <v>0.9353376000000002</v>
      </c>
      <c r="T171" s="15"/>
      <c r="U171" s="161"/>
      <c r="AE171" s="15"/>
      <c r="AF171" s="15"/>
    </row>
    <row r="172" ht="15.0" customHeight="1">
      <c r="A172" s="134" t="s">
        <v>238</v>
      </c>
      <c r="B172" s="3" t="s">
        <v>257</v>
      </c>
      <c r="C172" s="3" t="s">
        <v>252</v>
      </c>
      <c r="D172" s="135" t="s">
        <v>240</v>
      </c>
      <c r="E172" s="48">
        <v>3.0</v>
      </c>
      <c r="F172" s="183">
        <f t="shared" si="1"/>
        <v>13</v>
      </c>
      <c r="G172" s="162" t="s">
        <v>277</v>
      </c>
      <c r="H172" s="137">
        <v>5.78256232</v>
      </c>
      <c r="I172" s="137">
        <v>0.08972417</v>
      </c>
      <c r="J172" s="137">
        <v>4.19854479</v>
      </c>
      <c r="K172" s="120">
        <f t="shared" si="2"/>
        <v>64.44821189</v>
      </c>
      <c r="L172" s="121">
        <v>-0.34</v>
      </c>
      <c r="M172" s="121">
        <v>-1.132</v>
      </c>
      <c r="N172" s="122">
        <v>0.792</v>
      </c>
      <c r="O172" s="120">
        <v>27.6</v>
      </c>
      <c r="P172" s="120">
        <v>5.301192916666667</v>
      </c>
      <c r="Q172" s="123">
        <v>5.268305376050252</v>
      </c>
      <c r="R172" s="120">
        <v>1.0</v>
      </c>
      <c r="S172" s="120">
        <v>0.9937962000000001</v>
      </c>
      <c r="T172" s="15"/>
      <c r="U172" s="161"/>
      <c r="AE172" s="15"/>
      <c r="AF172" s="15"/>
    </row>
    <row r="173" ht="15.0" customHeight="1">
      <c r="A173" s="134" t="s">
        <v>238</v>
      </c>
      <c r="B173" s="3" t="s">
        <v>257</v>
      </c>
      <c r="C173" s="3" t="s">
        <v>252</v>
      </c>
      <c r="D173" s="135" t="s">
        <v>240</v>
      </c>
      <c r="E173" s="48">
        <v>4.0</v>
      </c>
      <c r="F173" s="183">
        <f t="shared" si="1"/>
        <v>13</v>
      </c>
      <c r="G173" s="162" t="s">
        <v>277</v>
      </c>
      <c r="H173" s="137">
        <v>7.84322615</v>
      </c>
      <c r="I173" s="137">
        <v>0.12820499</v>
      </c>
      <c r="J173" s="137">
        <v>5.00312461</v>
      </c>
      <c r="K173" s="120">
        <f t="shared" si="2"/>
        <v>61.17722992</v>
      </c>
      <c r="L173" s="121"/>
      <c r="M173" s="121">
        <v>-0.995</v>
      </c>
      <c r="N173" s="122"/>
      <c r="O173" s="120">
        <v>42.4</v>
      </c>
      <c r="P173" s="120">
        <v>9.499543566179963</v>
      </c>
      <c r="Q173" s="123">
        <v>9.02411278466568</v>
      </c>
      <c r="R173" s="120">
        <v>1.0</v>
      </c>
      <c r="S173" s="120">
        <v>0.9499522500000003</v>
      </c>
      <c r="T173" s="15"/>
      <c r="U173" s="161"/>
      <c r="AE173" s="15"/>
      <c r="AF173" s="15"/>
    </row>
    <row r="174" ht="15.0" customHeight="1">
      <c r="A174" s="134" t="s">
        <v>238</v>
      </c>
      <c r="B174" s="3" t="s">
        <v>257</v>
      </c>
      <c r="C174" s="3" t="s">
        <v>252</v>
      </c>
      <c r="D174" s="135" t="s">
        <v>240</v>
      </c>
      <c r="E174" s="48">
        <v>5.0</v>
      </c>
      <c r="F174" s="183">
        <f t="shared" si="1"/>
        <v>13</v>
      </c>
      <c r="G174" s="162" t="s">
        <v>277</v>
      </c>
      <c r="H174" s="137">
        <v>12.9432313</v>
      </c>
      <c r="I174" s="137">
        <v>0.2058141</v>
      </c>
      <c r="J174" s="137">
        <v>8.30428797</v>
      </c>
      <c r="K174" s="120">
        <f t="shared" si="2"/>
        <v>62.88797172</v>
      </c>
      <c r="L174" s="121">
        <v>-0.45</v>
      </c>
      <c r="M174" s="121">
        <v>-1.172</v>
      </c>
      <c r="N174" s="122">
        <v>0.722</v>
      </c>
      <c r="O174" s="120">
        <v>41.4</v>
      </c>
      <c r="P174" s="120">
        <v>11.50178389196676</v>
      </c>
      <c r="Q174" s="123">
        <v>10.75805094123085</v>
      </c>
      <c r="R174" s="120">
        <v>0.8571428571428571</v>
      </c>
      <c r="S174" s="120">
        <v>0.9353376000000002</v>
      </c>
      <c r="T174" s="15"/>
      <c r="U174" s="161"/>
      <c r="AE174" s="15"/>
      <c r="AF174" s="15"/>
    </row>
    <row r="175" ht="15.0" customHeight="1">
      <c r="A175" s="134" t="s">
        <v>238</v>
      </c>
      <c r="B175" s="3" t="s">
        <v>257</v>
      </c>
      <c r="C175" s="3" t="s">
        <v>252</v>
      </c>
      <c r="D175" s="135" t="s">
        <v>240</v>
      </c>
      <c r="E175" s="48">
        <v>6.0</v>
      </c>
      <c r="F175" s="183">
        <f t="shared" si="1"/>
        <v>13</v>
      </c>
      <c r="G175" s="162" t="s">
        <v>277</v>
      </c>
      <c r="H175" s="137">
        <v>11.094302</v>
      </c>
      <c r="I175" s="137">
        <v>0.21656654</v>
      </c>
      <c r="J175" s="137">
        <v>7.61556308</v>
      </c>
      <c r="K175" s="120">
        <f t="shared" si="2"/>
        <v>51.22814448</v>
      </c>
      <c r="L175" s="121"/>
      <c r="M175" s="121">
        <v>-1.114</v>
      </c>
      <c r="N175" s="122"/>
      <c r="O175" s="120">
        <v>37.0</v>
      </c>
      <c r="P175" s="120">
        <v>11.794822556414266</v>
      </c>
      <c r="Q175" s="123">
        <v>13.790176277927985</v>
      </c>
      <c r="R175" s="120">
        <v>1.0</v>
      </c>
      <c r="S175" s="120">
        <v>1.1691720000000003</v>
      </c>
      <c r="T175" s="15"/>
      <c r="U175" s="161"/>
      <c r="AE175" s="15"/>
      <c r="AF175" s="15"/>
    </row>
    <row r="176" ht="15.0" customHeight="1">
      <c r="A176" s="134" t="s">
        <v>238</v>
      </c>
      <c r="B176" s="3" t="s">
        <v>258</v>
      </c>
      <c r="C176" s="3" t="s">
        <v>253</v>
      </c>
      <c r="D176" s="3" t="s">
        <v>251</v>
      </c>
      <c r="E176" s="48">
        <v>1.0</v>
      </c>
      <c r="F176" s="183">
        <f t="shared" si="1"/>
        <v>14</v>
      </c>
      <c r="G176" s="162" t="s">
        <v>277</v>
      </c>
      <c r="H176" s="137">
        <v>7.92065902</v>
      </c>
      <c r="I176" s="137">
        <v>0.12904592</v>
      </c>
      <c r="J176" s="137">
        <v>4.73337817</v>
      </c>
      <c r="K176" s="120">
        <f t="shared" si="2"/>
        <v>61.37860864</v>
      </c>
      <c r="L176" s="121">
        <v>-0.518</v>
      </c>
      <c r="M176" s="121">
        <v>-1.083</v>
      </c>
      <c r="N176" s="122">
        <v>0.565</v>
      </c>
      <c r="O176" s="120">
        <v>35.6</v>
      </c>
      <c r="P176" s="120">
        <v>8.377660477876107</v>
      </c>
      <c r="Q176" s="123">
        <v>6.734011663664564</v>
      </c>
      <c r="R176" s="120">
        <v>0.7142857142857143</v>
      </c>
      <c r="S176" s="120">
        <v>0.8038057500000002</v>
      </c>
      <c r="T176" s="15"/>
      <c r="U176" s="161"/>
      <c r="AE176" s="15"/>
      <c r="AF176" s="15"/>
    </row>
    <row r="177" ht="15.0" customHeight="1">
      <c r="A177" s="134" t="s">
        <v>238</v>
      </c>
      <c r="B177" s="3" t="s">
        <v>258</v>
      </c>
      <c r="C177" s="3" t="s">
        <v>253</v>
      </c>
      <c r="D177" s="3" t="s">
        <v>251</v>
      </c>
      <c r="E177" s="48">
        <v>2.0</v>
      </c>
      <c r="F177" s="183">
        <f t="shared" si="1"/>
        <v>14</v>
      </c>
      <c r="G177" s="162" t="s">
        <v>277</v>
      </c>
      <c r="H177" s="137">
        <v>4.04378806</v>
      </c>
      <c r="I177" s="137">
        <v>0.07947652</v>
      </c>
      <c r="J177" s="137">
        <v>2.88142241</v>
      </c>
      <c r="K177" s="120">
        <f t="shared" si="2"/>
        <v>50.8802859</v>
      </c>
      <c r="L177" s="121"/>
      <c r="M177" s="121">
        <v>-1.045</v>
      </c>
      <c r="N177" s="122"/>
      <c r="O177" s="120">
        <v>37.5</v>
      </c>
      <c r="P177" s="120">
        <v>4.775864634611241</v>
      </c>
      <c r="Q177" s="123">
        <v>3.629474684275502</v>
      </c>
      <c r="R177" s="120">
        <v>0.2857142857142857</v>
      </c>
      <c r="S177" s="120">
        <v>0.7599618000000001</v>
      </c>
      <c r="T177" s="15"/>
      <c r="U177" s="161"/>
      <c r="AE177" s="15"/>
      <c r="AF177" s="15"/>
    </row>
    <row r="178" ht="15.0" customHeight="1">
      <c r="A178" s="134" t="s">
        <v>238</v>
      </c>
      <c r="B178" s="3" t="s">
        <v>258</v>
      </c>
      <c r="C178" s="3" t="s">
        <v>253</v>
      </c>
      <c r="D178" s="3" t="s">
        <v>251</v>
      </c>
      <c r="E178" s="48">
        <v>3.0</v>
      </c>
      <c r="F178" s="183">
        <f t="shared" si="1"/>
        <v>14</v>
      </c>
      <c r="G178" s="162" t="s">
        <v>277</v>
      </c>
      <c r="H178" s="137">
        <v>10.2834998</v>
      </c>
      <c r="I178" s="137">
        <v>0.18734797</v>
      </c>
      <c r="J178" s="137">
        <v>6.6779982</v>
      </c>
      <c r="K178" s="120">
        <f t="shared" si="2"/>
        <v>54.88983841</v>
      </c>
      <c r="L178" s="121">
        <v>-0.416</v>
      </c>
      <c r="M178" s="121">
        <v>-1.124</v>
      </c>
      <c r="N178" s="122">
        <v>0.708</v>
      </c>
      <c r="O178" s="120">
        <v>38.8</v>
      </c>
      <c r="P178" s="120">
        <v>9.432200847457626</v>
      </c>
      <c r="Q178" s="123">
        <v>10.200775244531949</v>
      </c>
      <c r="R178" s="120">
        <v>0.8571428571428571</v>
      </c>
      <c r="S178" s="120">
        <v>1.0814841000000002</v>
      </c>
      <c r="T178" s="15"/>
      <c r="U178" s="161"/>
      <c r="AE178" s="15"/>
      <c r="AF178" s="15"/>
    </row>
    <row r="179" ht="15.0" customHeight="1">
      <c r="A179" s="134" t="s">
        <v>238</v>
      </c>
      <c r="B179" s="3" t="s">
        <v>258</v>
      </c>
      <c r="C179" s="3" t="s">
        <v>253</v>
      </c>
      <c r="D179" s="3" t="s">
        <v>251</v>
      </c>
      <c r="E179" s="48">
        <v>4.0</v>
      </c>
      <c r="F179" s="183">
        <f t="shared" si="1"/>
        <v>14</v>
      </c>
      <c r="G179" s="162" t="s">
        <v>277</v>
      </c>
      <c r="H179" s="137">
        <v>8.82051517</v>
      </c>
      <c r="I179" s="137">
        <v>0.1492552</v>
      </c>
      <c r="J179" s="137">
        <v>5.67407834</v>
      </c>
      <c r="K179" s="120">
        <f t="shared" si="2"/>
        <v>59.09687013</v>
      </c>
      <c r="L179" s="121"/>
      <c r="M179" s="121">
        <v>-1.035</v>
      </c>
      <c r="N179" s="122"/>
      <c r="O179" s="120">
        <v>41.0</v>
      </c>
      <c r="P179" s="120">
        <v>9.563107107343301</v>
      </c>
      <c r="Q179" s="123">
        <v>9.084495113611762</v>
      </c>
      <c r="R179" s="120">
        <v>0.8571428571428571</v>
      </c>
      <c r="S179" s="120">
        <v>0.9499522500000003</v>
      </c>
      <c r="T179" s="15"/>
      <c r="U179" s="161"/>
      <c r="AE179" s="15"/>
      <c r="AF179" s="15"/>
    </row>
    <row r="180" ht="15.0" customHeight="1">
      <c r="A180" s="134" t="s">
        <v>238</v>
      </c>
      <c r="B180" s="3" t="s">
        <v>258</v>
      </c>
      <c r="C180" s="3" t="s">
        <v>253</v>
      </c>
      <c r="D180" s="3" t="s">
        <v>251</v>
      </c>
      <c r="E180" s="48">
        <v>5.0</v>
      </c>
      <c r="F180" s="183">
        <f t="shared" si="1"/>
        <v>14</v>
      </c>
      <c r="G180" s="162" t="s">
        <v>277</v>
      </c>
      <c r="H180" s="137">
        <v>7.04307467</v>
      </c>
      <c r="I180" s="137">
        <v>0.10089673</v>
      </c>
      <c r="J180" s="137">
        <v>4.81515365</v>
      </c>
      <c r="K180" s="120">
        <f t="shared" si="2"/>
        <v>69.80478624</v>
      </c>
      <c r="L180" s="121">
        <v>-0.391</v>
      </c>
      <c r="M180" s="121">
        <v>-1.06</v>
      </c>
      <c r="N180" s="122">
        <v>0.669</v>
      </c>
      <c r="O180" s="120">
        <v>44.9</v>
      </c>
      <c r="P180" s="120">
        <v>7.19753908819133</v>
      </c>
      <c r="Q180" s="123">
        <v>7.468455539101716</v>
      </c>
      <c r="R180" s="120">
        <v>1.1428571428571428</v>
      </c>
      <c r="S180" s="120">
        <v>1.03764015</v>
      </c>
      <c r="T180" s="15"/>
      <c r="U180" s="161"/>
      <c r="AE180" s="15"/>
      <c r="AF180" s="15"/>
    </row>
    <row r="181" ht="15.0" customHeight="1">
      <c r="A181" s="134" t="s">
        <v>238</v>
      </c>
      <c r="B181" s="3" t="s">
        <v>258</v>
      </c>
      <c r="C181" s="3" t="s">
        <v>253</v>
      </c>
      <c r="D181" s="3" t="s">
        <v>251</v>
      </c>
      <c r="E181" s="48">
        <v>6.0</v>
      </c>
      <c r="F181" s="183">
        <f t="shared" si="1"/>
        <v>14</v>
      </c>
      <c r="G181" s="162" t="s">
        <v>277</v>
      </c>
      <c r="H181" s="137">
        <v>4.81654241</v>
      </c>
      <c r="I181" s="137">
        <v>0.05348643</v>
      </c>
      <c r="J181" s="137">
        <v>2.76465909</v>
      </c>
      <c r="K181" s="120">
        <f t="shared" si="2"/>
        <v>90.05167124</v>
      </c>
      <c r="L181" s="121"/>
      <c r="M181" s="121">
        <v>-1.182</v>
      </c>
      <c r="N181" s="122"/>
      <c r="O181" s="120">
        <v>38.0</v>
      </c>
      <c r="P181" s="120">
        <v>3.7343604743830454</v>
      </c>
      <c r="Q181" s="123">
        <v>4.093227848020665</v>
      </c>
      <c r="R181" s="120">
        <v>0.8571428571428571</v>
      </c>
      <c r="S181" s="120">
        <v>1.0960987500000003</v>
      </c>
      <c r="T181" s="15"/>
      <c r="U181" s="161"/>
      <c r="AE181" s="15"/>
      <c r="AF181" s="15"/>
    </row>
    <row r="182" ht="15.0" customHeight="1">
      <c r="A182" s="134" t="s">
        <v>249</v>
      </c>
      <c r="B182" s="3" t="s">
        <v>257</v>
      </c>
      <c r="C182" s="3" t="s">
        <v>254</v>
      </c>
      <c r="D182" s="135" t="s">
        <v>240</v>
      </c>
      <c r="E182" s="48">
        <v>1.0</v>
      </c>
      <c r="F182" s="183">
        <f t="shared" si="1"/>
        <v>15</v>
      </c>
      <c r="G182" s="162" t="s">
        <v>277</v>
      </c>
      <c r="H182" s="137">
        <v>8.23493993</v>
      </c>
      <c r="I182" s="137">
        <v>0.20157609</v>
      </c>
      <c r="J182" s="137">
        <v>6.04200289</v>
      </c>
      <c r="K182" s="120">
        <f t="shared" si="2"/>
        <v>40.85276151</v>
      </c>
      <c r="L182" s="121">
        <v>-0.512</v>
      </c>
      <c r="M182" s="121">
        <v>-1.107</v>
      </c>
      <c r="N182" s="122">
        <v>0.595</v>
      </c>
      <c r="O182" s="120">
        <v>41.6</v>
      </c>
      <c r="P182" s="120">
        <v>10.154626705882354</v>
      </c>
      <c r="Q182" s="123">
        <v>9.349597856788785</v>
      </c>
      <c r="R182" s="120">
        <v>0.7142857142857143</v>
      </c>
      <c r="S182" s="120">
        <v>0.9207229500000002</v>
      </c>
      <c r="T182" s="15"/>
      <c r="U182" s="161"/>
      <c r="AE182" s="15"/>
      <c r="AF182" s="15"/>
    </row>
    <row r="183" ht="15.0" customHeight="1">
      <c r="A183" s="134" t="s">
        <v>249</v>
      </c>
      <c r="B183" s="3" t="s">
        <v>257</v>
      </c>
      <c r="C183" s="3" t="s">
        <v>254</v>
      </c>
      <c r="D183" s="135" t="s">
        <v>240</v>
      </c>
      <c r="E183" s="48">
        <v>2.0</v>
      </c>
      <c r="F183" s="183">
        <f t="shared" si="1"/>
        <v>15</v>
      </c>
      <c r="G183" s="162" t="s">
        <v>277</v>
      </c>
      <c r="H183" s="137">
        <v>16.5477185</v>
      </c>
      <c r="I183" s="137">
        <v>0.31542867</v>
      </c>
      <c r="J183" s="137">
        <v>7.95235883</v>
      </c>
      <c r="K183" s="120">
        <f t="shared" si="2"/>
        <v>52.46104769</v>
      </c>
      <c r="L183" s="121"/>
      <c r="M183" s="121">
        <v>-1.035</v>
      </c>
      <c r="N183" s="122"/>
      <c r="O183" s="120">
        <v>35.9</v>
      </c>
      <c r="P183" s="120">
        <v>13.21714366679409</v>
      </c>
      <c r="Q183" s="123">
        <v>11.78299965008465</v>
      </c>
      <c r="R183" s="120">
        <v>0.8571428571428571</v>
      </c>
      <c r="S183" s="120">
        <v>0.8914936500000001</v>
      </c>
      <c r="T183" s="15"/>
      <c r="U183" s="161"/>
      <c r="AE183" s="15"/>
      <c r="AF183" s="15"/>
    </row>
    <row r="184" ht="15.0" customHeight="1">
      <c r="A184" s="134" t="s">
        <v>249</v>
      </c>
      <c r="B184" s="3" t="s">
        <v>257</v>
      </c>
      <c r="C184" s="3" t="s">
        <v>254</v>
      </c>
      <c r="D184" s="135" t="s">
        <v>240</v>
      </c>
      <c r="E184" s="48">
        <v>3.0</v>
      </c>
      <c r="F184" s="183">
        <f t="shared" si="1"/>
        <v>15</v>
      </c>
      <c r="G184" s="162" t="s">
        <v>277</v>
      </c>
      <c r="H184" s="137">
        <v>9.25851294</v>
      </c>
      <c r="I184" s="137">
        <v>0.1820312</v>
      </c>
      <c r="J184" s="137">
        <v>6.66369642</v>
      </c>
      <c r="K184" s="120">
        <f t="shared" si="2"/>
        <v>50.86223098</v>
      </c>
      <c r="L184" s="121">
        <v>-0.42</v>
      </c>
      <c r="M184" s="121">
        <v>-1.212</v>
      </c>
      <c r="N184" s="122">
        <v>0.792</v>
      </c>
      <c r="O184" s="120">
        <v>49.7</v>
      </c>
      <c r="P184" s="120">
        <v>8.413758106060605</v>
      </c>
      <c r="Q184" s="123">
        <v>8.361560833522228</v>
      </c>
      <c r="R184" s="120">
        <v>0.7142857142857143</v>
      </c>
      <c r="S184" s="120">
        <v>0.9937962000000001</v>
      </c>
      <c r="T184" s="15"/>
      <c r="U184" s="161"/>
      <c r="AE184" s="15"/>
      <c r="AF184" s="15"/>
    </row>
    <row r="185" ht="15.0" customHeight="1">
      <c r="A185" s="134" t="s">
        <v>249</v>
      </c>
      <c r="B185" s="3" t="s">
        <v>257</v>
      </c>
      <c r="C185" s="3" t="s">
        <v>254</v>
      </c>
      <c r="D185" s="135" t="s">
        <v>240</v>
      </c>
      <c r="E185" s="48">
        <v>4.0</v>
      </c>
      <c r="F185" s="183">
        <f t="shared" si="1"/>
        <v>15</v>
      </c>
      <c r="G185" s="162" t="s">
        <v>277</v>
      </c>
      <c r="H185" s="137">
        <v>8.04576886</v>
      </c>
      <c r="I185" s="137">
        <v>0.12657203</v>
      </c>
      <c r="J185" s="137">
        <v>5.04997867</v>
      </c>
      <c r="K185" s="120">
        <f t="shared" si="2"/>
        <v>63.56672055</v>
      </c>
      <c r="L185" s="121"/>
      <c r="M185" s="121">
        <v>-1.13</v>
      </c>
      <c r="N185" s="122"/>
      <c r="O185" s="120">
        <v>41.5</v>
      </c>
      <c r="P185" s="120">
        <v>7.2487385275668546</v>
      </c>
      <c r="Q185" s="123">
        <v>6.780017697401917</v>
      </c>
      <c r="R185" s="120">
        <v>0.8571428571428571</v>
      </c>
      <c r="S185" s="120">
        <v>0.9353376000000002</v>
      </c>
      <c r="T185" s="15"/>
      <c r="U185" s="161"/>
      <c r="AE185" s="15"/>
      <c r="AF185" s="15"/>
    </row>
    <row r="186" ht="15.0" customHeight="1">
      <c r="A186" s="134" t="s">
        <v>249</v>
      </c>
      <c r="B186" s="3" t="s">
        <v>257</v>
      </c>
      <c r="C186" s="3" t="s">
        <v>254</v>
      </c>
      <c r="D186" s="135" t="s">
        <v>240</v>
      </c>
      <c r="E186" s="48">
        <v>5.0</v>
      </c>
      <c r="F186" s="183">
        <f t="shared" si="1"/>
        <v>15</v>
      </c>
      <c r="G186" s="162" t="s">
        <v>277</v>
      </c>
      <c r="H186" s="137">
        <v>6.76930548</v>
      </c>
      <c r="I186" s="137">
        <v>0.0917058</v>
      </c>
      <c r="J186" s="137">
        <v>4.21613741</v>
      </c>
      <c r="K186" s="120">
        <f t="shared" si="2"/>
        <v>73.81545638</v>
      </c>
      <c r="L186" s="121">
        <v>-0.368</v>
      </c>
      <c r="M186" s="121">
        <v>-1.052</v>
      </c>
      <c r="N186" s="122">
        <v>0.684</v>
      </c>
      <c r="O186" s="120">
        <v>32.2</v>
      </c>
      <c r="P186" s="120">
        <v>6.163943581871345</v>
      </c>
      <c r="Q186" s="123">
        <v>6.486039220953317</v>
      </c>
      <c r="R186" s="120">
        <v>0.8571428571428571</v>
      </c>
      <c r="S186" s="120">
        <v>1.0522548000000003</v>
      </c>
      <c r="T186" s="15"/>
      <c r="U186" s="161"/>
      <c r="AE186" s="15"/>
      <c r="AF186" s="15"/>
    </row>
    <row r="187" ht="15.0" customHeight="1">
      <c r="A187" s="134" t="s">
        <v>249</v>
      </c>
      <c r="B187" s="3" t="s">
        <v>257</v>
      </c>
      <c r="C187" s="3" t="s">
        <v>254</v>
      </c>
      <c r="D187" s="135" t="s">
        <v>240</v>
      </c>
      <c r="E187" s="48">
        <v>6.0</v>
      </c>
      <c r="F187" s="183">
        <f t="shared" si="1"/>
        <v>15</v>
      </c>
      <c r="G187" s="162" t="s">
        <v>277</v>
      </c>
      <c r="H187" s="137">
        <v>5.63243583</v>
      </c>
      <c r="I187" s="137">
        <v>0.07071715</v>
      </c>
      <c r="J187" s="137">
        <v>3.60597358</v>
      </c>
      <c r="K187" s="120">
        <f t="shared" si="2"/>
        <v>79.64738158</v>
      </c>
      <c r="L187" s="121"/>
      <c r="M187" s="121">
        <v>-1.152</v>
      </c>
      <c r="N187" s="122"/>
      <c r="O187" s="120">
        <v>34.1</v>
      </c>
      <c r="P187" s="120">
        <v>5.0175651968219075</v>
      </c>
      <c r="Q187" s="123">
        <v>4.693117389038932</v>
      </c>
      <c r="R187" s="120">
        <v>0.8571428571428571</v>
      </c>
      <c r="S187" s="120">
        <v>0.9353376000000002</v>
      </c>
      <c r="T187" s="15"/>
      <c r="U187" s="161"/>
      <c r="AE187" s="15"/>
      <c r="AF187" s="15"/>
    </row>
    <row r="188" ht="15.0" customHeight="1">
      <c r="A188" s="134" t="s">
        <v>244</v>
      </c>
      <c r="B188" s="3" t="s">
        <v>250</v>
      </c>
      <c r="C188" s="3" t="s">
        <v>255</v>
      </c>
      <c r="D188" s="3" t="s">
        <v>251</v>
      </c>
      <c r="E188" s="48">
        <v>1.0</v>
      </c>
      <c r="F188" s="183">
        <f t="shared" si="1"/>
        <v>16</v>
      </c>
      <c r="G188" s="162" t="s">
        <v>277</v>
      </c>
      <c r="H188" s="137">
        <v>9.68992379</v>
      </c>
      <c r="I188" s="137">
        <v>0.16021444</v>
      </c>
      <c r="J188" s="137">
        <v>5.64331226</v>
      </c>
      <c r="K188" s="120">
        <f t="shared" si="2"/>
        <v>60.48096408</v>
      </c>
      <c r="L188" s="121">
        <v>-0.386</v>
      </c>
      <c r="M188" s="121">
        <v>-1.083</v>
      </c>
      <c r="N188" s="122">
        <v>0.697</v>
      </c>
      <c r="O188" s="120">
        <v>28.7</v>
      </c>
      <c r="P188" s="120">
        <v>8.096574261119082</v>
      </c>
      <c r="Q188" s="123">
        <v>6.271415748338993</v>
      </c>
      <c r="R188" s="120">
        <v>0.8571428571428571</v>
      </c>
      <c r="S188" s="120">
        <v>0.7745764500000002</v>
      </c>
      <c r="T188" s="15"/>
      <c r="U188" s="161"/>
      <c r="AE188" s="15"/>
      <c r="AF188" s="15"/>
    </row>
    <row r="189" ht="15.0" customHeight="1">
      <c r="A189" s="134" t="s">
        <v>244</v>
      </c>
      <c r="B189" s="3" t="s">
        <v>250</v>
      </c>
      <c r="C189" s="3" t="s">
        <v>255</v>
      </c>
      <c r="D189" s="3" t="s">
        <v>251</v>
      </c>
      <c r="E189" s="48">
        <v>2.0</v>
      </c>
      <c r="F189" s="183">
        <f t="shared" si="1"/>
        <v>16</v>
      </c>
      <c r="G189" s="162" t="s">
        <v>277</v>
      </c>
      <c r="H189" s="137">
        <v>7.08036417</v>
      </c>
      <c r="I189" s="137">
        <v>0.14242714</v>
      </c>
      <c r="J189" s="137">
        <v>4.73845519</v>
      </c>
      <c r="K189" s="120">
        <f t="shared" si="2"/>
        <v>49.71218386</v>
      </c>
      <c r="L189" s="121"/>
      <c r="M189" s="121">
        <v>-1.027</v>
      </c>
      <c r="N189" s="122"/>
      <c r="O189" s="120">
        <v>41.3</v>
      </c>
      <c r="P189" s="120">
        <v>7.186773224333794</v>
      </c>
      <c r="Q189" s="123">
        <v>7.457284446513701</v>
      </c>
      <c r="R189" s="120">
        <v>1.1428571428571428</v>
      </c>
      <c r="S189" s="120">
        <v>1.03764015</v>
      </c>
      <c r="T189" s="15"/>
      <c r="U189" s="161"/>
      <c r="AE189" s="15"/>
      <c r="AF189" s="15"/>
    </row>
    <row r="190" ht="15.0" customHeight="1">
      <c r="A190" s="134" t="s">
        <v>244</v>
      </c>
      <c r="B190" s="3" t="s">
        <v>250</v>
      </c>
      <c r="C190" s="3" t="s">
        <v>255</v>
      </c>
      <c r="D190" s="3" t="s">
        <v>251</v>
      </c>
      <c r="E190" s="48">
        <v>3.0</v>
      </c>
      <c r="F190" s="183">
        <f t="shared" si="1"/>
        <v>16</v>
      </c>
      <c r="G190" s="162" t="s">
        <v>277</v>
      </c>
      <c r="H190" s="137">
        <v>12.4192835</v>
      </c>
      <c r="I190" s="137">
        <v>0.28833057</v>
      </c>
      <c r="J190" s="137">
        <v>9.05725098</v>
      </c>
      <c r="K190" s="120">
        <f t="shared" si="2"/>
        <v>43.07307234</v>
      </c>
      <c r="L190" s="121">
        <v>-0.344</v>
      </c>
      <c r="M190" s="121">
        <v>-1.081</v>
      </c>
      <c r="N190" s="122">
        <v>0.737</v>
      </c>
      <c r="O190" s="120">
        <v>41.2</v>
      </c>
      <c r="P190" s="120">
        <v>12.289350040705562</v>
      </c>
      <c r="Q190" s="123">
        <v>11.674295722205844</v>
      </c>
      <c r="R190" s="120">
        <v>0.5714285714285714</v>
      </c>
      <c r="S190" s="120">
        <v>0.9499522500000003</v>
      </c>
      <c r="T190" s="15"/>
      <c r="U190" s="161"/>
      <c r="AE190" s="15"/>
      <c r="AF190" s="15"/>
    </row>
    <row r="191" ht="15.0" customHeight="1">
      <c r="A191" s="134" t="s">
        <v>244</v>
      </c>
      <c r="B191" s="3" t="s">
        <v>250</v>
      </c>
      <c r="C191" s="3" t="s">
        <v>255</v>
      </c>
      <c r="D191" s="3" t="s">
        <v>251</v>
      </c>
      <c r="E191" s="48">
        <v>4.0</v>
      </c>
      <c r="F191" s="183">
        <f t="shared" si="1"/>
        <v>16</v>
      </c>
      <c r="G191" s="162" t="s">
        <v>277</v>
      </c>
      <c r="H191" s="137">
        <v>4.20978833</v>
      </c>
      <c r="I191" s="137">
        <v>0.06284455</v>
      </c>
      <c r="J191" s="137">
        <v>3.01432512</v>
      </c>
      <c r="K191" s="120">
        <f t="shared" si="2"/>
        <v>66.98732555</v>
      </c>
      <c r="L191" s="121"/>
      <c r="M191" s="121">
        <v>-1.052</v>
      </c>
      <c r="N191" s="122"/>
      <c r="O191" s="120">
        <v>42.8</v>
      </c>
      <c r="P191" s="120">
        <v>4.4047829555916</v>
      </c>
      <c r="Q191" s="123">
        <v>4.634954007979449</v>
      </c>
      <c r="R191" s="120">
        <v>1.2857142857142858</v>
      </c>
      <c r="S191" s="120">
        <v>1.0522548000000003</v>
      </c>
      <c r="T191" s="15"/>
      <c r="U191" s="161"/>
      <c r="AE191" s="15"/>
      <c r="AF191" s="15"/>
    </row>
    <row r="192" ht="15.0" customHeight="1">
      <c r="A192" s="134" t="s">
        <v>244</v>
      </c>
      <c r="B192" s="3" t="s">
        <v>250</v>
      </c>
      <c r="C192" s="3" t="s">
        <v>255</v>
      </c>
      <c r="D192" s="3" t="s">
        <v>251</v>
      </c>
      <c r="E192" s="48">
        <v>5.0</v>
      </c>
      <c r="F192" s="183">
        <f t="shared" si="1"/>
        <v>16</v>
      </c>
      <c r="G192" s="162" t="s">
        <v>277</v>
      </c>
      <c r="H192" s="137">
        <v>6.57747341</v>
      </c>
      <c r="I192" s="137">
        <v>0.09123402</v>
      </c>
      <c r="J192" s="137">
        <v>4.19892957</v>
      </c>
      <c r="K192" s="120">
        <f t="shared" si="2"/>
        <v>72.09452581</v>
      </c>
      <c r="L192" s="121">
        <v>-0.373</v>
      </c>
      <c r="M192" s="121">
        <v>-1.083</v>
      </c>
      <c r="N192" s="122">
        <v>0.71</v>
      </c>
      <c r="O192" s="120">
        <v>33.9</v>
      </c>
      <c r="P192" s="120">
        <v>5.913985309859155</v>
      </c>
      <c r="Q192" s="123">
        <v>6.223019429428784</v>
      </c>
      <c r="R192" s="120">
        <v>0.8571428571428571</v>
      </c>
      <c r="S192" s="120">
        <v>1.0522548000000003</v>
      </c>
      <c r="T192" s="15"/>
      <c r="U192" s="161"/>
      <c r="AE192" s="15"/>
      <c r="AF192" s="15"/>
    </row>
    <row r="193" ht="15.0" customHeight="1">
      <c r="A193" s="153" t="s">
        <v>244</v>
      </c>
      <c r="B193" s="154" t="s">
        <v>250</v>
      </c>
      <c r="C193" s="3" t="s">
        <v>255</v>
      </c>
      <c r="D193" s="154" t="s">
        <v>251</v>
      </c>
      <c r="E193" s="155">
        <v>6.0</v>
      </c>
      <c r="F193" s="183">
        <f t="shared" si="1"/>
        <v>16</v>
      </c>
      <c r="G193" s="163" t="s">
        <v>277</v>
      </c>
      <c r="H193" s="157">
        <v>8.65969603</v>
      </c>
      <c r="I193" s="157">
        <v>0.10008383</v>
      </c>
      <c r="J193" s="157">
        <v>4.64999294</v>
      </c>
      <c r="K193" s="120">
        <f t="shared" si="2"/>
        <v>86.52442687</v>
      </c>
      <c r="L193" s="158"/>
      <c r="M193" s="158">
        <v>-1.2</v>
      </c>
      <c r="N193" s="159"/>
      <c r="O193" s="120">
        <v>40.8</v>
      </c>
      <c r="P193" s="120">
        <v>5.58671793639542</v>
      </c>
      <c r="Q193" s="123">
        <v>5.633706982950752</v>
      </c>
      <c r="R193" s="120">
        <v>0.8571428571428571</v>
      </c>
      <c r="S193" s="120">
        <v>1.0084108500000002</v>
      </c>
      <c r="T193" s="15"/>
      <c r="U193" s="161"/>
      <c r="AE193" s="15"/>
      <c r="AF193" s="15"/>
    </row>
    <row r="194" ht="15.0" customHeight="1">
      <c r="A194" s="115" t="s">
        <v>238</v>
      </c>
      <c r="B194" s="116" t="s">
        <v>239</v>
      </c>
      <c r="C194" s="116" t="s">
        <v>241</v>
      </c>
      <c r="D194" s="116" t="s">
        <v>240</v>
      </c>
      <c r="E194" s="117">
        <v>1.0</v>
      </c>
      <c r="F194" s="183">
        <f t="shared" si="1"/>
        <v>1</v>
      </c>
      <c r="G194" s="164" t="s">
        <v>233</v>
      </c>
      <c r="H194" s="119">
        <v>12.0261816</v>
      </c>
      <c r="I194" s="119">
        <v>0.18013141</v>
      </c>
      <c r="J194" s="119">
        <v>4.47671046</v>
      </c>
      <c r="K194" s="120">
        <f t="shared" si="2"/>
        <v>66.76337902</v>
      </c>
      <c r="L194" s="121">
        <v>-0.6</v>
      </c>
      <c r="M194" s="121">
        <v>-1.45</v>
      </c>
      <c r="N194" s="122">
        <f t="shared" ref="N194:N292" si="4">L194-M194</f>
        <v>0.85</v>
      </c>
      <c r="O194" s="120">
        <v>45.1</v>
      </c>
      <c r="P194" s="120">
        <v>5.266718188235294</v>
      </c>
      <c r="Q194" s="123">
        <v>3.694619662545261</v>
      </c>
      <c r="R194" s="120">
        <v>0.0</v>
      </c>
      <c r="S194" s="120">
        <v>0.7015032000000001</v>
      </c>
      <c r="T194" s="15"/>
      <c r="U194" s="161"/>
      <c r="AE194" s="15"/>
      <c r="AF194" s="15"/>
    </row>
    <row r="195" ht="15.0" customHeight="1">
      <c r="A195" s="134" t="s">
        <v>238</v>
      </c>
      <c r="B195" s="135" t="s">
        <v>239</v>
      </c>
      <c r="C195" s="116" t="s">
        <v>241</v>
      </c>
      <c r="D195" s="135" t="s">
        <v>240</v>
      </c>
      <c r="E195" s="8">
        <v>2.0</v>
      </c>
      <c r="F195" s="183">
        <f t="shared" si="1"/>
        <v>1</v>
      </c>
      <c r="G195" s="165" t="s">
        <v>233</v>
      </c>
      <c r="H195" s="137">
        <v>4.12617528</v>
      </c>
      <c r="I195" s="137">
        <v>0.05714486</v>
      </c>
      <c r="J195" s="137">
        <v>2.74091656</v>
      </c>
      <c r="K195" s="120">
        <f t="shared" si="2"/>
        <v>72.2055366</v>
      </c>
      <c r="L195" s="121">
        <v>-0.543</v>
      </c>
      <c r="M195" s="121">
        <v>-1.482</v>
      </c>
      <c r="N195" s="122">
        <f t="shared" si="4"/>
        <v>0.939</v>
      </c>
      <c r="O195" s="120">
        <v>39.5</v>
      </c>
      <c r="P195" s="120">
        <v>2.9189739723109693</v>
      </c>
      <c r="Q195" s="123">
        <v>2.986184807510417</v>
      </c>
      <c r="R195" s="120">
        <v>0.2857142857142857</v>
      </c>
      <c r="S195" s="120">
        <v>1.0230255000000004</v>
      </c>
      <c r="T195" s="15"/>
      <c r="U195" s="161"/>
      <c r="AE195" s="15"/>
      <c r="AF195" s="15"/>
    </row>
    <row r="196" ht="15.0" customHeight="1">
      <c r="A196" s="134" t="s">
        <v>238</v>
      </c>
      <c r="B196" s="135" t="s">
        <v>239</v>
      </c>
      <c r="C196" s="116" t="s">
        <v>241</v>
      </c>
      <c r="D196" s="135" t="s">
        <v>240</v>
      </c>
      <c r="E196" s="8">
        <v>3.0</v>
      </c>
      <c r="F196" s="183">
        <f t="shared" si="1"/>
        <v>1</v>
      </c>
      <c r="G196" s="165" t="s">
        <v>233</v>
      </c>
      <c r="H196" s="137">
        <v>7.19914942</v>
      </c>
      <c r="I196" s="137">
        <v>0.10779768</v>
      </c>
      <c r="J196" s="137">
        <v>3.36422787</v>
      </c>
      <c r="K196" s="120">
        <f t="shared" si="2"/>
        <v>66.78389943</v>
      </c>
      <c r="L196" s="121">
        <v>-0.56</v>
      </c>
      <c r="M196" s="121">
        <v>-1.353</v>
      </c>
      <c r="N196" s="122">
        <f t="shared" si="4"/>
        <v>0.793</v>
      </c>
      <c r="O196" s="120">
        <v>67.0</v>
      </c>
      <c r="P196" s="120">
        <v>4.242405889029004</v>
      </c>
      <c r="Q196" s="123">
        <v>4.464091960279038</v>
      </c>
      <c r="R196" s="120">
        <v>0.14285714285714285</v>
      </c>
      <c r="S196" s="120">
        <v>1.0522548000000003</v>
      </c>
      <c r="T196" s="15"/>
      <c r="U196" s="161"/>
      <c r="AE196" s="15"/>
      <c r="AF196" s="15"/>
    </row>
    <row r="197" ht="15.0" customHeight="1">
      <c r="A197" s="134" t="s">
        <v>238</v>
      </c>
      <c r="B197" s="135" t="s">
        <v>239</v>
      </c>
      <c r="C197" s="116" t="s">
        <v>241</v>
      </c>
      <c r="D197" s="135" t="s">
        <v>240</v>
      </c>
      <c r="E197" s="8">
        <v>4.0</v>
      </c>
      <c r="F197" s="183">
        <f t="shared" si="1"/>
        <v>1</v>
      </c>
      <c r="G197" s="165" t="s">
        <v>233</v>
      </c>
      <c r="H197" s="137">
        <v>9.57958457</v>
      </c>
      <c r="I197" s="137">
        <v>0.103803</v>
      </c>
      <c r="J197" s="137">
        <v>3.51412928</v>
      </c>
      <c r="K197" s="120">
        <f t="shared" si="2"/>
        <v>92.28620146</v>
      </c>
      <c r="L197" s="121">
        <v>-0.48</v>
      </c>
      <c r="M197" s="121">
        <v>-1.415</v>
      </c>
      <c r="N197" s="122">
        <f t="shared" si="4"/>
        <v>0.935</v>
      </c>
      <c r="O197" s="120">
        <v>43.5</v>
      </c>
      <c r="P197" s="120">
        <v>3.758427037433155</v>
      </c>
      <c r="Q197" s="123">
        <v>3.405541933562593</v>
      </c>
      <c r="R197" s="120">
        <v>0.0</v>
      </c>
      <c r="S197" s="120">
        <v>0.9061083000000002</v>
      </c>
      <c r="T197" s="15"/>
      <c r="U197" s="161"/>
      <c r="AE197" s="15"/>
      <c r="AF197" s="15"/>
    </row>
    <row r="198" ht="15.0" customHeight="1">
      <c r="A198" s="134" t="s">
        <v>238</v>
      </c>
      <c r="B198" s="135" t="s">
        <v>239</v>
      </c>
      <c r="C198" s="116" t="s">
        <v>241</v>
      </c>
      <c r="D198" s="135" t="s">
        <v>240</v>
      </c>
      <c r="E198" s="8">
        <v>5.0</v>
      </c>
      <c r="F198" s="183">
        <f t="shared" si="1"/>
        <v>1</v>
      </c>
      <c r="G198" s="165" t="s">
        <v>233</v>
      </c>
      <c r="H198" s="137">
        <v>7.16653398</v>
      </c>
      <c r="I198" s="137">
        <v>0.09442003</v>
      </c>
      <c r="J198" s="137">
        <v>3.38220742</v>
      </c>
      <c r="K198" s="120">
        <f t="shared" si="2"/>
        <v>75.90056877</v>
      </c>
      <c r="L198" s="121">
        <v>-0.502</v>
      </c>
      <c r="M198" s="121">
        <v>-1.34</v>
      </c>
      <c r="N198" s="122">
        <f t="shared" si="4"/>
        <v>0.838</v>
      </c>
      <c r="O198" s="120">
        <v>31.4</v>
      </c>
      <c r="P198" s="120">
        <v>4.036047040572792</v>
      </c>
      <c r="Q198" s="123">
        <v>3.53912489289043</v>
      </c>
      <c r="R198" s="120">
        <v>0.14285714285714285</v>
      </c>
      <c r="S198" s="120">
        <v>0.8768790000000003</v>
      </c>
      <c r="T198" s="15"/>
      <c r="U198" s="161"/>
      <c r="AE198" s="15"/>
      <c r="AF198" s="15"/>
    </row>
    <row r="199" ht="15.0" customHeight="1">
      <c r="A199" s="134" t="s">
        <v>238</v>
      </c>
      <c r="B199" s="135" t="s">
        <v>239</v>
      </c>
      <c r="C199" s="116" t="s">
        <v>241</v>
      </c>
      <c r="D199" s="135" t="s">
        <v>240</v>
      </c>
      <c r="E199" s="8">
        <v>6.0</v>
      </c>
      <c r="F199" s="183">
        <f t="shared" si="1"/>
        <v>1</v>
      </c>
      <c r="G199" s="165" t="s">
        <v>233</v>
      </c>
      <c r="H199" s="137">
        <v>-1.22380573</v>
      </c>
      <c r="I199" s="137">
        <v>0.00715686</v>
      </c>
      <c r="J199" s="137">
        <v>0.29803199</v>
      </c>
      <c r="K199" s="120">
        <f t="shared" si="2"/>
        <v>-170.9975785</v>
      </c>
      <c r="L199" s="121">
        <v>-0.87</v>
      </c>
      <c r="M199" s="121">
        <v>-1.34</v>
      </c>
      <c r="N199" s="122">
        <f t="shared" si="4"/>
        <v>0.47</v>
      </c>
      <c r="O199" s="120">
        <v>38.2</v>
      </c>
      <c r="P199" s="120">
        <v>0.6341106170212766</v>
      </c>
      <c r="Q199" s="123">
        <v>0.6394440263044501</v>
      </c>
      <c r="R199" s="120">
        <v>0.0</v>
      </c>
      <c r="S199" s="120">
        <v>1.0084108500000002</v>
      </c>
      <c r="T199" s="15"/>
      <c r="U199" s="161"/>
      <c r="AE199" s="15"/>
      <c r="AF199" s="15"/>
    </row>
    <row r="200" ht="15.0" customHeight="1">
      <c r="A200" s="134" t="s">
        <v>244</v>
      </c>
      <c r="B200" s="3" t="s">
        <v>239</v>
      </c>
      <c r="C200" s="3" t="s">
        <v>30</v>
      </c>
      <c r="D200" s="135" t="s">
        <v>240</v>
      </c>
      <c r="E200" s="8">
        <v>1.0</v>
      </c>
      <c r="F200" s="183">
        <f t="shared" si="1"/>
        <v>2</v>
      </c>
      <c r="G200" s="165" t="s">
        <v>233</v>
      </c>
      <c r="H200" s="137">
        <v>9.48132749</v>
      </c>
      <c r="I200" s="137">
        <v>0.13954226</v>
      </c>
      <c r="J200" s="137">
        <v>3.56095791</v>
      </c>
      <c r="K200" s="120">
        <f t="shared" si="2"/>
        <v>67.94592183</v>
      </c>
      <c r="L200" s="121">
        <v>-0.52</v>
      </c>
      <c r="M200" s="121">
        <v>-1.42</v>
      </c>
      <c r="N200" s="122">
        <f t="shared" si="4"/>
        <v>0.9</v>
      </c>
      <c r="O200" s="120">
        <v>52.2</v>
      </c>
      <c r="P200" s="120">
        <v>3.9566199</v>
      </c>
      <c r="Q200" s="123">
        <v>3.238178441205961</v>
      </c>
      <c r="R200" s="120">
        <v>0.14285714285714285</v>
      </c>
      <c r="S200" s="120">
        <v>0.8184204000000002</v>
      </c>
      <c r="T200" s="15"/>
      <c r="U200" s="161"/>
      <c r="AE200" s="15"/>
      <c r="AF200" s="15"/>
    </row>
    <row r="201" ht="15.0" customHeight="1">
      <c r="A201" s="134" t="s">
        <v>244</v>
      </c>
      <c r="B201" s="3" t="s">
        <v>239</v>
      </c>
      <c r="C201" s="3" t="s">
        <v>30</v>
      </c>
      <c r="D201" s="135" t="s">
        <v>240</v>
      </c>
      <c r="E201" s="8">
        <v>2.0</v>
      </c>
      <c r="F201" s="183">
        <f t="shared" si="1"/>
        <v>2</v>
      </c>
      <c r="G201" s="165" t="s">
        <v>233</v>
      </c>
      <c r="H201" s="137">
        <v>5.60426607</v>
      </c>
      <c r="I201" s="137">
        <v>0.08328328</v>
      </c>
      <c r="J201" s="137">
        <v>3.86360495</v>
      </c>
      <c r="K201" s="120">
        <f t="shared" si="2"/>
        <v>67.29161087</v>
      </c>
      <c r="L201" s="121">
        <v>-0.507</v>
      </c>
      <c r="M201" s="121">
        <v>-1.47</v>
      </c>
      <c r="N201" s="122">
        <f t="shared" si="4"/>
        <v>0.963</v>
      </c>
      <c r="O201" s="120">
        <v>44.5</v>
      </c>
      <c r="P201" s="120">
        <v>4.012050830737279</v>
      </c>
      <c r="Q201" s="123">
        <v>4.045795588466986</v>
      </c>
      <c r="R201" s="120">
        <v>0.0</v>
      </c>
      <c r="S201" s="120">
        <v>1.0084108500000002</v>
      </c>
      <c r="T201" s="15"/>
      <c r="U201" s="161"/>
      <c r="AE201" s="15"/>
      <c r="AF201" s="15"/>
    </row>
    <row r="202" ht="15.0" customHeight="1">
      <c r="A202" s="134" t="s">
        <v>244</v>
      </c>
      <c r="B202" s="3" t="s">
        <v>239</v>
      </c>
      <c r="C202" s="3" t="s">
        <v>30</v>
      </c>
      <c r="D202" s="135" t="s">
        <v>240</v>
      </c>
      <c r="E202" s="8">
        <v>3.0</v>
      </c>
      <c r="F202" s="183">
        <f t="shared" si="1"/>
        <v>2</v>
      </c>
      <c r="G202" s="165" t="s">
        <v>233</v>
      </c>
      <c r="H202" s="137">
        <v>4.50395273</v>
      </c>
      <c r="I202" s="137">
        <v>0.05087259</v>
      </c>
      <c r="J202" s="137">
        <v>1.85485619</v>
      </c>
      <c r="K202" s="120">
        <f t="shared" si="2"/>
        <v>88.53397733</v>
      </c>
      <c r="L202" s="121">
        <v>-0.42</v>
      </c>
      <c r="M202" s="121">
        <v>-1.43</v>
      </c>
      <c r="N202" s="122">
        <f t="shared" si="4"/>
        <v>1.01</v>
      </c>
      <c r="O202" s="120">
        <v>47.5</v>
      </c>
      <c r="P202" s="120">
        <v>1.8364912772277229</v>
      </c>
      <c r="Q202" s="123">
        <v>1.7445790209078496</v>
      </c>
      <c r="R202" s="120">
        <v>0.0</v>
      </c>
      <c r="S202" s="120">
        <v>0.9499522500000003</v>
      </c>
      <c r="T202" s="15"/>
      <c r="U202" s="161"/>
      <c r="AE202" s="15"/>
      <c r="AF202" s="15"/>
    </row>
    <row r="203" ht="15.0" customHeight="1">
      <c r="A203" s="134" t="s">
        <v>244</v>
      </c>
      <c r="B203" s="3" t="s">
        <v>239</v>
      </c>
      <c r="C203" s="3" t="s">
        <v>30</v>
      </c>
      <c r="D203" s="135" t="s">
        <v>240</v>
      </c>
      <c r="E203" s="8">
        <v>4.0</v>
      </c>
      <c r="F203" s="183">
        <f t="shared" si="1"/>
        <v>2</v>
      </c>
      <c r="G203" s="165" t="s">
        <v>233</v>
      </c>
      <c r="H203" s="137">
        <v>6.91161325</v>
      </c>
      <c r="I203" s="137">
        <v>0.11126474</v>
      </c>
      <c r="J203" s="137">
        <v>3.24521022</v>
      </c>
      <c r="K203" s="120">
        <f t="shared" si="2"/>
        <v>62.1186303</v>
      </c>
      <c r="L203" s="121">
        <v>-0.503</v>
      </c>
      <c r="M203" s="121">
        <v>-1.42</v>
      </c>
      <c r="N203" s="122">
        <f t="shared" si="4"/>
        <v>0.917</v>
      </c>
      <c r="O203" s="120">
        <v>53.3</v>
      </c>
      <c r="P203" s="120">
        <v>3.538942442748092</v>
      </c>
      <c r="Q203" s="123">
        <v>2.94806309474178</v>
      </c>
      <c r="R203" s="120">
        <v>0.14285714285714285</v>
      </c>
      <c r="S203" s="120">
        <v>0.8330350500000002</v>
      </c>
      <c r="T203" s="15"/>
      <c r="U203" s="161"/>
      <c r="AE203" s="15"/>
      <c r="AF203" s="15"/>
    </row>
    <row r="204" ht="15.0" customHeight="1">
      <c r="A204" s="134" t="s">
        <v>244</v>
      </c>
      <c r="B204" s="3" t="s">
        <v>239</v>
      </c>
      <c r="C204" s="3" t="s">
        <v>30</v>
      </c>
      <c r="D204" s="135" t="s">
        <v>240</v>
      </c>
      <c r="E204" s="8">
        <v>5.0</v>
      </c>
      <c r="F204" s="183">
        <f t="shared" si="1"/>
        <v>2</v>
      </c>
      <c r="G204" s="165" t="s">
        <v>233</v>
      </c>
      <c r="H204" s="137">
        <v>3.53623477</v>
      </c>
      <c r="I204" s="137">
        <v>0.05464551</v>
      </c>
      <c r="J204" s="137">
        <v>2.28880838</v>
      </c>
      <c r="K204" s="120">
        <f t="shared" si="2"/>
        <v>64.71226584</v>
      </c>
      <c r="L204" s="121">
        <v>-0.836</v>
      </c>
      <c r="M204" s="121">
        <v>-1.507</v>
      </c>
      <c r="N204" s="122">
        <f t="shared" si="4"/>
        <v>0.671</v>
      </c>
      <c r="O204" s="120">
        <v>52.2</v>
      </c>
      <c r="P204" s="120">
        <v>3.4110408047690015</v>
      </c>
      <c r="Q204" s="123">
        <v>3.5394328923166283</v>
      </c>
      <c r="R204" s="120">
        <v>0.0</v>
      </c>
      <c r="S204" s="120">
        <v>1.03764015</v>
      </c>
      <c r="T204" s="15"/>
      <c r="U204" s="161"/>
      <c r="AE204" s="15"/>
      <c r="AF204" s="15"/>
    </row>
    <row r="205" ht="15.0" customHeight="1">
      <c r="A205" s="134" t="s">
        <v>244</v>
      </c>
      <c r="B205" s="3" t="s">
        <v>239</v>
      </c>
      <c r="C205" s="3" t="s">
        <v>30</v>
      </c>
      <c r="D205" s="135" t="s">
        <v>240</v>
      </c>
      <c r="E205" s="8">
        <v>6.0</v>
      </c>
      <c r="F205" s="183">
        <f t="shared" si="1"/>
        <v>2</v>
      </c>
      <c r="G205" s="165" t="s">
        <v>233</v>
      </c>
      <c r="H205" s="137">
        <v>8.97118911</v>
      </c>
      <c r="I205" s="137">
        <v>0.10696003</v>
      </c>
      <c r="J205" s="137">
        <v>3.93449122</v>
      </c>
      <c r="K205" s="120">
        <f t="shared" si="2"/>
        <v>83.87422021</v>
      </c>
      <c r="L205" s="121">
        <v>-0.438</v>
      </c>
      <c r="M205" s="121">
        <v>-1.435</v>
      </c>
      <c r="N205" s="122">
        <f t="shared" si="4"/>
        <v>0.997</v>
      </c>
      <c r="O205" s="120">
        <v>50.1</v>
      </c>
      <c r="P205" s="120">
        <v>3.946330210631895</v>
      </c>
      <c r="Q205" s="123">
        <v>4.4985903153992925</v>
      </c>
      <c r="R205" s="120">
        <v>0.0</v>
      </c>
      <c r="S205" s="120">
        <v>1.1399427000000004</v>
      </c>
      <c r="T205" s="15"/>
      <c r="U205" s="161"/>
      <c r="AE205" s="15"/>
      <c r="AF205" s="15"/>
    </row>
    <row r="206" ht="15.0" customHeight="1">
      <c r="A206" s="134" t="s">
        <v>249</v>
      </c>
      <c r="B206" s="3" t="s">
        <v>250</v>
      </c>
      <c r="C206" s="3" t="s">
        <v>42</v>
      </c>
      <c r="D206" s="3" t="s">
        <v>251</v>
      </c>
      <c r="E206" s="8">
        <v>1.0</v>
      </c>
      <c r="F206" s="183">
        <f t="shared" si="1"/>
        <v>3</v>
      </c>
      <c r="G206" s="165" t="s">
        <v>233</v>
      </c>
      <c r="H206" s="137">
        <v>3.20292386</v>
      </c>
      <c r="I206" s="137">
        <v>0.05487775</v>
      </c>
      <c r="J206" s="137">
        <v>1.64788099</v>
      </c>
      <c r="K206" s="120">
        <f t="shared" si="2"/>
        <v>58.3647081</v>
      </c>
      <c r="L206" s="121">
        <v>-0.515</v>
      </c>
      <c r="M206" s="121">
        <v>-1.4</v>
      </c>
      <c r="N206" s="122">
        <f t="shared" si="4"/>
        <v>0.885</v>
      </c>
      <c r="O206" s="120">
        <v>40.2</v>
      </c>
      <c r="P206" s="120">
        <v>1.8620124180790962</v>
      </c>
      <c r="Q206" s="123">
        <v>2.1498001230844936</v>
      </c>
      <c r="R206" s="120">
        <v>0.0</v>
      </c>
      <c r="S206" s="120">
        <v>1.1545573500000001</v>
      </c>
      <c r="T206" s="15"/>
      <c r="U206" s="161"/>
      <c r="AE206" s="15"/>
      <c r="AF206" s="15"/>
    </row>
    <row r="207" ht="15.0" customHeight="1">
      <c r="A207" s="134" t="s">
        <v>249</v>
      </c>
      <c r="B207" s="3" t="s">
        <v>250</v>
      </c>
      <c r="C207" s="3" t="s">
        <v>42</v>
      </c>
      <c r="D207" s="3" t="s">
        <v>251</v>
      </c>
      <c r="E207" s="8">
        <v>2.0</v>
      </c>
      <c r="F207" s="183">
        <f t="shared" si="1"/>
        <v>3</v>
      </c>
      <c r="G207" s="165" t="s">
        <v>233</v>
      </c>
      <c r="H207" s="137">
        <v>2.4043877</v>
      </c>
      <c r="I207" s="137">
        <v>0.03249638</v>
      </c>
      <c r="J207" s="137">
        <v>1.701193</v>
      </c>
      <c r="K207" s="120">
        <f t="shared" si="2"/>
        <v>73.98940128</v>
      </c>
      <c r="L207" s="121">
        <v>-0.402</v>
      </c>
      <c r="M207" s="121">
        <v>-1.2</v>
      </c>
      <c r="N207" s="122">
        <f t="shared" si="4"/>
        <v>0.798</v>
      </c>
      <c r="O207" s="120">
        <v>35.0</v>
      </c>
      <c r="P207" s="120">
        <v>2.1318208020050124</v>
      </c>
      <c r="Q207" s="123">
        <v>2.18090704188158</v>
      </c>
      <c r="R207" s="120">
        <v>0.0</v>
      </c>
      <c r="S207" s="120">
        <v>1.0230255000000004</v>
      </c>
      <c r="T207" s="15"/>
      <c r="U207" s="161"/>
      <c r="AE207" s="15"/>
      <c r="AF207" s="15"/>
    </row>
    <row r="208" ht="15.0" customHeight="1">
      <c r="A208" s="134" t="s">
        <v>249</v>
      </c>
      <c r="B208" s="3" t="s">
        <v>250</v>
      </c>
      <c r="C208" s="3" t="s">
        <v>42</v>
      </c>
      <c r="D208" s="3" t="s">
        <v>251</v>
      </c>
      <c r="E208" s="8">
        <v>3.0</v>
      </c>
      <c r="F208" s="183">
        <f t="shared" si="1"/>
        <v>3</v>
      </c>
      <c r="G208" s="165" t="s">
        <v>233</v>
      </c>
      <c r="H208" s="137">
        <v>3.03291467</v>
      </c>
      <c r="I208" s="137">
        <v>0.04845238</v>
      </c>
      <c r="J208" s="137">
        <v>1.7865949</v>
      </c>
      <c r="K208" s="120">
        <f t="shared" si="2"/>
        <v>62.59578312</v>
      </c>
      <c r="L208" s="121">
        <v>-0.315</v>
      </c>
      <c r="M208" s="121">
        <v>-1.45</v>
      </c>
      <c r="N208" s="122">
        <f t="shared" si="4"/>
        <v>1.135</v>
      </c>
      <c r="O208" s="120">
        <v>42.0</v>
      </c>
      <c r="P208" s="120">
        <v>1.574092422907489</v>
      </c>
      <c r="Q208" s="123">
        <v>1.7023559273049256</v>
      </c>
      <c r="R208" s="120">
        <v>0.0</v>
      </c>
      <c r="S208" s="120">
        <v>1.0814841000000002</v>
      </c>
      <c r="T208" s="15"/>
      <c r="U208" s="161"/>
      <c r="AE208" s="15"/>
      <c r="AF208" s="15"/>
    </row>
    <row r="209" ht="15.0" customHeight="1">
      <c r="A209" s="134" t="s">
        <v>249</v>
      </c>
      <c r="B209" s="3" t="s">
        <v>250</v>
      </c>
      <c r="C209" s="3" t="s">
        <v>42</v>
      </c>
      <c r="D209" s="3" t="s">
        <v>251</v>
      </c>
      <c r="E209" s="8">
        <v>4.0</v>
      </c>
      <c r="F209" s="183">
        <f t="shared" si="1"/>
        <v>3</v>
      </c>
      <c r="G209" s="165" t="s">
        <v>233</v>
      </c>
      <c r="H209" s="137">
        <v>6.24615359</v>
      </c>
      <c r="I209" s="137">
        <v>0.06572943</v>
      </c>
      <c r="J209" s="137">
        <v>2.47210743</v>
      </c>
      <c r="K209" s="120">
        <f t="shared" si="2"/>
        <v>95.02826344</v>
      </c>
      <c r="L209" s="121">
        <v>-0.378</v>
      </c>
      <c r="M209" s="121">
        <v>-1.416</v>
      </c>
      <c r="N209" s="122">
        <f t="shared" si="4"/>
        <v>1.038</v>
      </c>
      <c r="O209" s="120">
        <v>44.8</v>
      </c>
      <c r="P209" s="120">
        <v>2.381606387283237</v>
      </c>
      <c r="Q209" s="123">
        <v>2.471250408941537</v>
      </c>
      <c r="R209" s="120">
        <v>0.0</v>
      </c>
      <c r="S209" s="120">
        <v>1.03764015</v>
      </c>
      <c r="T209" s="15"/>
      <c r="U209" s="161"/>
      <c r="AE209" s="15"/>
      <c r="AF209" s="15"/>
    </row>
    <row r="210" ht="15.0" customHeight="1">
      <c r="A210" s="134" t="s">
        <v>249</v>
      </c>
      <c r="B210" s="3" t="s">
        <v>250</v>
      </c>
      <c r="C210" s="3" t="s">
        <v>42</v>
      </c>
      <c r="D210" s="3" t="s">
        <v>251</v>
      </c>
      <c r="E210" s="8">
        <v>5.0</v>
      </c>
      <c r="F210" s="183">
        <f t="shared" si="1"/>
        <v>3</v>
      </c>
      <c r="G210" s="165" t="s">
        <v>233</v>
      </c>
      <c r="H210" s="137">
        <v>4.09387505</v>
      </c>
      <c r="I210" s="137">
        <v>0.05827258</v>
      </c>
      <c r="J210" s="137">
        <v>2.43426449</v>
      </c>
      <c r="K210" s="120">
        <f t="shared" si="2"/>
        <v>70.25388356</v>
      </c>
      <c r="L210" s="121">
        <v>-0.382</v>
      </c>
      <c r="M210" s="121">
        <v>-1.428</v>
      </c>
      <c r="N210" s="122">
        <f t="shared" si="4"/>
        <v>1.046</v>
      </c>
      <c r="O210" s="120">
        <v>41.2</v>
      </c>
      <c r="P210" s="120">
        <v>2.3272127055449334</v>
      </c>
      <c r="Q210" s="123">
        <v>2.7889347317015662</v>
      </c>
      <c r="R210" s="120">
        <v>0.0</v>
      </c>
      <c r="S210" s="120">
        <v>1.1984013000000002</v>
      </c>
      <c r="T210" s="15"/>
      <c r="U210" s="161"/>
      <c r="AE210" s="15"/>
      <c r="AF210" s="15"/>
    </row>
    <row r="211" ht="15.0" customHeight="1">
      <c r="A211" s="134" t="s">
        <v>249</v>
      </c>
      <c r="B211" s="3" t="s">
        <v>250</v>
      </c>
      <c r="C211" s="3" t="s">
        <v>42</v>
      </c>
      <c r="D211" s="3" t="s">
        <v>251</v>
      </c>
      <c r="E211" s="8">
        <v>6.0</v>
      </c>
      <c r="F211" s="183">
        <f t="shared" si="1"/>
        <v>3</v>
      </c>
      <c r="G211" s="165" t="s">
        <v>233</v>
      </c>
      <c r="H211" s="137">
        <v>7.24938216</v>
      </c>
      <c r="I211" s="137">
        <v>0.08178942</v>
      </c>
      <c r="J211" s="137">
        <v>2.9759954</v>
      </c>
      <c r="K211" s="120">
        <f t="shared" si="2"/>
        <v>88.63471779</v>
      </c>
      <c r="L211" s="121">
        <v>-0.34</v>
      </c>
      <c r="M211" s="121">
        <v>-1.469</v>
      </c>
      <c r="N211" s="122">
        <f t="shared" si="4"/>
        <v>1.129</v>
      </c>
      <c r="O211" s="120">
        <v>50.2</v>
      </c>
      <c r="P211" s="120">
        <v>2.6359569530558016</v>
      </c>
      <c r="Q211" s="123">
        <v>3.158934239286112</v>
      </c>
      <c r="R211" s="120">
        <v>0.14285714285714285</v>
      </c>
      <c r="S211" s="120">
        <v>1.1984013000000002</v>
      </c>
      <c r="T211" s="15"/>
      <c r="U211" s="161"/>
      <c r="AE211" s="15"/>
      <c r="AF211" s="15"/>
    </row>
    <row r="212" ht="15.0" customHeight="1">
      <c r="A212" s="134" t="s">
        <v>256</v>
      </c>
      <c r="B212" s="3" t="s">
        <v>257</v>
      </c>
      <c r="C212" s="3" t="s">
        <v>242</v>
      </c>
      <c r="D212" s="135" t="s">
        <v>240</v>
      </c>
      <c r="E212" s="8">
        <v>1.0</v>
      </c>
      <c r="F212" s="183">
        <f t="shared" si="1"/>
        <v>4</v>
      </c>
      <c r="G212" s="165" t="s">
        <v>233</v>
      </c>
      <c r="H212" s="137">
        <v>6.72970191</v>
      </c>
      <c r="I212" s="137">
        <v>0.08898405</v>
      </c>
      <c r="J212" s="137">
        <v>2.64996994</v>
      </c>
      <c r="K212" s="120">
        <f t="shared" si="2"/>
        <v>75.62818179</v>
      </c>
      <c r="L212" s="121">
        <v>-0.522</v>
      </c>
      <c r="M212" s="121">
        <v>-1.414</v>
      </c>
      <c r="N212" s="122">
        <f t="shared" si="4"/>
        <v>0.892</v>
      </c>
      <c r="O212" s="120">
        <v>42.9</v>
      </c>
      <c r="P212" s="120">
        <v>2.9708183183856507</v>
      </c>
      <c r="Q212" s="123">
        <v>2.86555301582846</v>
      </c>
      <c r="R212" s="120">
        <v>0.0</v>
      </c>
      <c r="S212" s="120">
        <v>0.9645669000000001</v>
      </c>
      <c r="T212" s="15"/>
      <c r="U212" s="161"/>
      <c r="AE212" s="15"/>
      <c r="AF212" s="15"/>
    </row>
    <row r="213" ht="15.0" customHeight="1">
      <c r="A213" s="134" t="s">
        <v>256</v>
      </c>
      <c r="B213" s="3" t="s">
        <v>257</v>
      </c>
      <c r="C213" s="3" t="s">
        <v>242</v>
      </c>
      <c r="D213" s="135" t="s">
        <v>240</v>
      </c>
      <c r="E213" s="8">
        <v>2.0</v>
      </c>
      <c r="F213" s="183">
        <f t="shared" si="1"/>
        <v>4</v>
      </c>
      <c r="G213" s="165" t="s">
        <v>233</v>
      </c>
      <c r="H213" s="137">
        <v>2.19233276</v>
      </c>
      <c r="I213" s="137">
        <v>0.03656611</v>
      </c>
      <c r="J213" s="137">
        <v>1.97993884</v>
      </c>
      <c r="K213" s="120">
        <f t="shared" si="2"/>
        <v>59.95531819</v>
      </c>
      <c r="L213" s="121">
        <v>-0.463</v>
      </c>
      <c r="M213" s="121">
        <v>-1.37</v>
      </c>
      <c r="N213" s="122">
        <f t="shared" si="4"/>
        <v>0.907</v>
      </c>
      <c r="O213" s="120">
        <v>49.3</v>
      </c>
      <c r="P213" s="120">
        <v>2.1829535170893055</v>
      </c>
      <c r="Q213" s="123">
        <v>2.137507808441458</v>
      </c>
      <c r="R213" s="120">
        <v>0.0</v>
      </c>
      <c r="S213" s="120">
        <v>0.9791815500000003</v>
      </c>
      <c r="T213" s="15"/>
      <c r="U213" s="161"/>
      <c r="AE213" s="15"/>
      <c r="AF213" s="15"/>
    </row>
    <row r="214" ht="15.0" customHeight="1">
      <c r="A214" s="134" t="s">
        <v>256</v>
      </c>
      <c r="B214" s="3" t="s">
        <v>257</v>
      </c>
      <c r="C214" s="3" t="s">
        <v>242</v>
      </c>
      <c r="D214" s="135" t="s">
        <v>240</v>
      </c>
      <c r="E214" s="8">
        <v>3.0</v>
      </c>
      <c r="F214" s="183">
        <f t="shared" si="1"/>
        <v>4</v>
      </c>
      <c r="G214" s="165" t="s">
        <v>233</v>
      </c>
      <c r="H214" s="137">
        <v>7.23920454</v>
      </c>
      <c r="I214" s="137">
        <v>0.07875493</v>
      </c>
      <c r="J214" s="137">
        <v>2.60074896</v>
      </c>
      <c r="K214" s="120">
        <f t="shared" si="2"/>
        <v>91.92065233</v>
      </c>
      <c r="L214" s="121">
        <v>-0.472</v>
      </c>
      <c r="M214" s="121">
        <v>-1.396</v>
      </c>
      <c r="N214" s="122">
        <f t="shared" si="4"/>
        <v>0.924</v>
      </c>
      <c r="O214" s="120">
        <v>45.0</v>
      </c>
      <c r="P214" s="120">
        <v>2.8146633766233773</v>
      </c>
      <c r="Q214" s="123">
        <v>2.8383370880846504</v>
      </c>
      <c r="R214" s="120">
        <v>0.0</v>
      </c>
      <c r="S214" s="120">
        <v>1.0084108500000002</v>
      </c>
      <c r="T214" s="15"/>
      <c r="U214" s="161"/>
      <c r="AE214" s="15"/>
      <c r="AF214" s="15"/>
    </row>
    <row r="215" ht="15.0" customHeight="1">
      <c r="A215" s="134" t="s">
        <v>256</v>
      </c>
      <c r="B215" s="3" t="s">
        <v>257</v>
      </c>
      <c r="C215" s="3" t="s">
        <v>242</v>
      </c>
      <c r="D215" s="135" t="s">
        <v>240</v>
      </c>
      <c r="E215" s="8">
        <v>4.0</v>
      </c>
      <c r="F215" s="183">
        <f t="shared" si="1"/>
        <v>4</v>
      </c>
      <c r="G215" s="165" t="s">
        <v>233</v>
      </c>
      <c r="H215" s="137">
        <v>6.89492782</v>
      </c>
      <c r="I215" s="137">
        <v>0.1009392</v>
      </c>
      <c r="J215" s="137">
        <v>3.47914023</v>
      </c>
      <c r="K215" s="120">
        <f t="shared" si="2"/>
        <v>68.30773198</v>
      </c>
      <c r="L215" s="121">
        <v>-0.501</v>
      </c>
      <c r="M215" s="121">
        <v>-1.35</v>
      </c>
      <c r="N215" s="122">
        <f t="shared" si="4"/>
        <v>0.849</v>
      </c>
      <c r="O215" s="120">
        <v>50.6</v>
      </c>
      <c r="P215" s="120">
        <v>4.097927243816254</v>
      </c>
      <c r="Q215" s="123">
        <v>3.832945433205711</v>
      </c>
      <c r="R215" s="120">
        <v>0.14285714285714285</v>
      </c>
      <c r="S215" s="120">
        <v>0.9353376000000002</v>
      </c>
      <c r="T215" s="15"/>
      <c r="U215" s="161"/>
      <c r="AE215" s="15"/>
      <c r="AF215" s="15"/>
    </row>
    <row r="216" ht="15.0" customHeight="1">
      <c r="A216" s="134" t="s">
        <v>256</v>
      </c>
      <c r="B216" s="3" t="s">
        <v>257</v>
      </c>
      <c r="C216" s="3" t="s">
        <v>242</v>
      </c>
      <c r="D216" s="135" t="s">
        <v>240</v>
      </c>
      <c r="E216" s="8">
        <v>5.0</v>
      </c>
      <c r="F216" s="183">
        <f t="shared" si="1"/>
        <v>4</v>
      </c>
      <c r="G216" s="165" t="s">
        <v>233</v>
      </c>
      <c r="H216" s="137">
        <v>6.85830613</v>
      </c>
      <c r="I216" s="137">
        <v>0.08078911</v>
      </c>
      <c r="J216" s="137">
        <v>3.23479664</v>
      </c>
      <c r="K216" s="120">
        <f t="shared" si="2"/>
        <v>84.8914678</v>
      </c>
      <c r="L216" s="121">
        <v>-0.482</v>
      </c>
      <c r="M216" s="121">
        <v>-1.411</v>
      </c>
      <c r="N216" s="122">
        <f t="shared" si="4"/>
        <v>0.929</v>
      </c>
      <c r="O216" s="120">
        <v>41.5</v>
      </c>
      <c r="P216" s="120">
        <v>3.4820200645855754</v>
      </c>
      <c r="Q216" s="123">
        <v>3.562195317582692</v>
      </c>
      <c r="R216" s="120">
        <v>0.0</v>
      </c>
      <c r="S216" s="120">
        <v>1.0230255000000004</v>
      </c>
      <c r="T216" s="15"/>
      <c r="U216" s="161"/>
      <c r="AE216" s="15"/>
      <c r="AF216" s="15"/>
    </row>
    <row r="217" ht="15.0" customHeight="1">
      <c r="A217" s="134" t="s">
        <v>256</v>
      </c>
      <c r="B217" s="3" t="s">
        <v>257</v>
      </c>
      <c r="C217" s="3" t="s">
        <v>242</v>
      </c>
      <c r="D217" s="135" t="s">
        <v>240</v>
      </c>
      <c r="E217" s="8">
        <v>6.0</v>
      </c>
      <c r="F217" s="183">
        <f t="shared" si="1"/>
        <v>4</v>
      </c>
      <c r="G217" s="165" t="s">
        <v>233</v>
      </c>
      <c r="H217" s="137">
        <v>13.6120014</v>
      </c>
      <c r="I217" s="137">
        <v>0.15040004</v>
      </c>
      <c r="J217" s="137">
        <v>4.75625997</v>
      </c>
      <c r="K217" s="120">
        <f t="shared" si="2"/>
        <v>90.50530439</v>
      </c>
      <c r="L217" s="121">
        <v>-0.53</v>
      </c>
      <c r="M217" s="121">
        <v>-1.107</v>
      </c>
      <c r="N217" s="122">
        <f t="shared" si="4"/>
        <v>0.577</v>
      </c>
      <c r="O217" s="120">
        <v>49.7</v>
      </c>
      <c r="P217" s="120">
        <v>8.243084870017332</v>
      </c>
      <c r="Q217" s="123">
        <v>8.914765221874314</v>
      </c>
      <c r="R217" s="120">
        <v>0.0</v>
      </c>
      <c r="S217" s="120">
        <v>1.0814841000000002</v>
      </c>
      <c r="T217" s="15"/>
      <c r="U217" s="161"/>
      <c r="AE217" s="15"/>
      <c r="AF217" s="15"/>
    </row>
    <row r="218" ht="15.0" customHeight="1">
      <c r="A218" s="134" t="s">
        <v>249</v>
      </c>
      <c r="B218" s="3" t="s">
        <v>258</v>
      </c>
      <c r="C218" s="3" t="s">
        <v>65</v>
      </c>
      <c r="D218" s="3" t="s">
        <v>251</v>
      </c>
      <c r="E218" s="8">
        <v>1.0</v>
      </c>
      <c r="F218" s="183">
        <f t="shared" si="1"/>
        <v>5</v>
      </c>
      <c r="G218" s="165" t="s">
        <v>233</v>
      </c>
      <c r="H218" s="137">
        <v>6.37219859</v>
      </c>
      <c r="I218" s="137">
        <v>0.08403736</v>
      </c>
      <c r="J218" s="137">
        <v>2.70781739</v>
      </c>
      <c r="K218" s="120">
        <f t="shared" si="2"/>
        <v>75.8257826</v>
      </c>
      <c r="L218" s="121">
        <v>-0.37</v>
      </c>
      <c r="M218" s="121">
        <v>-1.27</v>
      </c>
      <c r="N218" s="122">
        <f t="shared" si="4"/>
        <v>0.9</v>
      </c>
      <c r="O218" s="120">
        <v>40.2</v>
      </c>
      <c r="P218" s="120">
        <v>3.008685988888889</v>
      </c>
      <c r="Q218" s="123">
        <v>3.4297296296261717</v>
      </c>
      <c r="R218" s="120">
        <v>0.0</v>
      </c>
      <c r="S218" s="120">
        <v>1.1399427000000004</v>
      </c>
      <c r="T218" s="15"/>
      <c r="U218" s="161"/>
      <c r="AE218" s="15"/>
      <c r="AF218" s="15"/>
    </row>
    <row r="219" ht="15.0" customHeight="1">
      <c r="A219" s="134" t="s">
        <v>249</v>
      </c>
      <c r="B219" s="3" t="s">
        <v>258</v>
      </c>
      <c r="C219" s="3" t="s">
        <v>65</v>
      </c>
      <c r="D219" s="3" t="s">
        <v>251</v>
      </c>
      <c r="E219" s="8">
        <v>2.0</v>
      </c>
      <c r="F219" s="183">
        <f t="shared" si="1"/>
        <v>5</v>
      </c>
      <c r="G219" s="165" t="s">
        <v>233</v>
      </c>
      <c r="H219" s="137">
        <v>3.10212475</v>
      </c>
      <c r="I219" s="137">
        <v>0.0444765</v>
      </c>
      <c r="J219" s="137">
        <v>2.38156258</v>
      </c>
      <c r="K219" s="120">
        <f t="shared" si="2"/>
        <v>69.74750149</v>
      </c>
      <c r="L219" s="121">
        <v>-0.408</v>
      </c>
      <c r="M219" s="121">
        <v>-1.52</v>
      </c>
      <c r="N219" s="122">
        <f t="shared" si="4"/>
        <v>1.112</v>
      </c>
      <c r="O219" s="120">
        <v>61.2</v>
      </c>
      <c r="P219" s="120">
        <v>2.1416929676258993</v>
      </c>
      <c r="Q219" s="123">
        <v>2.0658061465347144</v>
      </c>
      <c r="R219" s="120">
        <v>0.0</v>
      </c>
      <c r="S219" s="120">
        <v>0.9645669000000001</v>
      </c>
      <c r="T219" s="15"/>
      <c r="U219" s="161"/>
      <c r="AE219" s="15"/>
      <c r="AF219" s="15"/>
    </row>
    <row r="220" ht="15.0" customHeight="1">
      <c r="A220" s="134" t="s">
        <v>249</v>
      </c>
      <c r="B220" s="3" t="s">
        <v>258</v>
      </c>
      <c r="C220" s="3" t="s">
        <v>65</v>
      </c>
      <c r="D220" s="3" t="s">
        <v>251</v>
      </c>
      <c r="E220" s="8">
        <v>3.0</v>
      </c>
      <c r="F220" s="183">
        <f t="shared" si="1"/>
        <v>5</v>
      </c>
      <c r="G220" s="165" t="s">
        <v>233</v>
      </c>
      <c r="H220" s="137">
        <v>7.48923293</v>
      </c>
      <c r="I220" s="137">
        <v>0.07771835</v>
      </c>
      <c r="J220" s="137">
        <v>2.70369173</v>
      </c>
      <c r="K220" s="120">
        <f t="shared" si="2"/>
        <v>96.36376647</v>
      </c>
      <c r="L220" s="121">
        <v>-0.537</v>
      </c>
      <c r="M220" s="121">
        <v>-1.56</v>
      </c>
      <c r="N220" s="122">
        <f t="shared" si="4"/>
        <v>1.023</v>
      </c>
      <c r="O220" s="120">
        <v>32.5</v>
      </c>
      <c r="P220" s="120">
        <v>2.6429049169110455</v>
      </c>
      <c r="Q220" s="123">
        <v>3.3217612095783258</v>
      </c>
      <c r="R220" s="120">
        <v>0.14285714285714285</v>
      </c>
      <c r="S220" s="120">
        <v>1.2568599000000003</v>
      </c>
      <c r="T220" s="15"/>
      <c r="U220" s="161"/>
      <c r="AE220" s="15"/>
      <c r="AF220" s="15"/>
    </row>
    <row r="221" ht="15.0" customHeight="1">
      <c r="A221" s="134" t="s">
        <v>249</v>
      </c>
      <c r="B221" s="3" t="s">
        <v>258</v>
      </c>
      <c r="C221" s="3" t="s">
        <v>65</v>
      </c>
      <c r="D221" s="3" t="s">
        <v>251</v>
      </c>
      <c r="E221" s="8">
        <v>4.0</v>
      </c>
      <c r="F221" s="183">
        <f t="shared" si="1"/>
        <v>5</v>
      </c>
      <c r="G221" s="165" t="s">
        <v>233</v>
      </c>
      <c r="H221" s="137">
        <v>5.13024967</v>
      </c>
      <c r="I221" s="137">
        <v>0.05696661</v>
      </c>
      <c r="J221" s="137">
        <v>2.27019988</v>
      </c>
      <c r="K221" s="120">
        <f t="shared" si="2"/>
        <v>90.0571347</v>
      </c>
      <c r="L221" s="121">
        <v>-0.506</v>
      </c>
      <c r="M221" s="121">
        <v>-1.53</v>
      </c>
      <c r="N221" s="122">
        <f t="shared" si="4"/>
        <v>1.024</v>
      </c>
      <c r="O221" s="120">
        <v>43.0</v>
      </c>
      <c r="P221" s="120">
        <v>2.2169920703124997</v>
      </c>
      <c r="Q221" s="123">
        <v>2.494843363350229</v>
      </c>
      <c r="R221" s="120">
        <v>0.0</v>
      </c>
      <c r="S221" s="120">
        <v>1.1253280500000002</v>
      </c>
      <c r="T221" s="15"/>
      <c r="U221" s="161"/>
      <c r="AE221" s="15"/>
      <c r="AF221" s="15"/>
    </row>
    <row r="222" ht="15.0" customHeight="1">
      <c r="A222" s="134" t="s">
        <v>249</v>
      </c>
      <c r="B222" s="3" t="s">
        <v>258</v>
      </c>
      <c r="C222" s="3" t="s">
        <v>65</v>
      </c>
      <c r="D222" s="3" t="s">
        <v>251</v>
      </c>
      <c r="E222" s="8">
        <v>5.0</v>
      </c>
      <c r="F222" s="183">
        <f t="shared" si="1"/>
        <v>5</v>
      </c>
      <c r="G222" s="165" t="s">
        <v>233</v>
      </c>
      <c r="H222" s="137">
        <v>1.82861197</v>
      </c>
      <c r="I222" s="137">
        <v>0.03227301</v>
      </c>
      <c r="J222" s="137">
        <v>1.51062269</v>
      </c>
      <c r="K222" s="120">
        <f t="shared" si="2"/>
        <v>56.66071959</v>
      </c>
      <c r="L222" s="121">
        <v>-0.842</v>
      </c>
      <c r="M222" s="121">
        <v>-1.419</v>
      </c>
      <c r="N222" s="122">
        <f t="shared" si="4"/>
        <v>0.577</v>
      </c>
      <c r="O222" s="120">
        <v>44.2</v>
      </c>
      <c r="P222" s="120">
        <v>2.6180635875216636</v>
      </c>
      <c r="Q222" s="123">
        <v>2.869656225703012</v>
      </c>
      <c r="R222" s="120">
        <v>0.0</v>
      </c>
      <c r="S222" s="120">
        <v>1.0960987500000003</v>
      </c>
      <c r="T222" s="15"/>
      <c r="U222" s="161"/>
      <c r="AE222" s="15"/>
      <c r="AF222" s="15"/>
    </row>
    <row r="223" ht="15.0" customHeight="1">
      <c r="A223" s="134" t="s">
        <v>249</v>
      </c>
      <c r="B223" s="3" t="s">
        <v>258</v>
      </c>
      <c r="C223" s="3" t="s">
        <v>65</v>
      </c>
      <c r="D223" s="3" t="s">
        <v>251</v>
      </c>
      <c r="E223" s="8">
        <v>6.0</v>
      </c>
      <c r="F223" s="183">
        <f t="shared" si="1"/>
        <v>5</v>
      </c>
      <c r="G223" s="165" t="s">
        <v>233</v>
      </c>
      <c r="H223" s="137">
        <v>8.43657079</v>
      </c>
      <c r="I223" s="137">
        <v>0.0908845</v>
      </c>
      <c r="J223" s="137">
        <v>3.46316151</v>
      </c>
      <c r="K223" s="120">
        <f t="shared" si="2"/>
        <v>92.8273885</v>
      </c>
      <c r="L223" s="121">
        <v>-0.4</v>
      </c>
      <c r="M223" s="121">
        <v>-1.443</v>
      </c>
      <c r="N223" s="122">
        <f t="shared" si="4"/>
        <v>1.043</v>
      </c>
      <c r="O223" s="120">
        <v>42.7</v>
      </c>
      <c r="P223" s="120">
        <v>3.3203849568552246</v>
      </c>
      <c r="Q223" s="123">
        <v>4.076206176815154</v>
      </c>
      <c r="R223" s="120">
        <v>0.0</v>
      </c>
      <c r="S223" s="120">
        <v>1.2276306000000001</v>
      </c>
      <c r="T223" s="15"/>
      <c r="U223" s="161"/>
      <c r="AE223" s="15"/>
      <c r="AF223" s="15"/>
    </row>
    <row r="224" ht="15.0" customHeight="1">
      <c r="A224" s="134" t="s">
        <v>256</v>
      </c>
      <c r="B224" s="3" t="s">
        <v>239</v>
      </c>
      <c r="C224" s="3" t="s">
        <v>243</v>
      </c>
      <c r="D224" s="135" t="s">
        <v>240</v>
      </c>
      <c r="E224" s="8">
        <v>1.0</v>
      </c>
      <c r="F224" s="183">
        <f t="shared" si="1"/>
        <v>6</v>
      </c>
      <c r="G224" s="165" t="s">
        <v>233</v>
      </c>
      <c r="H224" s="137">
        <v>8.79984702</v>
      </c>
      <c r="I224" s="137">
        <v>0.11728596</v>
      </c>
      <c r="J224" s="137">
        <v>3.12130863</v>
      </c>
      <c r="K224" s="120">
        <f t="shared" si="2"/>
        <v>75.02898915</v>
      </c>
      <c r="L224" s="121">
        <v>-0.465</v>
      </c>
      <c r="M224" s="121">
        <v>-1.446</v>
      </c>
      <c r="N224" s="122">
        <f t="shared" si="4"/>
        <v>0.981</v>
      </c>
      <c r="O224" s="120">
        <v>48.7</v>
      </c>
      <c r="P224" s="120">
        <v>3.1817621100917437</v>
      </c>
      <c r="Q224" s="123">
        <v>3.301524113179914</v>
      </c>
      <c r="R224" s="120">
        <v>0.14285714285714285</v>
      </c>
      <c r="S224" s="120">
        <v>1.03764015</v>
      </c>
      <c r="T224" s="15"/>
      <c r="U224" s="161"/>
      <c r="AE224" s="15"/>
      <c r="AF224" s="15"/>
    </row>
    <row r="225" ht="15.0" customHeight="1">
      <c r="A225" s="134" t="s">
        <v>256</v>
      </c>
      <c r="B225" s="3" t="s">
        <v>239</v>
      </c>
      <c r="C225" s="3" t="s">
        <v>243</v>
      </c>
      <c r="D225" s="135" t="s">
        <v>240</v>
      </c>
      <c r="E225" s="8">
        <v>2.0</v>
      </c>
      <c r="F225" s="183">
        <f t="shared" si="1"/>
        <v>6</v>
      </c>
      <c r="G225" s="165" t="s">
        <v>233</v>
      </c>
      <c r="H225" s="137">
        <v>4.32597176</v>
      </c>
      <c r="I225" s="137">
        <v>0.05408333</v>
      </c>
      <c r="J225" s="137">
        <v>2.8477145</v>
      </c>
      <c r="K225" s="120">
        <f t="shared" si="2"/>
        <v>79.98715612</v>
      </c>
      <c r="L225" s="121">
        <v>-0.607</v>
      </c>
      <c r="M225" s="121">
        <v>-1.34</v>
      </c>
      <c r="N225" s="122">
        <f t="shared" si="4"/>
        <v>0.733</v>
      </c>
      <c r="O225" s="120">
        <v>46.2</v>
      </c>
      <c r="P225" s="120">
        <v>3.8850129604365615</v>
      </c>
      <c r="Q225" s="123">
        <v>4.371914058992804</v>
      </c>
      <c r="R225" s="120">
        <v>0.14285714285714285</v>
      </c>
      <c r="S225" s="120">
        <v>1.1253280500000002</v>
      </c>
      <c r="T225" s="15"/>
      <c r="U225" s="161"/>
      <c r="AE225" s="15"/>
      <c r="AF225" s="15"/>
    </row>
    <row r="226" ht="15.0" customHeight="1">
      <c r="A226" s="134" t="s">
        <v>256</v>
      </c>
      <c r="B226" s="3" t="s">
        <v>239</v>
      </c>
      <c r="C226" s="3" t="s">
        <v>243</v>
      </c>
      <c r="D226" s="135" t="s">
        <v>240</v>
      </c>
      <c r="E226" s="8">
        <v>3.0</v>
      </c>
      <c r="F226" s="183">
        <f t="shared" si="1"/>
        <v>6</v>
      </c>
      <c r="G226" s="165" t="s">
        <v>233</v>
      </c>
      <c r="H226" s="137">
        <v>7.76277903</v>
      </c>
      <c r="I226" s="137">
        <v>0.08825384</v>
      </c>
      <c r="J226" s="137">
        <v>3.02838857</v>
      </c>
      <c r="K226" s="120">
        <f t="shared" si="2"/>
        <v>87.95967439</v>
      </c>
      <c r="L226" s="121">
        <v>-0.454</v>
      </c>
      <c r="M226" s="121">
        <v>-1.39</v>
      </c>
      <c r="N226" s="122">
        <f t="shared" si="4"/>
        <v>0.936</v>
      </c>
      <c r="O226" s="120">
        <v>47.0</v>
      </c>
      <c r="P226" s="120">
        <v>3.235457873931624</v>
      </c>
      <c r="Q226" s="123">
        <v>3.357240993625092</v>
      </c>
      <c r="R226" s="120">
        <v>0.0</v>
      </c>
      <c r="S226" s="120">
        <v>1.03764015</v>
      </c>
      <c r="T226" s="15"/>
      <c r="U226" s="161"/>
      <c r="AE226" s="15"/>
      <c r="AF226" s="15"/>
    </row>
    <row r="227" ht="15.0" customHeight="1">
      <c r="A227" s="134" t="s">
        <v>256</v>
      </c>
      <c r="B227" s="3" t="s">
        <v>239</v>
      </c>
      <c r="C227" s="3" t="s">
        <v>243</v>
      </c>
      <c r="D227" s="135" t="s">
        <v>240</v>
      </c>
      <c r="E227" s="8">
        <v>4.0</v>
      </c>
      <c r="F227" s="183">
        <f t="shared" si="1"/>
        <v>6</v>
      </c>
      <c r="G227" s="165" t="s">
        <v>233</v>
      </c>
      <c r="H227" s="137">
        <v>5.52022231</v>
      </c>
      <c r="I227" s="137">
        <v>0.09474846</v>
      </c>
      <c r="J227" s="137">
        <v>3.22700745</v>
      </c>
      <c r="K227" s="120">
        <f t="shared" si="2"/>
        <v>58.26186843</v>
      </c>
      <c r="L227" s="121">
        <v>-0.556</v>
      </c>
      <c r="M227" s="121">
        <v>-1.466</v>
      </c>
      <c r="N227" s="122">
        <f t="shared" si="4"/>
        <v>0.91</v>
      </c>
      <c r="O227" s="120">
        <v>49.0</v>
      </c>
      <c r="P227" s="120">
        <v>3.5461620329670334</v>
      </c>
      <c r="Q227" s="123">
        <v>3.368684602081608</v>
      </c>
      <c r="R227" s="120">
        <v>0.0</v>
      </c>
      <c r="S227" s="120">
        <v>0.9499522500000003</v>
      </c>
      <c r="T227" s="15"/>
      <c r="U227" s="161"/>
      <c r="AE227" s="15"/>
      <c r="AF227" s="15"/>
    </row>
    <row r="228" ht="15.0" customHeight="1">
      <c r="A228" s="134" t="s">
        <v>256</v>
      </c>
      <c r="B228" s="3" t="s">
        <v>239</v>
      </c>
      <c r="C228" s="3" t="s">
        <v>243</v>
      </c>
      <c r="D228" s="135" t="s">
        <v>240</v>
      </c>
      <c r="E228" s="8">
        <v>5.0</v>
      </c>
      <c r="F228" s="183">
        <f t="shared" si="1"/>
        <v>6</v>
      </c>
      <c r="G228" s="165" t="s">
        <v>233</v>
      </c>
      <c r="H228" s="137">
        <v>5.48857348</v>
      </c>
      <c r="I228" s="137">
        <v>0.07239157</v>
      </c>
      <c r="J228" s="137">
        <v>2.98385316</v>
      </c>
      <c r="K228" s="120">
        <f t="shared" si="2"/>
        <v>75.81785393</v>
      </c>
      <c r="L228" s="121">
        <v>-0.514</v>
      </c>
      <c r="M228" s="121">
        <v>-1.35</v>
      </c>
      <c r="N228" s="122">
        <f t="shared" si="4"/>
        <v>0.836</v>
      </c>
      <c r="O228" s="120">
        <v>40.2</v>
      </c>
      <c r="P228" s="120">
        <v>3.569202344497607</v>
      </c>
      <c r="Q228" s="123">
        <v>3.494897083948802</v>
      </c>
      <c r="R228" s="120">
        <v>0.0</v>
      </c>
      <c r="S228" s="120">
        <v>0.9791815500000003</v>
      </c>
      <c r="T228" s="15"/>
      <c r="U228" s="161"/>
      <c r="AE228" s="15"/>
      <c r="AF228" s="15"/>
    </row>
    <row r="229" ht="15.0" customHeight="1">
      <c r="A229" s="134" t="s">
        <v>256</v>
      </c>
      <c r="B229" s="3" t="s">
        <v>239</v>
      </c>
      <c r="C229" s="3" t="s">
        <v>243</v>
      </c>
      <c r="D229" s="135" t="s">
        <v>240</v>
      </c>
      <c r="E229" s="8">
        <v>6.0</v>
      </c>
      <c r="F229" s="183">
        <f t="shared" si="1"/>
        <v>6</v>
      </c>
      <c r="G229" s="165" t="s">
        <v>233</v>
      </c>
      <c r="H229" s="137">
        <v>4.72992745</v>
      </c>
      <c r="I229" s="137">
        <v>0.09301211</v>
      </c>
      <c r="J229" s="137">
        <v>3.32802454</v>
      </c>
      <c r="K229" s="120">
        <f t="shared" si="2"/>
        <v>50.85281314</v>
      </c>
      <c r="L229" s="121">
        <v>-0.437</v>
      </c>
      <c r="M229" s="121">
        <v>-1.35</v>
      </c>
      <c r="N229" s="122">
        <f t="shared" si="4"/>
        <v>0.913</v>
      </c>
      <c r="O229" s="120">
        <v>40.9</v>
      </c>
      <c r="P229" s="120">
        <v>3.6451528368017523</v>
      </c>
      <c r="Q229" s="123">
        <v>4.2085379996028145</v>
      </c>
      <c r="R229" s="120">
        <v>0.0</v>
      </c>
      <c r="S229" s="120">
        <v>1.1545573500000001</v>
      </c>
      <c r="T229" s="15"/>
      <c r="U229" s="161"/>
      <c r="AE229" s="15"/>
      <c r="AF229" s="15"/>
    </row>
    <row r="230" ht="15.0" customHeight="1">
      <c r="A230" s="134" t="s">
        <v>244</v>
      </c>
      <c r="B230" s="3" t="s">
        <v>258</v>
      </c>
      <c r="C230" s="3" t="s">
        <v>245</v>
      </c>
      <c r="D230" s="3" t="s">
        <v>251</v>
      </c>
      <c r="E230" s="8">
        <v>1.0</v>
      </c>
      <c r="F230" s="183">
        <f t="shared" si="1"/>
        <v>7</v>
      </c>
      <c r="G230" s="165" t="s">
        <v>233</v>
      </c>
      <c r="H230" s="137">
        <v>5.28004686</v>
      </c>
      <c r="I230" s="137">
        <v>0.07005585</v>
      </c>
      <c r="J230" s="137">
        <v>2.14655955</v>
      </c>
      <c r="K230" s="120">
        <f t="shared" si="2"/>
        <v>75.36910708</v>
      </c>
      <c r="L230" s="121">
        <v>-0.8</v>
      </c>
      <c r="M230" s="121">
        <v>-1.461</v>
      </c>
      <c r="N230" s="122">
        <f t="shared" si="4"/>
        <v>0.661</v>
      </c>
      <c r="O230" s="120">
        <v>40.4</v>
      </c>
      <c r="P230" s="120">
        <v>3.24744258698941</v>
      </c>
      <c r="Q230" s="123">
        <v>3.8917394179234726</v>
      </c>
      <c r="R230" s="120">
        <v>0.0</v>
      </c>
      <c r="S230" s="120">
        <v>1.1984013000000002</v>
      </c>
      <c r="T230" s="15"/>
      <c r="U230" s="161"/>
      <c r="AE230" s="15"/>
      <c r="AF230" s="15"/>
    </row>
    <row r="231" ht="15.0" customHeight="1">
      <c r="A231" s="134" t="s">
        <v>244</v>
      </c>
      <c r="B231" s="3" t="s">
        <v>258</v>
      </c>
      <c r="C231" s="3" t="s">
        <v>245</v>
      </c>
      <c r="D231" s="3" t="s">
        <v>251</v>
      </c>
      <c r="E231" s="8">
        <v>2.0</v>
      </c>
      <c r="F231" s="183">
        <f t="shared" si="1"/>
        <v>7</v>
      </c>
      <c r="G231" s="165" t="s">
        <v>233</v>
      </c>
      <c r="H231" s="137">
        <v>3.47324966</v>
      </c>
      <c r="I231" s="137">
        <v>0.04677231</v>
      </c>
      <c r="J231" s="137">
        <v>2.53561299</v>
      </c>
      <c r="K231" s="120">
        <f t="shared" si="2"/>
        <v>74.25867271</v>
      </c>
      <c r="L231" s="121">
        <v>-0.41</v>
      </c>
      <c r="M231" s="121">
        <v>-1.41</v>
      </c>
      <c r="N231" s="122">
        <f t="shared" si="4"/>
        <v>1</v>
      </c>
      <c r="O231" s="120">
        <v>45.8</v>
      </c>
      <c r="P231" s="120">
        <v>2.53561299</v>
      </c>
      <c r="Q231" s="123">
        <v>2.4828254577483353</v>
      </c>
      <c r="R231" s="120">
        <v>0.0</v>
      </c>
      <c r="S231" s="120">
        <v>0.9791815500000003</v>
      </c>
      <c r="T231" s="15"/>
      <c r="U231" s="161"/>
      <c r="AE231" s="15"/>
      <c r="AF231" s="15"/>
    </row>
    <row r="232" ht="15.0" customHeight="1">
      <c r="A232" s="134" t="s">
        <v>244</v>
      </c>
      <c r="B232" s="3" t="s">
        <v>258</v>
      </c>
      <c r="C232" s="3" t="s">
        <v>245</v>
      </c>
      <c r="D232" s="3" t="s">
        <v>251</v>
      </c>
      <c r="E232" s="8">
        <v>3.0</v>
      </c>
      <c r="F232" s="183">
        <f t="shared" si="1"/>
        <v>7</v>
      </c>
      <c r="G232" s="165" t="s">
        <v>233</v>
      </c>
      <c r="H232" s="137">
        <v>7.19236989</v>
      </c>
      <c r="I232" s="137">
        <v>0.09558426</v>
      </c>
      <c r="J232" s="137">
        <v>3.22412675</v>
      </c>
      <c r="K232" s="120">
        <f t="shared" si="2"/>
        <v>75.24638356</v>
      </c>
      <c r="L232" s="121">
        <v>-0.35</v>
      </c>
      <c r="M232" s="121">
        <v>-1.392</v>
      </c>
      <c r="N232" s="122">
        <f t="shared" si="4"/>
        <v>1.042</v>
      </c>
      <c r="O232" s="120">
        <v>47.0</v>
      </c>
      <c r="P232" s="120">
        <v>3.0941715451055667</v>
      </c>
      <c r="Q232" s="123">
        <v>3.7984996704208744</v>
      </c>
      <c r="R232" s="120">
        <v>0.0</v>
      </c>
      <c r="S232" s="120">
        <v>1.2276306000000001</v>
      </c>
      <c r="T232" s="15"/>
      <c r="U232" s="161"/>
      <c r="AE232" s="15"/>
      <c r="AF232" s="15"/>
    </row>
    <row r="233" ht="15.0" customHeight="1">
      <c r="A233" s="134" t="s">
        <v>244</v>
      </c>
      <c r="B233" s="3" t="s">
        <v>258</v>
      </c>
      <c r="C233" s="3" t="s">
        <v>245</v>
      </c>
      <c r="D233" s="3" t="s">
        <v>251</v>
      </c>
      <c r="E233" s="8">
        <v>4.0</v>
      </c>
      <c r="F233" s="183">
        <f t="shared" si="1"/>
        <v>7</v>
      </c>
      <c r="G233" s="165" t="s">
        <v>233</v>
      </c>
      <c r="H233" s="137">
        <v>3.23999261</v>
      </c>
      <c r="I233" s="137">
        <v>0.04210463</v>
      </c>
      <c r="J233" s="137">
        <v>1.48631764</v>
      </c>
      <c r="K233" s="120">
        <f t="shared" si="2"/>
        <v>76.95098164</v>
      </c>
      <c r="L233" s="121">
        <v>-0.398</v>
      </c>
      <c r="M233" s="121">
        <v>-1.41</v>
      </c>
      <c r="N233" s="122">
        <f t="shared" si="4"/>
        <v>1.012</v>
      </c>
      <c r="O233" s="120">
        <v>42.1</v>
      </c>
      <c r="P233" s="120">
        <v>1.4686933201581027</v>
      </c>
      <c r="Q233" s="123">
        <v>1.695690667684441</v>
      </c>
      <c r="R233" s="120">
        <v>0.0</v>
      </c>
      <c r="S233" s="120">
        <v>1.1545573500000001</v>
      </c>
      <c r="T233" s="15"/>
      <c r="U233" s="161"/>
      <c r="AE233" s="15"/>
      <c r="AF233" s="15"/>
    </row>
    <row r="234" ht="15.0" customHeight="1">
      <c r="A234" s="134" t="s">
        <v>244</v>
      </c>
      <c r="B234" s="3" t="s">
        <v>258</v>
      </c>
      <c r="C234" s="3" t="s">
        <v>245</v>
      </c>
      <c r="D234" s="3" t="s">
        <v>251</v>
      </c>
      <c r="E234" s="8">
        <v>5.0</v>
      </c>
      <c r="F234" s="183">
        <f t="shared" si="1"/>
        <v>7</v>
      </c>
      <c r="G234" s="165" t="s">
        <v>233</v>
      </c>
      <c r="H234" s="137">
        <v>1.35978782</v>
      </c>
      <c r="I234" s="137">
        <v>0.03374445</v>
      </c>
      <c r="J234" s="137">
        <v>1.62534946</v>
      </c>
      <c r="K234" s="120">
        <f t="shared" si="2"/>
        <v>40.29663604</v>
      </c>
      <c r="L234" s="121">
        <v>-0.634</v>
      </c>
      <c r="M234" s="121">
        <v>-1.356</v>
      </c>
      <c r="N234" s="122">
        <f t="shared" si="4"/>
        <v>0.722</v>
      </c>
      <c r="O234" s="120">
        <v>41.0</v>
      </c>
      <c r="P234" s="120">
        <v>2.2511765373961214</v>
      </c>
      <c r="Q234" s="123">
        <v>2.1714103740289112</v>
      </c>
      <c r="R234" s="120">
        <v>0.0</v>
      </c>
      <c r="S234" s="120">
        <v>0.9645669000000001</v>
      </c>
      <c r="T234" s="15"/>
      <c r="U234" s="161"/>
      <c r="AE234" s="15"/>
      <c r="AF234" s="15"/>
    </row>
    <row r="235" ht="15.0" customHeight="1">
      <c r="A235" s="134" t="s">
        <v>244</v>
      </c>
      <c r="B235" s="3" t="s">
        <v>258</v>
      </c>
      <c r="C235" s="3" t="s">
        <v>245</v>
      </c>
      <c r="D235" s="3" t="s">
        <v>251</v>
      </c>
      <c r="E235" s="8">
        <v>6.0</v>
      </c>
      <c r="F235" s="183">
        <f t="shared" si="1"/>
        <v>7</v>
      </c>
      <c r="G235" s="165" t="s">
        <v>233</v>
      </c>
      <c r="H235" s="137">
        <v>6.16990136</v>
      </c>
      <c r="I235" s="137">
        <v>0.10833436</v>
      </c>
      <c r="J235" s="137">
        <v>3.03194453</v>
      </c>
      <c r="K235" s="120">
        <f t="shared" si="2"/>
        <v>56.9523959</v>
      </c>
      <c r="L235" s="121">
        <v>-0.491</v>
      </c>
      <c r="M235" s="121">
        <v>-1.426</v>
      </c>
      <c r="N235" s="122">
        <f t="shared" si="4"/>
        <v>0.935</v>
      </c>
      <c r="O235" s="120">
        <v>43.6</v>
      </c>
      <c r="P235" s="120">
        <v>3.2427214224598933</v>
      </c>
      <c r="Q235" s="123">
        <v>3.554342897756512</v>
      </c>
      <c r="R235" s="120">
        <v>0.0</v>
      </c>
      <c r="S235" s="120">
        <v>1.0960987500000003</v>
      </c>
      <c r="T235" s="15"/>
      <c r="U235" s="161"/>
      <c r="AE235" s="15"/>
      <c r="AF235" s="15"/>
    </row>
    <row r="236" ht="15.0" customHeight="1">
      <c r="A236" s="134" t="s">
        <v>256</v>
      </c>
      <c r="B236" s="3" t="s">
        <v>250</v>
      </c>
      <c r="C236" s="3" t="s">
        <v>94</v>
      </c>
      <c r="D236" s="3" t="s">
        <v>251</v>
      </c>
      <c r="E236" s="8">
        <v>1.0</v>
      </c>
      <c r="F236" s="183">
        <f t="shared" si="1"/>
        <v>8</v>
      </c>
      <c r="G236" s="165" t="s">
        <v>233</v>
      </c>
      <c r="H236" s="137">
        <v>3.17030307</v>
      </c>
      <c r="I236" s="137">
        <v>0.05549812</v>
      </c>
      <c r="J236" s="137">
        <v>1.99822462</v>
      </c>
      <c r="K236" s="120">
        <f t="shared" si="2"/>
        <v>57.12451287</v>
      </c>
      <c r="L236" s="121">
        <v>-0.315</v>
      </c>
      <c r="M236" s="121">
        <v>-1.31</v>
      </c>
      <c r="N236" s="122">
        <f t="shared" si="4"/>
        <v>0.995</v>
      </c>
      <c r="O236" s="120">
        <v>43.6</v>
      </c>
      <c r="P236" s="120">
        <v>2.0082659497487434</v>
      </c>
      <c r="Q236" s="123">
        <v>2.259958005112152</v>
      </c>
      <c r="R236" s="120">
        <v>0.0</v>
      </c>
      <c r="S236" s="120">
        <v>1.1253280500000002</v>
      </c>
      <c r="T236" s="15"/>
      <c r="U236" s="161"/>
      <c r="AE236" s="15"/>
      <c r="AF236" s="15"/>
    </row>
    <row r="237" ht="15.0" customHeight="1">
      <c r="A237" s="134" t="s">
        <v>256</v>
      </c>
      <c r="B237" s="3" t="s">
        <v>250</v>
      </c>
      <c r="C237" s="3" t="s">
        <v>94</v>
      </c>
      <c r="D237" s="3" t="s">
        <v>251</v>
      </c>
      <c r="E237" s="8">
        <v>2.0</v>
      </c>
      <c r="F237" s="183">
        <f t="shared" si="1"/>
        <v>8</v>
      </c>
      <c r="G237" s="165" t="s">
        <v>233</v>
      </c>
      <c r="H237" s="137">
        <v>3.56704675</v>
      </c>
      <c r="I237" s="137">
        <v>0.05042096</v>
      </c>
      <c r="J237" s="137">
        <v>2.59866633</v>
      </c>
      <c r="K237" s="120">
        <f t="shared" si="2"/>
        <v>70.74531604</v>
      </c>
      <c r="L237" s="121">
        <v>-0.31</v>
      </c>
      <c r="M237" s="121">
        <v>-1.38</v>
      </c>
      <c r="N237" s="122">
        <f t="shared" si="4"/>
        <v>1.07</v>
      </c>
      <c r="O237" s="120">
        <v>36.8</v>
      </c>
      <c r="P237" s="120">
        <v>2.4286601214953274</v>
      </c>
      <c r="Q237" s="123">
        <v>2.413593199833595</v>
      </c>
      <c r="R237" s="120">
        <v>0.0</v>
      </c>
      <c r="S237" s="120">
        <v>0.9937962000000001</v>
      </c>
      <c r="T237" s="15"/>
      <c r="U237" s="161"/>
      <c r="AE237" s="15"/>
      <c r="AF237" s="15"/>
    </row>
    <row r="238" ht="15.0" customHeight="1">
      <c r="A238" s="134" t="s">
        <v>256</v>
      </c>
      <c r="B238" s="3" t="s">
        <v>250</v>
      </c>
      <c r="C238" s="3" t="s">
        <v>94</v>
      </c>
      <c r="D238" s="3" t="s">
        <v>251</v>
      </c>
      <c r="E238" s="8">
        <v>3.0</v>
      </c>
      <c r="F238" s="183">
        <f t="shared" si="1"/>
        <v>8</v>
      </c>
      <c r="G238" s="165" t="s">
        <v>233</v>
      </c>
      <c r="H238" s="137">
        <v>8.04459155</v>
      </c>
      <c r="I238" s="137">
        <v>0.11116483</v>
      </c>
      <c r="J238" s="137">
        <v>3.60539999</v>
      </c>
      <c r="K238" s="120">
        <f t="shared" si="2"/>
        <v>72.366337</v>
      </c>
      <c r="L238" s="121">
        <v>-0.32</v>
      </c>
      <c r="M238" s="121">
        <v>-1.422</v>
      </c>
      <c r="N238" s="122">
        <f t="shared" si="4"/>
        <v>1.102</v>
      </c>
      <c r="O238" s="120">
        <v>43.4</v>
      </c>
      <c r="P238" s="120">
        <v>3.271687831215971</v>
      </c>
      <c r="Q238" s="123">
        <v>3.538278369623557</v>
      </c>
      <c r="R238" s="120">
        <v>0.0</v>
      </c>
      <c r="S238" s="120">
        <v>1.0814841000000002</v>
      </c>
      <c r="T238" s="15"/>
      <c r="U238" s="161"/>
      <c r="AE238" s="15"/>
      <c r="AF238" s="15"/>
    </row>
    <row r="239" ht="15.0" customHeight="1">
      <c r="A239" s="134" t="s">
        <v>256</v>
      </c>
      <c r="B239" s="3" t="s">
        <v>250</v>
      </c>
      <c r="C239" s="3" t="s">
        <v>94</v>
      </c>
      <c r="D239" s="3" t="s">
        <v>251</v>
      </c>
      <c r="E239" s="8">
        <v>4.0</v>
      </c>
      <c r="F239" s="183">
        <f t="shared" si="1"/>
        <v>8</v>
      </c>
      <c r="G239" s="165" t="s">
        <v>233</v>
      </c>
      <c r="H239" s="137">
        <v>3.75227282</v>
      </c>
      <c r="I239" s="137">
        <v>0.04621938</v>
      </c>
      <c r="J239" s="137">
        <v>1.71275416</v>
      </c>
      <c r="K239" s="120">
        <f t="shared" si="2"/>
        <v>81.18397131</v>
      </c>
      <c r="L239" s="121">
        <v>-0.38</v>
      </c>
      <c r="M239" s="121">
        <v>-1.312</v>
      </c>
      <c r="N239" s="122">
        <f t="shared" si="4"/>
        <v>0.932</v>
      </c>
      <c r="O239" s="120">
        <v>47.4</v>
      </c>
      <c r="P239" s="120">
        <v>1.8377190557939913</v>
      </c>
      <c r="Q239" s="123">
        <v>1.9337486975106957</v>
      </c>
      <c r="R239" s="120">
        <v>0.0</v>
      </c>
      <c r="S239" s="120">
        <v>1.0522548000000003</v>
      </c>
      <c r="T239" s="15"/>
      <c r="U239" s="161"/>
      <c r="AE239" s="15"/>
      <c r="AF239" s="15"/>
    </row>
    <row r="240" ht="15.0" customHeight="1">
      <c r="A240" s="134" t="s">
        <v>256</v>
      </c>
      <c r="B240" s="3" t="s">
        <v>250</v>
      </c>
      <c r="C240" s="3" t="s">
        <v>94</v>
      </c>
      <c r="D240" s="3" t="s">
        <v>251</v>
      </c>
      <c r="E240" s="8">
        <v>5.0</v>
      </c>
      <c r="F240" s="183">
        <f t="shared" si="1"/>
        <v>8</v>
      </c>
      <c r="G240" s="165" t="s">
        <v>233</v>
      </c>
      <c r="H240" s="137">
        <v>6.47362106</v>
      </c>
      <c r="I240" s="137">
        <v>0.08230672</v>
      </c>
      <c r="J240" s="137">
        <v>3.27140122</v>
      </c>
      <c r="K240" s="120">
        <f t="shared" si="2"/>
        <v>78.65239995</v>
      </c>
      <c r="L240" s="121">
        <v>-0.517</v>
      </c>
      <c r="M240" s="121">
        <v>-1.47</v>
      </c>
      <c r="N240" s="122">
        <f t="shared" si="4"/>
        <v>0.953</v>
      </c>
      <c r="O240" s="120">
        <v>34.5</v>
      </c>
      <c r="P240" s="120">
        <v>3.4327400000000003</v>
      </c>
      <c r="Q240" s="123">
        <v>3.0602659121010007</v>
      </c>
      <c r="R240" s="120">
        <v>0.0</v>
      </c>
      <c r="S240" s="120">
        <v>0.8914936500000001</v>
      </c>
      <c r="T240" s="15"/>
      <c r="U240" s="161"/>
      <c r="AE240" s="15"/>
      <c r="AF240" s="15"/>
    </row>
    <row r="241" ht="15.0" customHeight="1">
      <c r="A241" s="134" t="s">
        <v>256</v>
      </c>
      <c r="B241" s="3" t="s">
        <v>250</v>
      </c>
      <c r="C241" s="3" t="s">
        <v>94</v>
      </c>
      <c r="D241" s="3" t="s">
        <v>251</v>
      </c>
      <c r="E241" s="8">
        <v>6.0</v>
      </c>
      <c r="F241" s="183">
        <f t="shared" si="1"/>
        <v>8</v>
      </c>
      <c r="G241" s="165" t="s">
        <v>233</v>
      </c>
      <c r="H241" s="137">
        <v>6.42695211</v>
      </c>
      <c r="I241" s="137">
        <v>0.12010264</v>
      </c>
      <c r="J241" s="137">
        <v>3.68220088</v>
      </c>
      <c r="K241" s="120">
        <f t="shared" si="2"/>
        <v>53.51216351</v>
      </c>
      <c r="L241" s="121">
        <v>-0.34</v>
      </c>
      <c r="M241" s="121">
        <v>-1.002</v>
      </c>
      <c r="N241" s="122">
        <f t="shared" si="4"/>
        <v>0.662</v>
      </c>
      <c r="O241" s="120">
        <v>34.5</v>
      </c>
      <c r="P241" s="120">
        <v>5.562236978851964</v>
      </c>
      <c r="Q241" s="123">
        <v>6.096760999723417</v>
      </c>
      <c r="R241" s="120">
        <v>0.0</v>
      </c>
      <c r="S241" s="120">
        <v>1.0960987500000003</v>
      </c>
      <c r="T241" s="15"/>
      <c r="U241" s="161"/>
      <c r="AE241" s="15"/>
      <c r="AF241" s="15"/>
    </row>
    <row r="242" ht="15.0" customHeight="1">
      <c r="A242" s="134" t="s">
        <v>249</v>
      </c>
      <c r="B242" s="3" t="s">
        <v>239</v>
      </c>
      <c r="C242" s="3" t="s">
        <v>101</v>
      </c>
      <c r="D242" s="135" t="s">
        <v>240</v>
      </c>
      <c r="E242" s="8">
        <v>1.0</v>
      </c>
      <c r="F242" s="183">
        <f t="shared" si="1"/>
        <v>9</v>
      </c>
      <c r="G242" s="165" t="s">
        <v>233</v>
      </c>
      <c r="H242" s="137">
        <v>8.2565027</v>
      </c>
      <c r="I242" s="137">
        <v>0.12522638</v>
      </c>
      <c r="J242" s="137">
        <v>3.97306805</v>
      </c>
      <c r="K242" s="120">
        <f t="shared" si="2"/>
        <v>65.932615</v>
      </c>
      <c r="L242" s="121">
        <v>-0.426</v>
      </c>
      <c r="M242" s="121">
        <v>-1.443</v>
      </c>
      <c r="N242" s="122">
        <f t="shared" si="4"/>
        <v>1.017</v>
      </c>
      <c r="O242" s="120">
        <v>44.4</v>
      </c>
      <c r="P242" s="120">
        <v>3.9066549164208455</v>
      </c>
      <c r="Q242" s="123">
        <v>2.968908502262036</v>
      </c>
      <c r="R242" s="120">
        <v>0.0</v>
      </c>
      <c r="S242" s="120">
        <v>0.7599618000000001</v>
      </c>
      <c r="T242" s="15"/>
      <c r="U242" s="161"/>
      <c r="AE242" s="15"/>
      <c r="AF242" s="15"/>
    </row>
    <row r="243" ht="15.0" customHeight="1">
      <c r="A243" s="134" t="s">
        <v>249</v>
      </c>
      <c r="B243" s="3" t="s">
        <v>239</v>
      </c>
      <c r="C243" s="3" t="s">
        <v>101</v>
      </c>
      <c r="D243" s="135" t="s">
        <v>240</v>
      </c>
      <c r="E243" s="8">
        <v>2.0</v>
      </c>
      <c r="F243" s="183">
        <f t="shared" si="1"/>
        <v>9</v>
      </c>
      <c r="G243" s="165" t="s">
        <v>233</v>
      </c>
      <c r="H243" s="137">
        <v>4.69871017</v>
      </c>
      <c r="I243" s="137">
        <v>0.07324114</v>
      </c>
      <c r="J243" s="137">
        <v>3.54086764</v>
      </c>
      <c r="K243" s="120">
        <f t="shared" si="2"/>
        <v>64.15397371</v>
      </c>
      <c r="L243" s="121">
        <v>-0.445</v>
      </c>
      <c r="M243" s="121">
        <v>-1.35</v>
      </c>
      <c r="N243" s="122">
        <f t="shared" si="4"/>
        <v>0.905</v>
      </c>
      <c r="O243" s="120">
        <v>44.9</v>
      </c>
      <c r="P243" s="120">
        <v>3.9125609281767955</v>
      </c>
      <c r="Q243" s="123">
        <v>3.773926765552615</v>
      </c>
      <c r="R243" s="120">
        <v>0.0</v>
      </c>
      <c r="S243" s="120">
        <v>0.9645669000000001</v>
      </c>
      <c r="T243" s="15"/>
      <c r="U243" s="161"/>
      <c r="AE243" s="15"/>
      <c r="AF243" s="15"/>
    </row>
    <row r="244" ht="15.0" customHeight="1">
      <c r="A244" s="134" t="s">
        <v>249</v>
      </c>
      <c r="B244" s="3" t="s">
        <v>239</v>
      </c>
      <c r="C244" s="3" t="s">
        <v>101</v>
      </c>
      <c r="D244" s="135" t="s">
        <v>240</v>
      </c>
      <c r="E244" s="8">
        <v>3.0</v>
      </c>
      <c r="F244" s="183">
        <f t="shared" si="1"/>
        <v>9</v>
      </c>
      <c r="G244" s="165" t="s">
        <v>233</v>
      </c>
      <c r="H244" s="137">
        <v>2.63878364</v>
      </c>
      <c r="I244" s="137">
        <v>0.03772557</v>
      </c>
      <c r="J244" s="137">
        <v>1.53459934</v>
      </c>
      <c r="K244" s="120">
        <f t="shared" si="2"/>
        <v>69.94681962</v>
      </c>
      <c r="L244" s="121">
        <v>-0.581</v>
      </c>
      <c r="M244" s="121">
        <v>-1.452</v>
      </c>
      <c r="N244" s="122">
        <f t="shared" si="4"/>
        <v>0.871</v>
      </c>
      <c r="O244" s="120">
        <v>41.3</v>
      </c>
      <c r="P244" s="120">
        <v>1.7618821354764638</v>
      </c>
      <c r="Q244" s="123">
        <v>1.8024503525868778</v>
      </c>
      <c r="R244" s="120">
        <v>0.0</v>
      </c>
      <c r="S244" s="120">
        <v>1.0230255000000004</v>
      </c>
      <c r="T244" s="15"/>
      <c r="U244" s="161"/>
      <c r="AE244" s="15"/>
      <c r="AF244" s="15"/>
    </row>
    <row r="245" ht="15.0" customHeight="1">
      <c r="A245" s="134" t="s">
        <v>249</v>
      </c>
      <c r="B245" s="3" t="s">
        <v>239</v>
      </c>
      <c r="C245" s="3" t="s">
        <v>101</v>
      </c>
      <c r="D245" s="135" t="s">
        <v>240</v>
      </c>
      <c r="E245" s="8">
        <v>4.0</v>
      </c>
      <c r="F245" s="183">
        <f t="shared" si="1"/>
        <v>9</v>
      </c>
      <c r="G245" s="165" t="s">
        <v>233</v>
      </c>
      <c r="H245" s="137">
        <v>3.40946168</v>
      </c>
      <c r="I245" s="137">
        <v>0.03328406</v>
      </c>
      <c r="J245" s="137">
        <v>1.35603062</v>
      </c>
      <c r="K245" s="120">
        <f t="shared" si="2"/>
        <v>102.4352702</v>
      </c>
      <c r="L245" s="121">
        <v>-0.578</v>
      </c>
      <c r="M245" s="121">
        <v>-1.45</v>
      </c>
      <c r="N245" s="122">
        <f t="shared" si="4"/>
        <v>0.872</v>
      </c>
      <c r="O245" s="120">
        <v>39.1</v>
      </c>
      <c r="P245" s="120">
        <v>1.5550809862385322</v>
      </c>
      <c r="Q245" s="123">
        <v>1.5908875034871681</v>
      </c>
      <c r="R245" s="120">
        <v>0.0</v>
      </c>
      <c r="S245" s="120">
        <v>1.0230255000000004</v>
      </c>
      <c r="T245" s="15"/>
      <c r="U245" s="161"/>
      <c r="AE245" s="15"/>
      <c r="AF245" s="15"/>
    </row>
    <row r="246" ht="15.0" customHeight="1">
      <c r="A246" s="134" t="s">
        <v>249</v>
      </c>
      <c r="B246" s="3" t="s">
        <v>239</v>
      </c>
      <c r="C246" s="3" t="s">
        <v>101</v>
      </c>
      <c r="D246" s="135" t="s">
        <v>240</v>
      </c>
      <c r="E246" s="8">
        <v>5.0</v>
      </c>
      <c r="F246" s="183">
        <f t="shared" si="1"/>
        <v>9</v>
      </c>
      <c r="G246" s="165" t="s">
        <v>233</v>
      </c>
      <c r="H246" s="137">
        <v>3.07289176</v>
      </c>
      <c r="I246" s="137">
        <v>0.04361313</v>
      </c>
      <c r="J246" s="137">
        <v>1.95682668</v>
      </c>
      <c r="K246" s="120">
        <f t="shared" si="2"/>
        <v>70.45795062</v>
      </c>
      <c r="L246" s="121">
        <v>-0.466</v>
      </c>
      <c r="M246" s="121">
        <v>-1.45</v>
      </c>
      <c r="N246" s="122">
        <f t="shared" si="4"/>
        <v>0.984</v>
      </c>
      <c r="O246" s="120">
        <v>36.3</v>
      </c>
      <c r="P246" s="120">
        <v>1.988645</v>
      </c>
      <c r="Q246" s="123">
        <v>2.3541314025892506</v>
      </c>
      <c r="R246" s="120">
        <v>0.0</v>
      </c>
      <c r="S246" s="120">
        <v>1.1837866500000003</v>
      </c>
      <c r="T246" s="15"/>
      <c r="U246" s="161"/>
      <c r="AE246" s="15"/>
      <c r="AF246" s="15"/>
    </row>
    <row r="247" ht="15.0" customHeight="1">
      <c r="A247" s="134" t="s">
        <v>249</v>
      </c>
      <c r="B247" s="3" t="s">
        <v>239</v>
      </c>
      <c r="C247" s="3" t="s">
        <v>101</v>
      </c>
      <c r="D247" s="135" t="s">
        <v>240</v>
      </c>
      <c r="E247" s="8">
        <v>6.0</v>
      </c>
      <c r="F247" s="183">
        <f t="shared" si="1"/>
        <v>9</v>
      </c>
      <c r="G247" s="165" t="s">
        <v>233</v>
      </c>
      <c r="H247" s="137">
        <v>3.54722326</v>
      </c>
      <c r="I247" s="137">
        <v>0.08984978</v>
      </c>
      <c r="J247" s="137">
        <v>2.7547759</v>
      </c>
      <c r="K247" s="120">
        <f t="shared" si="2"/>
        <v>39.47948743</v>
      </c>
      <c r="L247" s="121">
        <v>-0.348</v>
      </c>
      <c r="M247" s="121">
        <v>-1.523</v>
      </c>
      <c r="N247" s="122">
        <f t="shared" si="4"/>
        <v>1.175</v>
      </c>
      <c r="O247" s="120">
        <v>40.9</v>
      </c>
      <c r="P247" s="120">
        <v>2.344490127659575</v>
      </c>
      <c r="Q247" s="123">
        <v>2.5355287956708006</v>
      </c>
      <c r="R247" s="120">
        <v>0.0</v>
      </c>
      <c r="S247" s="120">
        <v>1.0814841000000002</v>
      </c>
      <c r="T247" s="15"/>
      <c r="U247" s="161"/>
      <c r="AE247" s="15"/>
      <c r="AF247" s="15"/>
    </row>
    <row r="248" ht="15.0" customHeight="1">
      <c r="A248" s="134" t="s">
        <v>256</v>
      </c>
      <c r="B248" s="3" t="s">
        <v>258</v>
      </c>
      <c r="C248" s="3" t="s">
        <v>246</v>
      </c>
      <c r="D248" s="3" t="s">
        <v>251</v>
      </c>
      <c r="E248" s="8">
        <v>1.0</v>
      </c>
      <c r="F248" s="183">
        <f t="shared" si="1"/>
        <v>10</v>
      </c>
      <c r="G248" s="165" t="s">
        <v>233</v>
      </c>
      <c r="H248" s="137">
        <v>5.43338014</v>
      </c>
      <c r="I248" s="137">
        <v>0.14975551</v>
      </c>
      <c r="J248" s="137">
        <v>4.3147828</v>
      </c>
      <c r="K248" s="120">
        <f t="shared" si="2"/>
        <v>36.28167097</v>
      </c>
      <c r="L248" s="121">
        <v>-0.33</v>
      </c>
      <c r="M248" s="121">
        <v>-1.481</v>
      </c>
      <c r="N248" s="122">
        <f t="shared" si="4"/>
        <v>1.151</v>
      </c>
      <c r="O248" s="120">
        <v>47.4</v>
      </c>
      <c r="P248" s="120">
        <v>3.748725282363162</v>
      </c>
      <c r="Q248" s="123">
        <v>3.67068263250855</v>
      </c>
      <c r="R248" s="120">
        <v>0.0</v>
      </c>
      <c r="S248" s="120">
        <v>0.9791815500000003</v>
      </c>
      <c r="T248" s="15"/>
      <c r="U248" s="161"/>
      <c r="AE248" s="15"/>
      <c r="AF248" s="15"/>
    </row>
    <row r="249" ht="15.0" customHeight="1">
      <c r="A249" s="134" t="s">
        <v>256</v>
      </c>
      <c r="B249" s="3" t="s">
        <v>258</v>
      </c>
      <c r="C249" s="3" t="s">
        <v>246</v>
      </c>
      <c r="D249" s="3" t="s">
        <v>251</v>
      </c>
      <c r="E249" s="8">
        <v>2.0</v>
      </c>
      <c r="F249" s="183">
        <f t="shared" si="1"/>
        <v>10</v>
      </c>
      <c r="G249" s="165" t="s">
        <v>233</v>
      </c>
      <c r="H249" s="137">
        <v>0.96598274</v>
      </c>
      <c r="I249" s="137">
        <v>0.01988061</v>
      </c>
      <c r="J249" s="137">
        <v>1.27886073</v>
      </c>
      <c r="K249" s="120">
        <f t="shared" si="2"/>
        <v>48.58919017</v>
      </c>
      <c r="L249" s="121">
        <v>-0.275</v>
      </c>
      <c r="M249" s="121">
        <v>-1.27</v>
      </c>
      <c r="N249" s="122">
        <f t="shared" si="4"/>
        <v>0.995</v>
      </c>
      <c r="O249" s="120">
        <v>63.0</v>
      </c>
      <c r="P249" s="120">
        <v>1.2852871658291456</v>
      </c>
      <c r="Q249" s="123">
        <v>1.070689258450841</v>
      </c>
      <c r="R249" s="120">
        <v>0.0</v>
      </c>
      <c r="S249" s="120">
        <v>0.8330350500000002</v>
      </c>
      <c r="T249" s="15"/>
      <c r="U249" s="161"/>
      <c r="AE249" s="15"/>
      <c r="AF249" s="15"/>
    </row>
    <row r="250" ht="15.0" customHeight="1">
      <c r="A250" s="134" t="s">
        <v>256</v>
      </c>
      <c r="B250" s="3" t="s">
        <v>258</v>
      </c>
      <c r="C250" s="3" t="s">
        <v>246</v>
      </c>
      <c r="D250" s="3" t="s">
        <v>251</v>
      </c>
      <c r="E250" s="8">
        <v>3.0</v>
      </c>
      <c r="F250" s="183">
        <f t="shared" si="1"/>
        <v>10</v>
      </c>
      <c r="G250" s="165" t="s">
        <v>233</v>
      </c>
      <c r="H250" s="137">
        <v>4.936579</v>
      </c>
      <c r="I250" s="137">
        <v>0.06567314</v>
      </c>
      <c r="J250" s="137">
        <v>2.62018816</v>
      </c>
      <c r="K250" s="120">
        <f t="shared" si="2"/>
        <v>75.1689199</v>
      </c>
      <c r="L250" s="121">
        <v>-0.34</v>
      </c>
      <c r="M250" s="121">
        <v>-1.39</v>
      </c>
      <c r="N250" s="122">
        <f t="shared" si="4"/>
        <v>1.05</v>
      </c>
      <c r="O250" s="120">
        <v>42.0</v>
      </c>
      <c r="P250" s="120">
        <v>2.495417295238096</v>
      </c>
      <c r="Q250" s="123">
        <v>3.063450631403521</v>
      </c>
      <c r="R250" s="120">
        <v>0.0</v>
      </c>
      <c r="S250" s="120">
        <v>1.2276306000000001</v>
      </c>
      <c r="T250" s="15"/>
      <c r="U250" s="161"/>
      <c r="AE250" s="15"/>
      <c r="AF250" s="15"/>
    </row>
    <row r="251" ht="15.0" customHeight="1">
      <c r="A251" s="134" t="s">
        <v>256</v>
      </c>
      <c r="B251" s="3" t="s">
        <v>258</v>
      </c>
      <c r="C251" s="3" t="s">
        <v>246</v>
      </c>
      <c r="D251" s="3" t="s">
        <v>251</v>
      </c>
      <c r="E251" s="8">
        <v>4.0</v>
      </c>
      <c r="F251" s="183">
        <f t="shared" si="1"/>
        <v>10</v>
      </c>
      <c r="G251" s="165" t="s">
        <v>233</v>
      </c>
      <c r="H251" s="137">
        <v>7.24464923</v>
      </c>
      <c r="I251" s="137">
        <v>0.07049519</v>
      </c>
      <c r="J251" s="137">
        <v>2.72405151</v>
      </c>
      <c r="K251" s="120">
        <f t="shared" si="2"/>
        <v>102.7679935</v>
      </c>
      <c r="L251" s="121">
        <v>-0.52</v>
      </c>
      <c r="M251" s="121">
        <v>-1.348</v>
      </c>
      <c r="N251" s="122">
        <f t="shared" si="4"/>
        <v>0.828</v>
      </c>
      <c r="O251" s="120">
        <v>42.7</v>
      </c>
      <c r="P251" s="120">
        <v>3.289917282608695</v>
      </c>
      <c r="Q251" s="123">
        <v>3.942641148370728</v>
      </c>
      <c r="R251" s="120">
        <v>0.0</v>
      </c>
      <c r="S251" s="120">
        <v>1.1984013000000002</v>
      </c>
      <c r="T251" s="15"/>
      <c r="U251" s="161"/>
      <c r="AE251" s="15"/>
      <c r="AF251" s="15"/>
    </row>
    <row r="252" ht="15.0" customHeight="1">
      <c r="A252" s="134" t="s">
        <v>256</v>
      </c>
      <c r="B252" s="3" t="s">
        <v>258</v>
      </c>
      <c r="C252" s="3" t="s">
        <v>246</v>
      </c>
      <c r="D252" s="3" t="s">
        <v>251</v>
      </c>
      <c r="E252" s="8">
        <v>5.0</v>
      </c>
      <c r="F252" s="183">
        <f t="shared" si="1"/>
        <v>10</v>
      </c>
      <c r="G252" s="165" t="s">
        <v>233</v>
      </c>
      <c r="H252" s="137">
        <v>3.3797114</v>
      </c>
      <c r="I252" s="137">
        <v>0.04449769</v>
      </c>
      <c r="J252" s="137">
        <v>2.09384921</v>
      </c>
      <c r="K252" s="120">
        <f t="shared" si="2"/>
        <v>75.95251349</v>
      </c>
      <c r="L252" s="121">
        <v>-0.483</v>
      </c>
      <c r="M252" s="121">
        <v>-1.25</v>
      </c>
      <c r="N252" s="122">
        <f t="shared" si="4"/>
        <v>0.767</v>
      </c>
      <c r="O252" s="120">
        <v>42.7</v>
      </c>
      <c r="P252" s="120">
        <v>2.72992074315515</v>
      </c>
      <c r="Q252" s="123">
        <v>2.992262714171432</v>
      </c>
      <c r="R252" s="120">
        <v>0.0</v>
      </c>
      <c r="S252" s="120">
        <v>1.0960987500000003</v>
      </c>
      <c r="T252" s="15"/>
      <c r="U252" s="161"/>
      <c r="AE252" s="15"/>
      <c r="AF252" s="15"/>
    </row>
    <row r="253" ht="15.0" customHeight="1">
      <c r="A253" s="134" t="s">
        <v>256</v>
      </c>
      <c r="B253" s="3" t="s">
        <v>258</v>
      </c>
      <c r="C253" s="3" t="s">
        <v>246</v>
      </c>
      <c r="D253" s="3" t="s">
        <v>251</v>
      </c>
      <c r="E253" s="8">
        <v>6.0</v>
      </c>
      <c r="F253" s="183">
        <f t="shared" si="1"/>
        <v>10</v>
      </c>
      <c r="G253" s="165" t="s">
        <v>233</v>
      </c>
      <c r="H253" s="137">
        <v>1.36157702</v>
      </c>
      <c r="I253" s="137">
        <v>0.02854403</v>
      </c>
      <c r="J253" s="137">
        <v>1.19388666</v>
      </c>
      <c r="K253" s="120">
        <f t="shared" si="2"/>
        <v>47.70093851</v>
      </c>
      <c r="L253" s="121">
        <v>-0.507</v>
      </c>
      <c r="M253" s="121">
        <v>-1.543</v>
      </c>
      <c r="N253" s="122">
        <f t="shared" si="4"/>
        <v>1.036</v>
      </c>
      <c r="O253" s="120">
        <v>47.6</v>
      </c>
      <c r="P253" s="120">
        <v>1.152400250965251</v>
      </c>
      <c r="Q253" s="123">
        <v>1.2968283272382366</v>
      </c>
      <c r="R253" s="120">
        <v>0.0</v>
      </c>
      <c r="S253" s="120">
        <v>1.1253280500000002</v>
      </c>
      <c r="T253" s="15"/>
      <c r="U253" s="161"/>
      <c r="AE253" s="15"/>
      <c r="AF253" s="15"/>
    </row>
    <row r="254" ht="15.0" customHeight="1">
      <c r="A254" s="134" t="s">
        <v>244</v>
      </c>
      <c r="B254" s="3" t="s">
        <v>257</v>
      </c>
      <c r="C254" s="3" t="s">
        <v>247</v>
      </c>
      <c r="D254" s="135" t="s">
        <v>240</v>
      </c>
      <c r="E254" s="48">
        <v>1.0</v>
      </c>
      <c r="F254" s="183">
        <f t="shared" si="1"/>
        <v>11</v>
      </c>
      <c r="G254" s="165" t="s">
        <v>233</v>
      </c>
      <c r="H254" s="137">
        <v>2.60293758</v>
      </c>
      <c r="I254" s="137">
        <v>0.08135807</v>
      </c>
      <c r="J254" s="137">
        <v>2.87185929</v>
      </c>
      <c r="K254" s="120">
        <f t="shared" si="2"/>
        <v>31.99360039</v>
      </c>
      <c r="L254" s="121">
        <v>-0.637</v>
      </c>
      <c r="M254" s="121">
        <v>-1.52</v>
      </c>
      <c r="N254" s="122">
        <f t="shared" si="4"/>
        <v>0.883</v>
      </c>
      <c r="O254" s="120">
        <v>40.9</v>
      </c>
      <c r="P254" s="120">
        <v>3.2523887768969426</v>
      </c>
      <c r="Q254" s="123">
        <v>3.2322116074028293</v>
      </c>
      <c r="R254" s="120">
        <v>0.0</v>
      </c>
      <c r="S254" s="120">
        <v>0.9937962000000001</v>
      </c>
      <c r="T254" s="15"/>
      <c r="U254" s="161"/>
      <c r="AE254" s="15"/>
      <c r="AF254" s="15"/>
    </row>
    <row r="255" ht="15.0" customHeight="1">
      <c r="A255" s="134" t="s">
        <v>244</v>
      </c>
      <c r="B255" s="3" t="s">
        <v>257</v>
      </c>
      <c r="C255" s="3" t="s">
        <v>247</v>
      </c>
      <c r="D255" s="135" t="s">
        <v>240</v>
      </c>
      <c r="E255" s="48">
        <v>2.0</v>
      </c>
      <c r="F255" s="183">
        <f t="shared" si="1"/>
        <v>11</v>
      </c>
      <c r="G255" s="165" t="s">
        <v>233</v>
      </c>
      <c r="H255" s="137">
        <v>0.80433027</v>
      </c>
      <c r="I255" s="137">
        <v>0.03014276</v>
      </c>
      <c r="J255" s="137">
        <v>1.77305038</v>
      </c>
      <c r="K255" s="120">
        <f t="shared" si="2"/>
        <v>26.6840286</v>
      </c>
      <c r="L255" s="121">
        <v>-0.472</v>
      </c>
      <c r="M255" s="121">
        <v>-1.573</v>
      </c>
      <c r="N255" s="122">
        <f t="shared" si="4"/>
        <v>1.101</v>
      </c>
      <c r="O255" s="120">
        <v>36.4</v>
      </c>
      <c r="P255" s="120">
        <v>1.6103999818346957</v>
      </c>
      <c r="Q255" s="123">
        <v>1.2944487651986243</v>
      </c>
      <c r="R255" s="120">
        <v>0.0</v>
      </c>
      <c r="S255" s="120">
        <v>0.8038057500000002</v>
      </c>
      <c r="T255" s="15"/>
      <c r="U255" s="161"/>
      <c r="AE255" s="15"/>
      <c r="AF255" s="15"/>
    </row>
    <row r="256" ht="15.0" customHeight="1">
      <c r="A256" s="134" t="s">
        <v>244</v>
      </c>
      <c r="B256" s="3" t="s">
        <v>257</v>
      </c>
      <c r="C256" s="3" t="s">
        <v>247</v>
      </c>
      <c r="D256" s="135" t="s">
        <v>240</v>
      </c>
      <c r="E256" s="48">
        <v>3.0</v>
      </c>
      <c r="F256" s="183">
        <f t="shared" si="1"/>
        <v>11</v>
      </c>
      <c r="G256" s="165" t="s">
        <v>233</v>
      </c>
      <c r="H256" s="137">
        <v>6.18652158</v>
      </c>
      <c r="I256" s="137">
        <v>0.07542854</v>
      </c>
      <c r="J256" s="137">
        <v>2.78878248</v>
      </c>
      <c r="K256" s="120">
        <f t="shared" si="2"/>
        <v>82.0183127</v>
      </c>
      <c r="L256" s="121">
        <v>-0.4</v>
      </c>
      <c r="M256" s="121">
        <v>-1.48</v>
      </c>
      <c r="N256" s="122">
        <f t="shared" si="4"/>
        <v>1.08</v>
      </c>
      <c r="O256" s="120">
        <v>39.0</v>
      </c>
      <c r="P256" s="120">
        <v>2.582206</v>
      </c>
      <c r="Q256" s="123">
        <v>2.2265441781561006</v>
      </c>
      <c r="R256" s="120">
        <v>0.0</v>
      </c>
      <c r="S256" s="120">
        <v>0.8622643500000002</v>
      </c>
      <c r="T256" s="15"/>
      <c r="U256" s="161"/>
      <c r="AE256" s="15"/>
      <c r="AF256" s="15"/>
    </row>
    <row r="257" ht="15.0" customHeight="1">
      <c r="A257" s="134" t="s">
        <v>244</v>
      </c>
      <c r="B257" s="3" t="s">
        <v>257</v>
      </c>
      <c r="C257" s="3" t="s">
        <v>247</v>
      </c>
      <c r="D257" s="135" t="s">
        <v>240</v>
      </c>
      <c r="E257" s="48">
        <v>4.0</v>
      </c>
      <c r="F257" s="183">
        <f t="shared" si="1"/>
        <v>11</v>
      </c>
      <c r="G257" s="165" t="s">
        <v>233</v>
      </c>
      <c r="H257" s="137">
        <v>7.48178482</v>
      </c>
      <c r="I257" s="137">
        <v>0.11300288</v>
      </c>
      <c r="J257" s="137">
        <v>4.21764418</v>
      </c>
      <c r="K257" s="120">
        <f t="shared" si="2"/>
        <v>66.20879769</v>
      </c>
      <c r="L257" s="121">
        <v>-0.585</v>
      </c>
      <c r="M257" s="121">
        <v>-1.473</v>
      </c>
      <c r="N257" s="122">
        <f t="shared" si="4"/>
        <v>0.888</v>
      </c>
      <c r="O257" s="120">
        <v>42.2</v>
      </c>
      <c r="P257" s="120">
        <v>4.749599301801801</v>
      </c>
      <c r="Q257" s="123">
        <v>4.928374931961517</v>
      </c>
      <c r="R257" s="120">
        <v>0.0</v>
      </c>
      <c r="S257" s="120">
        <v>1.03764015</v>
      </c>
      <c r="T257" s="15"/>
      <c r="U257" s="161"/>
      <c r="AE257" s="15"/>
      <c r="AF257" s="15"/>
    </row>
    <row r="258" ht="15.0" customHeight="1">
      <c r="A258" s="134" t="s">
        <v>244</v>
      </c>
      <c r="B258" s="3" t="s">
        <v>257</v>
      </c>
      <c r="C258" s="3" t="s">
        <v>247</v>
      </c>
      <c r="D258" s="135" t="s">
        <v>240</v>
      </c>
      <c r="E258" s="48">
        <v>5.0</v>
      </c>
      <c r="F258" s="183">
        <f t="shared" si="1"/>
        <v>11</v>
      </c>
      <c r="G258" s="165" t="s">
        <v>233</v>
      </c>
      <c r="H258" s="137">
        <v>5.55078829</v>
      </c>
      <c r="I258" s="137">
        <v>0.08328612</v>
      </c>
      <c r="J258" s="137">
        <v>3.34622812</v>
      </c>
      <c r="K258" s="120">
        <f t="shared" si="2"/>
        <v>66.64721913</v>
      </c>
      <c r="L258" s="121">
        <v>-0.622</v>
      </c>
      <c r="M258" s="121">
        <v>-1.42</v>
      </c>
      <c r="N258" s="122">
        <f t="shared" si="4"/>
        <v>0.798</v>
      </c>
      <c r="O258" s="120">
        <v>39.8</v>
      </c>
      <c r="P258" s="120">
        <v>4.193268320802005</v>
      </c>
      <c r="Q258" s="123">
        <v>4.47366986711646</v>
      </c>
      <c r="R258" s="120">
        <v>0.0</v>
      </c>
      <c r="S258" s="120">
        <v>1.0668694500000002</v>
      </c>
      <c r="T258" s="15"/>
      <c r="U258" s="161"/>
      <c r="AE258" s="15"/>
      <c r="AF258" s="15"/>
    </row>
    <row r="259" ht="15.0" customHeight="1">
      <c r="A259" s="134" t="s">
        <v>244</v>
      </c>
      <c r="B259" s="3" t="s">
        <v>257</v>
      </c>
      <c r="C259" s="3" t="s">
        <v>247</v>
      </c>
      <c r="D259" s="135" t="s">
        <v>240</v>
      </c>
      <c r="E259" s="48">
        <v>6.0</v>
      </c>
      <c r="F259" s="183">
        <f t="shared" si="1"/>
        <v>11</v>
      </c>
      <c r="G259" s="165" t="s">
        <v>233</v>
      </c>
      <c r="H259" s="137">
        <v>9.3242294</v>
      </c>
      <c r="I259" s="137">
        <v>0.11055134</v>
      </c>
      <c r="J259" s="137">
        <v>3.71929245</v>
      </c>
      <c r="K259" s="120">
        <f t="shared" si="2"/>
        <v>84.34297947</v>
      </c>
      <c r="L259" s="121">
        <v>-0.435</v>
      </c>
      <c r="M259" s="121">
        <v>-1.478</v>
      </c>
      <c r="N259" s="122">
        <f t="shared" si="4"/>
        <v>1.043</v>
      </c>
      <c r="O259" s="120">
        <v>38.3</v>
      </c>
      <c r="P259" s="120">
        <v>3.565956327900288</v>
      </c>
      <c r="Q259" s="123">
        <v>4.273446699098932</v>
      </c>
      <c r="R259" s="120">
        <v>0.14285714285714285</v>
      </c>
      <c r="S259" s="120">
        <v>1.1984013000000002</v>
      </c>
      <c r="T259" s="15"/>
      <c r="U259" s="161"/>
      <c r="AE259" s="15"/>
      <c r="AF259" s="15"/>
    </row>
    <row r="260" ht="15.0" customHeight="1">
      <c r="A260" s="134" t="s">
        <v>238</v>
      </c>
      <c r="B260" s="3" t="s">
        <v>250</v>
      </c>
      <c r="C260" s="3" t="s">
        <v>248</v>
      </c>
      <c r="D260" s="3" t="s">
        <v>251</v>
      </c>
      <c r="E260" s="48">
        <v>1.0</v>
      </c>
      <c r="F260" s="183">
        <f t="shared" si="1"/>
        <v>12</v>
      </c>
      <c r="G260" s="165" t="s">
        <v>233</v>
      </c>
      <c r="H260" s="137">
        <v>8.18765599</v>
      </c>
      <c r="I260" s="137">
        <v>0.13461438</v>
      </c>
      <c r="J260" s="137">
        <v>4.04750768</v>
      </c>
      <c r="K260" s="120">
        <f t="shared" si="2"/>
        <v>60.82304127</v>
      </c>
      <c r="L260" s="121">
        <v>-0.508</v>
      </c>
      <c r="M260" s="121">
        <v>-1.46</v>
      </c>
      <c r="N260" s="122">
        <f t="shared" si="4"/>
        <v>0.952</v>
      </c>
      <c r="O260" s="120">
        <v>41.8</v>
      </c>
      <c r="P260" s="120">
        <v>4.251583697478992</v>
      </c>
      <c r="Q260" s="123">
        <v>3.6038536456929586</v>
      </c>
      <c r="R260" s="120">
        <v>0.0</v>
      </c>
      <c r="S260" s="120">
        <v>0.8476497000000002</v>
      </c>
      <c r="T260" s="15"/>
      <c r="U260" s="161"/>
      <c r="AE260" s="15"/>
      <c r="AF260" s="15"/>
    </row>
    <row r="261" ht="15.0" customHeight="1">
      <c r="A261" s="134" t="s">
        <v>238</v>
      </c>
      <c r="B261" s="3" t="s">
        <v>250</v>
      </c>
      <c r="C261" s="3" t="s">
        <v>248</v>
      </c>
      <c r="D261" s="3" t="s">
        <v>251</v>
      </c>
      <c r="E261" s="48">
        <v>2.0</v>
      </c>
      <c r="F261" s="183">
        <f t="shared" si="1"/>
        <v>12</v>
      </c>
      <c r="G261" s="165" t="s">
        <v>233</v>
      </c>
      <c r="H261" s="137">
        <v>1.0272584</v>
      </c>
      <c r="I261" s="137">
        <v>0.05181315</v>
      </c>
      <c r="J261" s="137">
        <v>2.79716324</v>
      </c>
      <c r="K261" s="120">
        <f t="shared" si="2"/>
        <v>19.82621014</v>
      </c>
      <c r="L261" s="121">
        <v>-0.255</v>
      </c>
      <c r="M261" s="121">
        <v>-0.98</v>
      </c>
      <c r="N261" s="122">
        <f t="shared" si="4"/>
        <v>0.725</v>
      </c>
      <c r="O261" s="120">
        <v>35.2</v>
      </c>
      <c r="P261" s="120">
        <v>3.8581561931034485</v>
      </c>
      <c r="Q261" s="123">
        <v>2.988436927599585</v>
      </c>
      <c r="R261" s="120">
        <v>0.0</v>
      </c>
      <c r="S261" s="120">
        <v>0.7745764500000002</v>
      </c>
      <c r="T261" s="15"/>
      <c r="U261" s="161"/>
      <c r="AE261" s="15"/>
      <c r="AF261" s="15"/>
    </row>
    <row r="262" ht="15.0" customHeight="1">
      <c r="A262" s="134" t="s">
        <v>238</v>
      </c>
      <c r="B262" s="3" t="s">
        <v>250</v>
      </c>
      <c r="C262" s="3" t="s">
        <v>248</v>
      </c>
      <c r="D262" s="3" t="s">
        <v>251</v>
      </c>
      <c r="E262" s="48">
        <v>3.0</v>
      </c>
      <c r="F262" s="183">
        <f t="shared" si="1"/>
        <v>12</v>
      </c>
      <c r="G262" s="165" t="s">
        <v>233</v>
      </c>
      <c r="H262" s="137">
        <v>6.23186097</v>
      </c>
      <c r="I262" s="137">
        <v>0.07612727</v>
      </c>
      <c r="J262" s="137">
        <v>2.91946145</v>
      </c>
      <c r="K262" s="120">
        <f t="shared" si="2"/>
        <v>81.86108565</v>
      </c>
      <c r="L262" s="121">
        <v>-0.401</v>
      </c>
      <c r="M262" s="121">
        <v>-1.352</v>
      </c>
      <c r="N262" s="122">
        <f t="shared" si="4"/>
        <v>0.951</v>
      </c>
      <c r="O262" s="120">
        <v>31.6</v>
      </c>
      <c r="P262" s="120">
        <v>3.0698858569926393</v>
      </c>
      <c r="Q262" s="123">
        <v>3.3648980504923114</v>
      </c>
      <c r="R262" s="120">
        <v>0.0</v>
      </c>
      <c r="S262" s="120">
        <v>1.0960987500000003</v>
      </c>
      <c r="T262" s="15"/>
      <c r="U262" s="161"/>
      <c r="AE262" s="15"/>
      <c r="AF262" s="15"/>
    </row>
    <row r="263" ht="15.0" customHeight="1">
      <c r="A263" s="134" t="s">
        <v>238</v>
      </c>
      <c r="B263" s="3" t="s">
        <v>250</v>
      </c>
      <c r="C263" s="3" t="s">
        <v>248</v>
      </c>
      <c r="D263" s="3" t="s">
        <v>251</v>
      </c>
      <c r="E263" s="48">
        <v>4.0</v>
      </c>
      <c r="F263" s="183">
        <f t="shared" si="1"/>
        <v>12</v>
      </c>
      <c r="G263" s="165" t="s">
        <v>233</v>
      </c>
      <c r="H263" s="137">
        <v>4.41835776</v>
      </c>
      <c r="I263" s="137">
        <v>0.08045949</v>
      </c>
      <c r="J263" s="137">
        <v>3.10107615</v>
      </c>
      <c r="K263" s="120">
        <f t="shared" si="2"/>
        <v>54.9140662</v>
      </c>
      <c r="L263" s="121">
        <v>-0.491</v>
      </c>
      <c r="M263" s="121">
        <v>-1.45</v>
      </c>
      <c r="N263" s="122">
        <f t="shared" si="4"/>
        <v>0.959</v>
      </c>
      <c r="O263" s="120">
        <v>40.1</v>
      </c>
      <c r="P263" s="120">
        <v>3.233656047966632</v>
      </c>
      <c r="Q263" s="123">
        <v>3.6861826061904135</v>
      </c>
      <c r="R263" s="120">
        <v>0.0</v>
      </c>
      <c r="S263" s="120">
        <v>1.1399427000000004</v>
      </c>
      <c r="T263" s="15"/>
      <c r="U263" s="161"/>
      <c r="AE263" s="15"/>
      <c r="AF263" s="15"/>
    </row>
    <row r="264" ht="15.0" customHeight="1">
      <c r="A264" s="134" t="s">
        <v>238</v>
      </c>
      <c r="B264" s="3" t="s">
        <v>250</v>
      </c>
      <c r="C264" s="3" t="s">
        <v>248</v>
      </c>
      <c r="D264" s="3" t="s">
        <v>251</v>
      </c>
      <c r="E264" s="48">
        <v>5.0</v>
      </c>
      <c r="F264" s="183">
        <f t="shared" si="1"/>
        <v>12</v>
      </c>
      <c r="G264" s="165" t="s">
        <v>233</v>
      </c>
      <c r="H264" s="137">
        <v>5.60640056</v>
      </c>
      <c r="I264" s="137">
        <v>0.07626646</v>
      </c>
      <c r="J264" s="137">
        <v>3.34622812</v>
      </c>
      <c r="K264" s="120">
        <f t="shared" si="2"/>
        <v>73.51069605</v>
      </c>
      <c r="L264" s="121">
        <v>-0.41</v>
      </c>
      <c r="M264" s="121">
        <v>-1.343</v>
      </c>
      <c r="N264" s="122">
        <f t="shared" si="4"/>
        <v>0.933</v>
      </c>
      <c r="O264" s="120">
        <v>44.6</v>
      </c>
      <c r="P264" s="120">
        <v>3.5865253161843516</v>
      </c>
      <c r="Q264" s="123">
        <v>4.036017540337371</v>
      </c>
      <c r="R264" s="120">
        <v>0.0</v>
      </c>
      <c r="S264" s="120">
        <v>1.1253280500000002</v>
      </c>
      <c r="T264" s="15"/>
      <c r="U264" s="161"/>
      <c r="AE264" s="15"/>
      <c r="AF264" s="15"/>
    </row>
    <row r="265" ht="15.0" customHeight="1">
      <c r="A265" s="134" t="s">
        <v>238</v>
      </c>
      <c r="B265" s="3" t="s">
        <v>250</v>
      </c>
      <c r="C265" s="3" t="s">
        <v>248</v>
      </c>
      <c r="D265" s="3" t="s">
        <v>251</v>
      </c>
      <c r="E265" s="48">
        <v>6.0</v>
      </c>
      <c r="F265" s="183">
        <f t="shared" si="1"/>
        <v>12</v>
      </c>
      <c r="G265" s="165" t="s">
        <v>233</v>
      </c>
      <c r="H265" s="137">
        <v>4.28812129</v>
      </c>
      <c r="I265" s="137">
        <v>0.06259013</v>
      </c>
      <c r="J265" s="137">
        <v>2.51172936</v>
      </c>
      <c r="K265" s="120">
        <f t="shared" si="2"/>
        <v>68.51114209</v>
      </c>
      <c r="L265" s="121">
        <v>-0.27</v>
      </c>
      <c r="M265" s="121">
        <v>-1.573</v>
      </c>
      <c r="N265" s="122">
        <f t="shared" si="4"/>
        <v>1.303</v>
      </c>
      <c r="O265" s="120">
        <v>34.9</v>
      </c>
      <c r="P265" s="120">
        <v>1.927651082118189</v>
      </c>
      <c r="Q265" s="123">
        <v>2.3946154004186804</v>
      </c>
      <c r="R265" s="120">
        <v>0.42857142857142855</v>
      </c>
      <c r="S265" s="120">
        <v>1.2422452500000003</v>
      </c>
      <c r="T265" s="15"/>
      <c r="U265" s="161"/>
      <c r="AE265" s="15"/>
      <c r="AF265" s="15"/>
    </row>
    <row r="266" ht="15.0" customHeight="1">
      <c r="A266" s="134" t="s">
        <v>238</v>
      </c>
      <c r="B266" s="3" t="s">
        <v>257</v>
      </c>
      <c r="C266" s="3" t="s">
        <v>252</v>
      </c>
      <c r="D266" s="135" t="s">
        <v>240</v>
      </c>
      <c r="E266" s="48">
        <v>1.0</v>
      </c>
      <c r="F266" s="183">
        <f t="shared" si="1"/>
        <v>13</v>
      </c>
      <c r="G266" s="165" t="s">
        <v>233</v>
      </c>
      <c r="H266" s="137">
        <v>2.79721076</v>
      </c>
      <c r="I266" s="137">
        <v>0.06904199</v>
      </c>
      <c r="J266" s="137">
        <v>2.19811979</v>
      </c>
      <c r="K266" s="120">
        <f t="shared" si="2"/>
        <v>40.51463117</v>
      </c>
      <c r="L266" s="121">
        <v>-0.743</v>
      </c>
      <c r="M266" s="121">
        <v>-1.368</v>
      </c>
      <c r="N266" s="122">
        <f t="shared" si="4"/>
        <v>0.625</v>
      </c>
      <c r="O266" s="120">
        <v>42.0</v>
      </c>
      <c r="P266" s="120">
        <v>3.516991663999999</v>
      </c>
      <c r="Q266" s="123">
        <v>2.77557852000299</v>
      </c>
      <c r="R266" s="120">
        <v>0.0</v>
      </c>
      <c r="S266" s="120">
        <v>0.7891911000000001</v>
      </c>
      <c r="T266" s="15"/>
      <c r="U266" s="161"/>
      <c r="AE266" s="15"/>
      <c r="AF266" s="15"/>
    </row>
    <row r="267" ht="15.0" customHeight="1">
      <c r="A267" s="134" t="s">
        <v>238</v>
      </c>
      <c r="B267" s="3" t="s">
        <v>257</v>
      </c>
      <c r="C267" s="3" t="s">
        <v>252</v>
      </c>
      <c r="D267" s="135" t="s">
        <v>240</v>
      </c>
      <c r="E267" s="48">
        <v>2.0</v>
      </c>
      <c r="F267" s="183">
        <f t="shared" si="1"/>
        <v>13</v>
      </c>
      <c r="G267" s="165" t="s">
        <v>233</v>
      </c>
      <c r="H267" s="137">
        <v>2.72181374</v>
      </c>
      <c r="I267" s="137">
        <v>0.05474558</v>
      </c>
      <c r="J267" s="137">
        <v>2.9435791</v>
      </c>
      <c r="K267" s="120">
        <f t="shared" si="2"/>
        <v>49.71750669</v>
      </c>
      <c r="L267" s="121">
        <v>-0.533</v>
      </c>
      <c r="M267" s="121">
        <v>-1.52</v>
      </c>
      <c r="N267" s="122">
        <f t="shared" si="4"/>
        <v>0.987</v>
      </c>
      <c r="O267" s="120">
        <v>43.2</v>
      </c>
      <c r="P267" s="120">
        <v>2.982349645390071</v>
      </c>
      <c r="Q267" s="123">
        <v>3.0074337409050007</v>
      </c>
      <c r="R267" s="120">
        <v>0.42857142857142855</v>
      </c>
      <c r="S267" s="120">
        <v>1.0084108500000002</v>
      </c>
      <c r="T267" s="15"/>
      <c r="U267" s="161"/>
      <c r="AE267" s="15"/>
      <c r="AF267" s="15"/>
    </row>
    <row r="268" ht="15.0" customHeight="1">
      <c r="A268" s="134" t="s">
        <v>238</v>
      </c>
      <c r="B268" s="3" t="s">
        <v>257</v>
      </c>
      <c r="C268" s="3" t="s">
        <v>252</v>
      </c>
      <c r="D268" s="135" t="s">
        <v>240</v>
      </c>
      <c r="E268" s="48">
        <v>3.0</v>
      </c>
      <c r="F268" s="183">
        <f t="shared" si="1"/>
        <v>13</v>
      </c>
      <c r="G268" s="165" t="s">
        <v>233</v>
      </c>
      <c r="H268" s="137">
        <v>2.96165029</v>
      </c>
      <c r="I268" s="137">
        <v>0.03809265</v>
      </c>
      <c r="J268" s="137">
        <v>1.65729023</v>
      </c>
      <c r="K268" s="120">
        <f t="shared" si="2"/>
        <v>77.74860216</v>
      </c>
      <c r="L268" s="121">
        <v>-0.602</v>
      </c>
      <c r="M268" s="121">
        <v>-1.305</v>
      </c>
      <c r="N268" s="122">
        <f t="shared" si="4"/>
        <v>0.703</v>
      </c>
      <c r="O268" s="120">
        <v>43.8</v>
      </c>
      <c r="P268" s="120">
        <v>2.3574540967283073</v>
      </c>
      <c r="Q268" s="123">
        <v>2.411735656032526</v>
      </c>
      <c r="R268" s="120">
        <v>0.0</v>
      </c>
      <c r="S268" s="120">
        <v>1.0230255000000004</v>
      </c>
      <c r="T268" s="15"/>
      <c r="U268" s="161"/>
      <c r="AE268" s="15"/>
      <c r="AF268" s="15"/>
    </row>
    <row r="269" ht="15.0" customHeight="1">
      <c r="A269" s="134" t="s">
        <v>238</v>
      </c>
      <c r="B269" s="3" t="s">
        <v>257</v>
      </c>
      <c r="C269" s="3" t="s">
        <v>252</v>
      </c>
      <c r="D269" s="135" t="s">
        <v>240</v>
      </c>
      <c r="E269" s="48">
        <v>4.0</v>
      </c>
      <c r="F269" s="183">
        <f t="shared" si="1"/>
        <v>13</v>
      </c>
      <c r="G269" s="165" t="s">
        <v>233</v>
      </c>
      <c r="H269" s="137">
        <v>7.64819436</v>
      </c>
      <c r="I269" s="137">
        <v>0.08952041</v>
      </c>
      <c r="J269" s="137">
        <v>3.22697667</v>
      </c>
      <c r="K269" s="120">
        <f t="shared" si="2"/>
        <v>85.43520254</v>
      </c>
      <c r="L269" s="121">
        <v>-0.619</v>
      </c>
      <c r="M269" s="121">
        <v>-1.418</v>
      </c>
      <c r="N269" s="122">
        <f t="shared" si="4"/>
        <v>0.799</v>
      </c>
      <c r="O269" s="120">
        <v>32.5</v>
      </c>
      <c r="P269" s="120">
        <v>4.0387692991239055</v>
      </c>
      <c r="Q269" s="123">
        <v>3.9546883824085604</v>
      </c>
      <c r="R269" s="120">
        <v>0.0</v>
      </c>
      <c r="S269" s="120">
        <v>0.9791815500000003</v>
      </c>
      <c r="T269" s="15"/>
      <c r="U269" s="161"/>
      <c r="AE269" s="15"/>
      <c r="AF269" s="15"/>
    </row>
    <row r="270" ht="15.0" customHeight="1">
      <c r="A270" s="134" t="s">
        <v>238</v>
      </c>
      <c r="B270" s="3" t="s">
        <v>257</v>
      </c>
      <c r="C270" s="3" t="s">
        <v>252</v>
      </c>
      <c r="D270" s="135" t="s">
        <v>240</v>
      </c>
      <c r="E270" s="48">
        <v>5.0</v>
      </c>
      <c r="F270" s="183">
        <f t="shared" si="1"/>
        <v>13</v>
      </c>
      <c r="G270" s="165" t="s">
        <v>233</v>
      </c>
      <c r="H270" s="137">
        <v>4.10318804</v>
      </c>
      <c r="I270" s="137">
        <v>0.05836902</v>
      </c>
      <c r="J270" s="137">
        <v>2.66631222</v>
      </c>
      <c r="K270" s="120">
        <f t="shared" si="2"/>
        <v>70.29736048</v>
      </c>
      <c r="L270" s="121">
        <v>-0.618</v>
      </c>
      <c r="M270" s="121">
        <v>-1.428</v>
      </c>
      <c r="N270" s="122">
        <f t="shared" si="4"/>
        <v>0.81</v>
      </c>
      <c r="O270" s="120">
        <v>34.8</v>
      </c>
      <c r="P270" s="120">
        <v>3.2917434814814817</v>
      </c>
      <c r="Q270" s="123">
        <v>3.2232144843994344</v>
      </c>
      <c r="R270" s="120">
        <v>0.0</v>
      </c>
      <c r="S270" s="120">
        <v>0.9791815500000003</v>
      </c>
      <c r="T270" s="15"/>
      <c r="U270" s="161"/>
      <c r="AE270" s="15"/>
      <c r="AF270" s="15"/>
    </row>
    <row r="271" ht="15.0" customHeight="1">
      <c r="A271" s="134" t="s">
        <v>238</v>
      </c>
      <c r="B271" s="3" t="s">
        <v>257</v>
      </c>
      <c r="C271" s="3" t="s">
        <v>252</v>
      </c>
      <c r="D271" s="135" t="s">
        <v>240</v>
      </c>
      <c r="E271" s="48">
        <v>6.0</v>
      </c>
      <c r="F271" s="183">
        <f t="shared" si="1"/>
        <v>13</v>
      </c>
      <c r="G271" s="165" t="s">
        <v>233</v>
      </c>
      <c r="H271" s="137">
        <v>8.27939664</v>
      </c>
      <c r="I271" s="137">
        <v>0.1112189</v>
      </c>
      <c r="J271" s="137">
        <v>3.89906033</v>
      </c>
      <c r="K271" s="120">
        <f t="shared" si="2"/>
        <v>74.44235323</v>
      </c>
      <c r="L271" s="121">
        <v>-0.656</v>
      </c>
      <c r="M271" s="121">
        <v>-1.728</v>
      </c>
      <c r="N271" s="122">
        <f t="shared" si="4"/>
        <v>1.072</v>
      </c>
      <c r="O271" s="120">
        <v>44.5</v>
      </c>
      <c r="P271" s="120">
        <v>3.6371831436567166</v>
      </c>
      <c r="Q271" s="123">
        <v>4.465117324957181</v>
      </c>
      <c r="R271" s="120">
        <v>0.0</v>
      </c>
      <c r="S271" s="120">
        <v>1.2276306000000001</v>
      </c>
      <c r="T271" s="15"/>
      <c r="U271" s="161"/>
      <c r="AE271" s="15"/>
      <c r="AF271" s="15"/>
    </row>
    <row r="272" ht="15.0" customHeight="1">
      <c r="A272" s="134" t="s">
        <v>238</v>
      </c>
      <c r="B272" s="3" t="s">
        <v>258</v>
      </c>
      <c r="C272" s="3" t="s">
        <v>253</v>
      </c>
      <c r="D272" s="3" t="s">
        <v>251</v>
      </c>
      <c r="E272" s="48">
        <v>1.0</v>
      </c>
      <c r="F272" s="183">
        <f t="shared" si="1"/>
        <v>14</v>
      </c>
      <c r="G272" s="165" t="s">
        <v>233</v>
      </c>
      <c r="H272" s="137">
        <v>5.56786322</v>
      </c>
      <c r="I272" s="137">
        <v>0.08734392</v>
      </c>
      <c r="J272" s="137">
        <v>2.7176588</v>
      </c>
      <c r="K272" s="120">
        <f t="shared" si="2"/>
        <v>63.74643158</v>
      </c>
      <c r="L272" s="121">
        <v>-0.477</v>
      </c>
      <c r="M272" s="121">
        <v>-1.453</v>
      </c>
      <c r="N272" s="122">
        <f t="shared" si="4"/>
        <v>0.976</v>
      </c>
      <c r="O272" s="120">
        <v>53.2</v>
      </c>
      <c r="P272" s="120">
        <v>2.784486475409836</v>
      </c>
      <c r="Q272" s="123">
        <v>2.2788805349995083</v>
      </c>
      <c r="R272" s="120">
        <v>0.0</v>
      </c>
      <c r="S272" s="120">
        <v>0.8184204000000002</v>
      </c>
      <c r="T272" s="15"/>
      <c r="U272" s="161"/>
      <c r="AE272" s="15"/>
      <c r="AF272" s="15"/>
    </row>
    <row r="273" ht="15.0" customHeight="1">
      <c r="A273" s="134" t="s">
        <v>238</v>
      </c>
      <c r="B273" s="3" t="s">
        <v>258</v>
      </c>
      <c r="C273" s="3" t="s">
        <v>253</v>
      </c>
      <c r="D273" s="3" t="s">
        <v>251</v>
      </c>
      <c r="E273" s="48">
        <v>2.0</v>
      </c>
      <c r="F273" s="183">
        <f t="shared" si="1"/>
        <v>14</v>
      </c>
      <c r="G273" s="165" t="s">
        <v>233</v>
      </c>
      <c r="H273" s="137">
        <v>4.32392144</v>
      </c>
      <c r="I273" s="137">
        <v>0.05351884</v>
      </c>
      <c r="J273" s="137">
        <v>2.98350475</v>
      </c>
      <c r="K273" s="120">
        <f t="shared" si="2"/>
        <v>80.79251045</v>
      </c>
      <c r="L273" s="121">
        <v>-0.722</v>
      </c>
      <c r="M273" s="121">
        <v>-1.356</v>
      </c>
      <c r="N273" s="122">
        <f t="shared" si="4"/>
        <v>0.634</v>
      </c>
      <c r="O273" s="120">
        <v>61.3</v>
      </c>
      <c r="P273" s="120">
        <v>4.705843454258674</v>
      </c>
      <c r="Q273" s="123">
        <v>3.5762612620166405</v>
      </c>
      <c r="R273" s="120">
        <v>0.0</v>
      </c>
      <c r="S273" s="120">
        <v>0.7599618000000001</v>
      </c>
      <c r="T273" s="15"/>
      <c r="U273" s="161"/>
      <c r="AE273" s="15"/>
      <c r="AF273" s="15"/>
    </row>
    <row r="274" ht="15.0" customHeight="1">
      <c r="A274" s="134" t="s">
        <v>238</v>
      </c>
      <c r="B274" s="3" t="s">
        <v>258</v>
      </c>
      <c r="C274" s="3" t="s">
        <v>253</v>
      </c>
      <c r="D274" s="3" t="s">
        <v>251</v>
      </c>
      <c r="E274" s="48">
        <v>3.0</v>
      </c>
      <c r="F274" s="183">
        <f t="shared" si="1"/>
        <v>14</v>
      </c>
      <c r="G274" s="165" t="s">
        <v>233</v>
      </c>
      <c r="H274" s="137">
        <v>2.07146279</v>
      </c>
      <c r="I274" s="137">
        <v>0.02459815</v>
      </c>
      <c r="J274" s="137">
        <v>1.05921446</v>
      </c>
      <c r="K274" s="120">
        <f t="shared" si="2"/>
        <v>84.2121375</v>
      </c>
      <c r="L274" s="121">
        <v>-0.48</v>
      </c>
      <c r="M274" s="121">
        <v>-1.507</v>
      </c>
      <c r="N274" s="122">
        <f t="shared" si="4"/>
        <v>1.027</v>
      </c>
      <c r="O274" s="120">
        <v>34.4</v>
      </c>
      <c r="P274" s="120">
        <v>1.0313675365141188</v>
      </c>
      <c r="Q274" s="123">
        <v>1.1606268186987374</v>
      </c>
      <c r="R274" s="120">
        <v>0.0</v>
      </c>
      <c r="S274" s="120">
        <v>1.1253280500000002</v>
      </c>
      <c r="T274" s="15"/>
      <c r="U274" s="161"/>
      <c r="AE274" s="15"/>
      <c r="AF274" s="15"/>
    </row>
    <row r="275" ht="15.0" customHeight="1">
      <c r="A275" s="134" t="s">
        <v>238</v>
      </c>
      <c r="B275" s="3" t="s">
        <v>258</v>
      </c>
      <c r="C275" s="3" t="s">
        <v>253</v>
      </c>
      <c r="D275" s="3" t="s">
        <v>251</v>
      </c>
      <c r="E275" s="48">
        <v>4.0</v>
      </c>
      <c r="F275" s="183">
        <f t="shared" si="1"/>
        <v>14</v>
      </c>
      <c r="G275" s="165" t="s">
        <v>233</v>
      </c>
      <c r="H275" s="137">
        <v>8.77469696</v>
      </c>
      <c r="I275" s="137">
        <v>0.10590107</v>
      </c>
      <c r="J275" s="137">
        <v>3.39717715</v>
      </c>
      <c r="K275" s="120">
        <f t="shared" si="2"/>
        <v>82.85749105</v>
      </c>
      <c r="L275" s="121">
        <v>-0.7</v>
      </c>
      <c r="M275" s="121">
        <v>-1.1391</v>
      </c>
      <c r="N275" s="122">
        <f t="shared" si="4"/>
        <v>0.4391</v>
      </c>
      <c r="O275" s="120">
        <v>56.0</v>
      </c>
      <c r="P275" s="120">
        <v>7.73668219084491</v>
      </c>
      <c r="Q275" s="123">
        <v>7.462547557108484</v>
      </c>
      <c r="R275" s="120">
        <v>0.0</v>
      </c>
      <c r="S275" s="120">
        <v>0.9645669000000001</v>
      </c>
      <c r="T275" s="15"/>
      <c r="U275" s="161"/>
      <c r="AE275" s="15"/>
      <c r="AF275" s="15"/>
    </row>
    <row r="276" ht="15.0" customHeight="1">
      <c r="A276" s="134" t="s">
        <v>238</v>
      </c>
      <c r="B276" s="3" t="s">
        <v>258</v>
      </c>
      <c r="C276" s="3" t="s">
        <v>253</v>
      </c>
      <c r="D276" s="3" t="s">
        <v>251</v>
      </c>
      <c r="E276" s="48">
        <v>5.0</v>
      </c>
      <c r="F276" s="183">
        <f t="shared" si="1"/>
        <v>14</v>
      </c>
      <c r="G276" s="165" t="s">
        <v>233</v>
      </c>
      <c r="H276" s="137">
        <v>3.97260709</v>
      </c>
      <c r="I276" s="137">
        <v>0.04193534</v>
      </c>
      <c r="J276" s="137">
        <v>2.09162417</v>
      </c>
      <c r="K276" s="120">
        <f t="shared" si="2"/>
        <v>94.73172484</v>
      </c>
      <c r="L276" s="121">
        <v>-0.443</v>
      </c>
      <c r="M276" s="121">
        <v>-1.317</v>
      </c>
      <c r="N276" s="122">
        <f t="shared" si="4"/>
        <v>0.874</v>
      </c>
      <c r="O276" s="120">
        <v>44.1</v>
      </c>
      <c r="P276" s="120">
        <v>2.39316266590389</v>
      </c>
      <c r="Q276" s="123">
        <v>2.6231426066439227</v>
      </c>
      <c r="R276" s="120">
        <v>0.0</v>
      </c>
      <c r="S276" s="120">
        <v>1.0960987500000003</v>
      </c>
      <c r="T276" s="15"/>
      <c r="U276" s="161"/>
      <c r="AE276" s="15"/>
      <c r="AF276" s="15"/>
    </row>
    <row r="277" ht="15.0" customHeight="1">
      <c r="A277" s="134" t="s">
        <v>238</v>
      </c>
      <c r="B277" s="3" t="s">
        <v>258</v>
      </c>
      <c r="C277" s="3" t="s">
        <v>253</v>
      </c>
      <c r="D277" s="3" t="s">
        <v>251</v>
      </c>
      <c r="E277" s="48">
        <v>6.0</v>
      </c>
      <c r="F277" s="183">
        <f t="shared" si="1"/>
        <v>14</v>
      </c>
      <c r="G277" s="165" t="s">
        <v>233</v>
      </c>
      <c r="H277" s="137">
        <v>2.82866562</v>
      </c>
      <c r="I277" s="137">
        <v>0.03480757</v>
      </c>
      <c r="J277" s="137">
        <v>1.3698227</v>
      </c>
      <c r="K277" s="120">
        <f t="shared" si="2"/>
        <v>81.26581718</v>
      </c>
      <c r="L277" s="121">
        <v>-0.43</v>
      </c>
      <c r="M277" s="121">
        <v>-1.1591</v>
      </c>
      <c r="N277" s="122">
        <f t="shared" si="4"/>
        <v>0.7291</v>
      </c>
      <c r="O277" s="120">
        <v>37.3</v>
      </c>
      <c r="P277" s="120">
        <v>1.8787857632697846</v>
      </c>
      <c r="Q277" s="123">
        <v>2.16916591205849</v>
      </c>
      <c r="R277" s="120">
        <v>0.0</v>
      </c>
      <c r="S277" s="120">
        <v>1.1545573500000001</v>
      </c>
      <c r="T277" s="15"/>
      <c r="U277" s="161"/>
      <c r="AE277" s="15"/>
      <c r="AF277" s="15"/>
    </row>
    <row r="278" ht="15.0" customHeight="1">
      <c r="A278" s="134" t="s">
        <v>249</v>
      </c>
      <c r="B278" s="3" t="s">
        <v>257</v>
      </c>
      <c r="C278" s="3" t="s">
        <v>254</v>
      </c>
      <c r="D278" s="135" t="s">
        <v>240</v>
      </c>
      <c r="E278" s="48">
        <v>1.0</v>
      </c>
      <c r="F278" s="183">
        <f t="shared" si="1"/>
        <v>15</v>
      </c>
      <c r="G278" s="165" t="s">
        <v>233</v>
      </c>
      <c r="H278" s="137">
        <v>1.52126751</v>
      </c>
      <c r="I278" s="137">
        <v>0.05457551</v>
      </c>
      <c r="J278" s="137">
        <v>1.87885622</v>
      </c>
      <c r="K278" s="120">
        <f t="shared" si="2"/>
        <v>27.87454501</v>
      </c>
      <c r="L278" s="121">
        <v>-0.43</v>
      </c>
      <c r="M278" s="121">
        <v>-1.41</v>
      </c>
      <c r="N278" s="122">
        <f t="shared" si="4"/>
        <v>0.98</v>
      </c>
      <c r="O278" s="120">
        <v>35.8</v>
      </c>
      <c r="P278" s="120">
        <v>1.917200224489796</v>
      </c>
      <c r="Q278" s="123">
        <v>1.8212486669545873</v>
      </c>
      <c r="R278" s="120">
        <v>0.0</v>
      </c>
      <c r="S278" s="120">
        <v>0.9499522500000003</v>
      </c>
      <c r="T278" s="15"/>
      <c r="U278" s="161"/>
      <c r="AE278" s="15"/>
      <c r="AF278" s="15"/>
    </row>
    <row r="279" ht="15.0" customHeight="1">
      <c r="A279" s="134" t="s">
        <v>249</v>
      </c>
      <c r="B279" s="3" t="s">
        <v>257</v>
      </c>
      <c r="C279" s="3" t="s">
        <v>254</v>
      </c>
      <c r="D279" s="135" t="s">
        <v>240</v>
      </c>
      <c r="E279" s="48">
        <v>2.0</v>
      </c>
      <c r="F279" s="183">
        <f t="shared" si="1"/>
        <v>15</v>
      </c>
      <c r="G279" s="165" t="s">
        <v>233</v>
      </c>
      <c r="H279" s="137">
        <v>1.24324065</v>
      </c>
      <c r="I279" s="137">
        <v>0.03120211</v>
      </c>
      <c r="J279" s="137">
        <v>1.69595924</v>
      </c>
      <c r="K279" s="120">
        <f t="shared" si="2"/>
        <v>39.8447621</v>
      </c>
      <c r="L279" s="121">
        <v>-0.468</v>
      </c>
      <c r="M279" s="121">
        <v>-1.408</v>
      </c>
      <c r="N279" s="122">
        <f t="shared" si="4"/>
        <v>0.94</v>
      </c>
      <c r="O279" s="120">
        <v>34.3</v>
      </c>
      <c r="P279" s="120">
        <v>1.8042119574468087</v>
      </c>
      <c r="Q279" s="123">
        <v>1.6348114296018006</v>
      </c>
      <c r="R279" s="120">
        <v>0.0</v>
      </c>
      <c r="S279" s="120">
        <v>0.9061083000000002</v>
      </c>
      <c r="T279" s="15"/>
      <c r="U279" s="161"/>
      <c r="AE279" s="15"/>
      <c r="AF279" s="15"/>
    </row>
    <row r="280" ht="15.0" customHeight="1">
      <c r="A280" s="134" t="s">
        <v>249</v>
      </c>
      <c r="B280" s="3" t="s">
        <v>257</v>
      </c>
      <c r="C280" s="3" t="s">
        <v>254</v>
      </c>
      <c r="D280" s="135" t="s">
        <v>240</v>
      </c>
      <c r="E280" s="48">
        <v>3.0</v>
      </c>
      <c r="F280" s="183">
        <f t="shared" si="1"/>
        <v>15</v>
      </c>
      <c r="G280" s="165" t="s">
        <v>233</v>
      </c>
      <c r="H280" s="137">
        <v>2.95161145</v>
      </c>
      <c r="I280" s="137">
        <v>0.0362725</v>
      </c>
      <c r="J280" s="137">
        <v>1.49974702</v>
      </c>
      <c r="K280" s="120">
        <f t="shared" si="2"/>
        <v>81.3732566</v>
      </c>
      <c r="L280" s="121">
        <v>-0.517</v>
      </c>
      <c r="M280" s="121">
        <v>-1.346</v>
      </c>
      <c r="N280" s="122">
        <f t="shared" si="4"/>
        <v>0.829</v>
      </c>
      <c r="O280" s="120">
        <v>49.4</v>
      </c>
      <c r="P280" s="120">
        <v>1.809103763570567</v>
      </c>
      <c r="Q280" s="123">
        <v>1.8771987005969277</v>
      </c>
      <c r="R280" s="120">
        <v>0.0</v>
      </c>
      <c r="S280" s="120">
        <v>1.03764015</v>
      </c>
      <c r="T280" s="15"/>
      <c r="U280" s="161"/>
      <c r="AE280" s="15"/>
      <c r="AF280" s="15"/>
    </row>
    <row r="281" ht="15.0" customHeight="1">
      <c r="A281" s="134" t="s">
        <v>249</v>
      </c>
      <c r="B281" s="3" t="s">
        <v>257</v>
      </c>
      <c r="C281" s="3" t="s">
        <v>254</v>
      </c>
      <c r="D281" s="135" t="s">
        <v>240</v>
      </c>
      <c r="E281" s="48">
        <v>4.0</v>
      </c>
      <c r="F281" s="183">
        <f t="shared" si="1"/>
        <v>15</v>
      </c>
      <c r="G281" s="165" t="s">
        <v>233</v>
      </c>
      <c r="H281" s="137">
        <v>7.38013738</v>
      </c>
      <c r="I281" s="137">
        <v>0.11775277</v>
      </c>
      <c r="J281" s="137">
        <v>3.49359548</v>
      </c>
      <c r="K281" s="120">
        <f t="shared" si="2"/>
        <v>62.67485156</v>
      </c>
      <c r="L281" s="121">
        <v>-0.552</v>
      </c>
      <c r="M281" s="121">
        <v>-1.57</v>
      </c>
      <c r="N281" s="122">
        <f t="shared" si="4"/>
        <v>1.018</v>
      </c>
      <c r="O281" s="120">
        <v>33.5</v>
      </c>
      <c r="P281" s="120">
        <v>3.4318226719056977</v>
      </c>
      <c r="Q281" s="123">
        <v>3.3603774432017635</v>
      </c>
      <c r="R281" s="120">
        <v>0.14285714285714285</v>
      </c>
      <c r="S281" s="120">
        <v>0.9791815500000003</v>
      </c>
      <c r="T281" s="15"/>
      <c r="U281" s="161"/>
      <c r="AE281" s="15"/>
      <c r="AF281" s="15"/>
    </row>
    <row r="282" ht="15.0" customHeight="1">
      <c r="A282" s="134" t="s">
        <v>249</v>
      </c>
      <c r="B282" s="3" t="s">
        <v>257</v>
      </c>
      <c r="C282" s="3" t="s">
        <v>254</v>
      </c>
      <c r="D282" s="135" t="s">
        <v>240</v>
      </c>
      <c r="E282" s="48">
        <v>5.0</v>
      </c>
      <c r="F282" s="183">
        <f t="shared" si="1"/>
        <v>15</v>
      </c>
      <c r="G282" s="165" t="s">
        <v>233</v>
      </c>
      <c r="H282" s="137">
        <v>3.64031314</v>
      </c>
      <c r="I282" s="137">
        <v>0.04037321</v>
      </c>
      <c r="J282" s="137">
        <v>2.03967114</v>
      </c>
      <c r="K282" s="120">
        <f t="shared" si="2"/>
        <v>90.16655203</v>
      </c>
      <c r="L282" s="121">
        <v>-0.498</v>
      </c>
      <c r="M282" s="121">
        <v>-1.55</v>
      </c>
      <c r="N282" s="122">
        <f t="shared" si="4"/>
        <v>1.052</v>
      </c>
      <c r="O282" s="120">
        <v>43.3</v>
      </c>
      <c r="P282" s="120">
        <v>1.9388508935361215</v>
      </c>
      <c r="Q282" s="123">
        <v>2.0968364136301085</v>
      </c>
      <c r="R282" s="120">
        <v>0.0</v>
      </c>
      <c r="S282" s="120">
        <v>1.0814841000000002</v>
      </c>
      <c r="T282" s="15"/>
      <c r="U282" s="161"/>
      <c r="AE282" s="15"/>
      <c r="AF282" s="15"/>
    </row>
    <row r="283" ht="15.0" customHeight="1">
      <c r="A283" s="134" t="s">
        <v>249</v>
      </c>
      <c r="B283" s="3" t="s">
        <v>257</v>
      </c>
      <c r="C283" s="3" t="s">
        <v>254</v>
      </c>
      <c r="D283" s="135" t="s">
        <v>240</v>
      </c>
      <c r="E283" s="48">
        <v>6.0</v>
      </c>
      <c r="F283" s="183">
        <f t="shared" si="1"/>
        <v>15</v>
      </c>
      <c r="G283" s="165" t="s">
        <v>233</v>
      </c>
      <c r="H283" s="137">
        <v>5.94815711</v>
      </c>
      <c r="I283" s="137">
        <v>0.08977568</v>
      </c>
      <c r="J283" s="137">
        <v>3.55967195</v>
      </c>
      <c r="K283" s="120">
        <f t="shared" si="2"/>
        <v>66.25577339</v>
      </c>
      <c r="L283" s="121">
        <v>-0.708</v>
      </c>
      <c r="M283" s="121">
        <v>-1.534</v>
      </c>
      <c r="N283" s="122">
        <f t="shared" si="4"/>
        <v>0.826</v>
      </c>
      <c r="O283" s="120">
        <v>33.9</v>
      </c>
      <c r="P283" s="120">
        <v>4.3095302058111375</v>
      </c>
      <c r="Q283" s="123">
        <v>4.219812466697969</v>
      </c>
      <c r="R283" s="120">
        <v>0.0</v>
      </c>
      <c r="S283" s="120">
        <v>0.9791815500000003</v>
      </c>
      <c r="T283" s="15"/>
      <c r="U283" s="161"/>
      <c r="AE283" s="15"/>
      <c r="AF283" s="15"/>
    </row>
    <row r="284" ht="15.0" customHeight="1">
      <c r="A284" s="134" t="s">
        <v>244</v>
      </c>
      <c r="B284" s="3" t="s">
        <v>250</v>
      </c>
      <c r="C284" s="3" t="s">
        <v>255</v>
      </c>
      <c r="D284" s="3" t="s">
        <v>251</v>
      </c>
      <c r="E284" s="48">
        <v>1.0</v>
      </c>
      <c r="F284" s="183">
        <f t="shared" si="1"/>
        <v>16</v>
      </c>
      <c r="G284" s="165" t="s">
        <v>233</v>
      </c>
      <c r="H284" s="137">
        <v>6.75313644</v>
      </c>
      <c r="I284" s="137">
        <v>0.08543185</v>
      </c>
      <c r="J284" s="137">
        <v>2.75584315</v>
      </c>
      <c r="K284" s="120">
        <f t="shared" si="2"/>
        <v>79.04705844</v>
      </c>
      <c r="L284" s="121">
        <v>-0.45</v>
      </c>
      <c r="M284" s="121">
        <v>-1.385</v>
      </c>
      <c r="N284" s="122">
        <f t="shared" si="4"/>
        <v>0.935</v>
      </c>
      <c r="O284" s="120">
        <v>40.3</v>
      </c>
      <c r="P284" s="120">
        <v>2.947425828877005</v>
      </c>
      <c r="Q284" s="123">
        <v>2.455309022729848</v>
      </c>
      <c r="R284" s="120">
        <v>0.0</v>
      </c>
      <c r="S284" s="120">
        <v>0.8330350500000002</v>
      </c>
      <c r="T284" s="15"/>
      <c r="U284" s="161"/>
      <c r="AE284" s="15"/>
      <c r="AF284" s="15"/>
    </row>
    <row r="285" ht="15.0" customHeight="1">
      <c r="A285" s="134" t="s">
        <v>244</v>
      </c>
      <c r="B285" s="3" t="s">
        <v>250</v>
      </c>
      <c r="C285" s="3" t="s">
        <v>255</v>
      </c>
      <c r="D285" s="3" t="s">
        <v>251</v>
      </c>
      <c r="E285" s="48">
        <v>2.0</v>
      </c>
      <c r="F285" s="183">
        <f t="shared" si="1"/>
        <v>16</v>
      </c>
      <c r="G285" s="165" t="s">
        <v>233</v>
      </c>
      <c r="H285" s="137">
        <v>4.0485491</v>
      </c>
      <c r="I285" s="137">
        <v>0.05621817</v>
      </c>
      <c r="J285" s="137">
        <v>3.00270969</v>
      </c>
      <c r="K285" s="120">
        <f t="shared" si="2"/>
        <v>72.01495709</v>
      </c>
      <c r="L285" s="121">
        <v>-0.36</v>
      </c>
      <c r="M285" s="121">
        <v>-1.55</v>
      </c>
      <c r="N285" s="122">
        <f t="shared" si="4"/>
        <v>1.19</v>
      </c>
      <c r="O285" s="120">
        <v>41.7</v>
      </c>
      <c r="P285" s="120">
        <v>2.523285453781513</v>
      </c>
      <c r="Q285" s="123">
        <v>2.7657700317830995</v>
      </c>
      <c r="R285" s="120">
        <v>0.14285714285714285</v>
      </c>
      <c r="S285" s="120">
        <v>1.0960987500000003</v>
      </c>
      <c r="T285" s="15"/>
      <c r="U285" s="161"/>
      <c r="AE285" s="15"/>
      <c r="AF285" s="15"/>
    </row>
    <row r="286" ht="15.0" customHeight="1">
      <c r="A286" s="134" t="s">
        <v>244</v>
      </c>
      <c r="B286" s="3" t="s">
        <v>250</v>
      </c>
      <c r="C286" s="3" t="s">
        <v>255</v>
      </c>
      <c r="D286" s="3" t="s">
        <v>251</v>
      </c>
      <c r="E286" s="48">
        <v>3.0</v>
      </c>
      <c r="F286" s="183">
        <f t="shared" si="1"/>
        <v>16</v>
      </c>
      <c r="G286" s="165" t="s">
        <v>233</v>
      </c>
      <c r="H286" s="137">
        <v>7.62899525</v>
      </c>
      <c r="I286" s="137">
        <v>0.10289732</v>
      </c>
      <c r="J286" s="137">
        <v>3.56487881</v>
      </c>
      <c r="K286" s="120">
        <f t="shared" si="2"/>
        <v>74.14182653</v>
      </c>
      <c r="L286" s="121">
        <v>-0.31</v>
      </c>
      <c r="M286" s="121">
        <v>-1.527</v>
      </c>
      <c r="N286" s="122">
        <f t="shared" si="4"/>
        <v>1.217</v>
      </c>
      <c r="O286" s="120">
        <v>30.0</v>
      </c>
      <c r="P286" s="120">
        <v>2.9292348479868533</v>
      </c>
      <c r="Q286" s="123">
        <v>2.8682527187657825</v>
      </c>
      <c r="R286" s="120">
        <v>0.0</v>
      </c>
      <c r="S286" s="120">
        <v>0.9791815500000003</v>
      </c>
      <c r="T286" s="15"/>
      <c r="U286" s="161"/>
      <c r="AE286" s="15"/>
      <c r="AF286" s="15"/>
    </row>
    <row r="287" ht="15.0" customHeight="1">
      <c r="A287" s="134" t="s">
        <v>244</v>
      </c>
      <c r="B287" s="3" t="s">
        <v>250</v>
      </c>
      <c r="C287" s="3" t="s">
        <v>255</v>
      </c>
      <c r="D287" s="3" t="s">
        <v>251</v>
      </c>
      <c r="E287" s="48">
        <v>4.0</v>
      </c>
      <c r="F287" s="183">
        <f t="shared" si="1"/>
        <v>16</v>
      </c>
      <c r="G287" s="165" t="s">
        <v>233</v>
      </c>
      <c r="H287" s="137">
        <v>4.59261823</v>
      </c>
      <c r="I287" s="137">
        <v>0.05122332</v>
      </c>
      <c r="J287" s="137">
        <v>2.00982508</v>
      </c>
      <c r="K287" s="120">
        <f t="shared" si="2"/>
        <v>89.65873805</v>
      </c>
      <c r="L287" s="121">
        <v>-0.32</v>
      </c>
      <c r="M287" s="121">
        <v>-1.548</v>
      </c>
      <c r="N287" s="122">
        <f t="shared" si="4"/>
        <v>1.228</v>
      </c>
      <c r="O287" s="120">
        <v>49.9</v>
      </c>
      <c r="P287" s="120">
        <v>1.6366653745928341</v>
      </c>
      <c r="Q287" s="123">
        <v>1.7700275796426943</v>
      </c>
      <c r="R287" s="120">
        <v>0.0</v>
      </c>
      <c r="S287" s="120">
        <v>1.0814841000000002</v>
      </c>
      <c r="T287" s="15"/>
      <c r="U287" s="161"/>
      <c r="AE287" s="15"/>
      <c r="AF287" s="15"/>
    </row>
    <row r="288" ht="15.0" customHeight="1">
      <c r="A288" s="134" t="s">
        <v>244</v>
      </c>
      <c r="B288" s="3" t="s">
        <v>250</v>
      </c>
      <c r="C288" s="3" t="s">
        <v>255</v>
      </c>
      <c r="D288" s="3" t="s">
        <v>251</v>
      </c>
      <c r="E288" s="48">
        <v>5.0</v>
      </c>
      <c r="F288" s="183">
        <f t="shared" si="1"/>
        <v>16</v>
      </c>
      <c r="G288" s="165" t="s">
        <v>233</v>
      </c>
      <c r="H288" s="137">
        <v>6.39596762</v>
      </c>
      <c r="I288" s="137">
        <v>0.06554808</v>
      </c>
      <c r="J288" s="137">
        <v>3.11815917</v>
      </c>
      <c r="K288" s="120">
        <f t="shared" si="2"/>
        <v>97.57673482</v>
      </c>
      <c r="L288" s="121">
        <v>-0.487</v>
      </c>
      <c r="M288" s="121">
        <v>-1.365</v>
      </c>
      <c r="N288" s="122">
        <f t="shared" si="4"/>
        <v>0.878</v>
      </c>
      <c r="O288" s="120">
        <v>36.2</v>
      </c>
      <c r="P288" s="120">
        <v>3.5514341343963554</v>
      </c>
      <c r="Q288" s="123">
        <v>3.99652844916369</v>
      </c>
      <c r="R288" s="120">
        <v>0.0</v>
      </c>
      <c r="S288" s="120">
        <v>1.1253280500000002</v>
      </c>
      <c r="T288" s="15"/>
      <c r="U288" s="161"/>
      <c r="AE288" s="15"/>
      <c r="AF288" s="15"/>
    </row>
    <row r="289" ht="15.0" customHeight="1">
      <c r="A289" s="153" t="s">
        <v>244</v>
      </c>
      <c r="B289" s="154" t="s">
        <v>250</v>
      </c>
      <c r="C289" s="3" t="s">
        <v>255</v>
      </c>
      <c r="D289" s="154" t="s">
        <v>251</v>
      </c>
      <c r="E289" s="155">
        <v>6.0</v>
      </c>
      <c r="F289" s="183">
        <f t="shared" si="1"/>
        <v>16</v>
      </c>
      <c r="G289" s="166" t="s">
        <v>233</v>
      </c>
      <c r="H289" s="157">
        <v>1.46847335</v>
      </c>
      <c r="I289" s="157">
        <v>0.03712075</v>
      </c>
      <c r="J289" s="157">
        <v>1.25707664</v>
      </c>
      <c r="K289" s="120">
        <f t="shared" si="2"/>
        <v>39.55936639</v>
      </c>
      <c r="L289" s="121">
        <v>-0.491</v>
      </c>
      <c r="M289" s="121">
        <v>-1.483</v>
      </c>
      <c r="N289" s="122">
        <f t="shared" si="4"/>
        <v>0.992</v>
      </c>
      <c r="O289" s="120">
        <v>43.3</v>
      </c>
      <c r="P289" s="120">
        <v>1.2672143548387096</v>
      </c>
      <c r="Q289" s="123">
        <v>1.3519522817788792</v>
      </c>
      <c r="R289" s="120">
        <v>0.14285714285714285</v>
      </c>
      <c r="S289" s="120">
        <v>1.0668694500000002</v>
      </c>
      <c r="T289" s="15"/>
      <c r="U289" s="161"/>
      <c r="AE289" s="15"/>
      <c r="AF289" s="15"/>
    </row>
    <row r="290" ht="15.0" customHeight="1">
      <c r="A290" s="115" t="s">
        <v>238</v>
      </c>
      <c r="B290" s="116" t="s">
        <v>239</v>
      </c>
      <c r="C290" s="116" t="s">
        <v>241</v>
      </c>
      <c r="D290" s="116" t="s">
        <v>240</v>
      </c>
      <c r="E290" s="117">
        <v>1.0</v>
      </c>
      <c r="F290" s="183">
        <f t="shared" si="1"/>
        <v>1</v>
      </c>
      <c r="G290" s="167" t="s">
        <v>235</v>
      </c>
      <c r="H290" s="119">
        <v>11.2565194</v>
      </c>
      <c r="I290" s="119">
        <v>0.25087935</v>
      </c>
      <c r="J290" s="119">
        <v>6.21926502</v>
      </c>
      <c r="K290" s="120">
        <f t="shared" si="2"/>
        <v>44.86825799</v>
      </c>
      <c r="L290" s="121">
        <v>-0.208</v>
      </c>
      <c r="M290" s="121">
        <v>-0.64</v>
      </c>
      <c r="N290" s="122">
        <f t="shared" si="4"/>
        <v>0.432</v>
      </c>
      <c r="O290" s="120">
        <v>46.8</v>
      </c>
      <c r="P290" s="120">
        <v>14.396446805555554</v>
      </c>
      <c r="Q290" s="123">
        <v>10.099153502726999</v>
      </c>
      <c r="R290" s="120">
        <v>0.0</v>
      </c>
      <c r="S290" s="120">
        <v>0.7015032000000001</v>
      </c>
      <c r="T290" s="15"/>
      <c r="U290" s="161"/>
      <c r="AE290" s="15"/>
      <c r="AF290" s="15"/>
    </row>
    <row r="291" ht="15.0" customHeight="1">
      <c r="A291" s="134" t="s">
        <v>238</v>
      </c>
      <c r="B291" s="135" t="s">
        <v>239</v>
      </c>
      <c r="C291" s="116" t="s">
        <v>241</v>
      </c>
      <c r="D291" s="135" t="s">
        <v>240</v>
      </c>
      <c r="E291" s="8">
        <v>2.0</v>
      </c>
      <c r="F291" s="183">
        <f t="shared" si="1"/>
        <v>1</v>
      </c>
      <c r="G291" s="168" t="s">
        <v>235</v>
      </c>
      <c r="H291" s="137">
        <v>12.4318573</v>
      </c>
      <c r="I291" s="137">
        <v>0.17385257</v>
      </c>
      <c r="J291" s="137">
        <v>5.39537884</v>
      </c>
      <c r="K291" s="120">
        <f t="shared" si="2"/>
        <v>71.50804443</v>
      </c>
      <c r="L291" s="121">
        <v>-0.168</v>
      </c>
      <c r="M291" s="121">
        <v>-0.68</v>
      </c>
      <c r="N291" s="122">
        <f t="shared" si="4"/>
        <v>0.512</v>
      </c>
      <c r="O291" s="120">
        <v>42.1</v>
      </c>
      <c r="P291" s="120">
        <v>10.537849296875</v>
      </c>
      <c r="Q291" s="123">
        <v>10.7804885458602</v>
      </c>
      <c r="R291" s="120">
        <v>0.6</v>
      </c>
      <c r="S291" s="120">
        <v>1.0230255000000004</v>
      </c>
      <c r="T291" s="15"/>
      <c r="U291" s="161"/>
      <c r="AE291" s="15"/>
      <c r="AF291" s="15"/>
    </row>
    <row r="292" ht="15.0" customHeight="1">
      <c r="A292" s="134" t="s">
        <v>238</v>
      </c>
      <c r="B292" s="135" t="s">
        <v>239</v>
      </c>
      <c r="C292" s="116" t="s">
        <v>241</v>
      </c>
      <c r="D292" s="135" t="s">
        <v>240</v>
      </c>
      <c r="E292" s="8">
        <v>3.0</v>
      </c>
      <c r="F292" s="183">
        <f t="shared" si="1"/>
        <v>1</v>
      </c>
      <c r="G292" s="168" t="s">
        <v>235</v>
      </c>
      <c r="H292" s="137">
        <v>13.8752963</v>
      </c>
      <c r="I292" s="137">
        <v>0.21597435</v>
      </c>
      <c r="J292" s="137">
        <v>7.49490643</v>
      </c>
      <c r="K292" s="120">
        <f t="shared" si="2"/>
        <v>64.24511198</v>
      </c>
      <c r="L292" s="121">
        <v>-0.25</v>
      </c>
      <c r="M292" s="121">
        <v>-0.75</v>
      </c>
      <c r="N292" s="122">
        <f t="shared" si="4"/>
        <v>0.5</v>
      </c>
      <c r="O292" s="120">
        <v>48.8</v>
      </c>
      <c r="P292" s="120">
        <v>14.98981286</v>
      </c>
      <c r="Q292" s="123">
        <v>15.773102533036733</v>
      </c>
      <c r="R292" s="120">
        <v>0.8</v>
      </c>
      <c r="S292" s="120">
        <v>1.0522548000000003</v>
      </c>
      <c r="T292" s="15"/>
      <c r="U292" s="161"/>
      <c r="AE292" s="15"/>
      <c r="AF292" s="15"/>
    </row>
    <row r="293" ht="15.0" customHeight="1">
      <c r="A293" s="134" t="s">
        <v>238</v>
      </c>
      <c r="B293" s="135" t="s">
        <v>239</v>
      </c>
      <c r="C293" s="116" t="s">
        <v>241</v>
      </c>
      <c r="D293" s="135" t="s">
        <v>240</v>
      </c>
      <c r="E293" s="8">
        <v>4.0</v>
      </c>
      <c r="F293" s="183">
        <f t="shared" si="1"/>
        <v>1</v>
      </c>
      <c r="G293" s="168" t="s">
        <v>235</v>
      </c>
      <c r="H293" s="137">
        <v>9.43943163</v>
      </c>
      <c r="I293" s="137">
        <v>0.12772574</v>
      </c>
      <c r="J293" s="137">
        <v>3.15990233</v>
      </c>
      <c r="K293" s="120">
        <f t="shared" si="2"/>
        <v>73.90391028</v>
      </c>
      <c r="L293" s="121"/>
      <c r="M293" s="121">
        <v>-0.652</v>
      </c>
      <c r="N293" s="122"/>
      <c r="O293" s="120">
        <v>44.2</v>
      </c>
      <c r="P293" s="120">
        <v>6.899350065502183</v>
      </c>
      <c r="Q293" s="123">
        <v>6.251558358957073</v>
      </c>
      <c r="R293" s="120">
        <v>0.4</v>
      </c>
      <c r="S293" s="120">
        <v>0.9061083000000002</v>
      </c>
      <c r="T293" s="15"/>
      <c r="U293" s="161"/>
      <c r="AE293" s="15"/>
      <c r="AF293" s="15"/>
    </row>
    <row r="294" ht="15.0" customHeight="1">
      <c r="A294" s="134" t="s">
        <v>238</v>
      </c>
      <c r="B294" s="135" t="s">
        <v>239</v>
      </c>
      <c r="C294" s="116" t="s">
        <v>241</v>
      </c>
      <c r="D294" s="135" t="s">
        <v>240</v>
      </c>
      <c r="E294" s="8">
        <v>5.0</v>
      </c>
      <c r="F294" s="183">
        <f t="shared" si="1"/>
        <v>1</v>
      </c>
      <c r="G294" s="168" t="s">
        <v>235</v>
      </c>
      <c r="H294" s="137">
        <v>9.88215639</v>
      </c>
      <c r="I294" s="137">
        <v>0.14518716</v>
      </c>
      <c r="J294" s="137">
        <v>6.28338239</v>
      </c>
      <c r="K294" s="120">
        <f t="shared" si="2"/>
        <v>68.06494727</v>
      </c>
      <c r="L294" s="121">
        <v>-0.15</v>
      </c>
      <c r="M294" s="121">
        <v>-0.759</v>
      </c>
      <c r="N294" s="122">
        <f>L294-M294</f>
        <v>0.609</v>
      </c>
      <c r="O294" s="120">
        <v>47.5</v>
      </c>
      <c r="P294" s="120">
        <v>10.317540870279146</v>
      </c>
      <c r="Q294" s="123">
        <v>9.04723492078951</v>
      </c>
      <c r="R294" s="120">
        <v>0.7</v>
      </c>
      <c r="S294" s="120">
        <v>0.8768790000000003</v>
      </c>
      <c r="T294" s="15"/>
      <c r="U294" s="161"/>
      <c r="AE294" s="15"/>
      <c r="AF294" s="15"/>
    </row>
    <row r="295" ht="15.0" customHeight="1">
      <c r="A295" s="134" t="s">
        <v>238</v>
      </c>
      <c r="B295" s="135" t="s">
        <v>239</v>
      </c>
      <c r="C295" s="116" t="s">
        <v>241</v>
      </c>
      <c r="D295" s="135" t="s">
        <v>240</v>
      </c>
      <c r="E295" s="8">
        <v>6.0</v>
      </c>
      <c r="F295" s="183">
        <f t="shared" si="1"/>
        <v>1</v>
      </c>
      <c r="G295" s="168" t="s">
        <v>235</v>
      </c>
      <c r="H295" s="137">
        <v>8.58016138</v>
      </c>
      <c r="I295" s="137">
        <v>0.1023457</v>
      </c>
      <c r="J295" s="137">
        <v>3.13310825</v>
      </c>
      <c r="K295" s="120">
        <f t="shared" si="2"/>
        <v>83.835094</v>
      </c>
      <c r="L295" s="121"/>
      <c r="M295" s="121">
        <v>-0.73</v>
      </c>
      <c r="N295" s="122"/>
      <c r="O295" s="120">
        <v>20.3</v>
      </c>
      <c r="P295" s="120">
        <v>5.845351212686566</v>
      </c>
      <c r="Q295" s="123">
        <v>5.894515584933792</v>
      </c>
      <c r="R295" s="120">
        <v>0.0</v>
      </c>
      <c r="S295" s="120">
        <v>1.0084108500000002</v>
      </c>
      <c r="T295" s="15"/>
      <c r="U295" s="161"/>
      <c r="AE295" s="15"/>
      <c r="AF295" s="15"/>
    </row>
    <row r="296" ht="15.0" customHeight="1">
      <c r="A296" s="134" t="s">
        <v>244</v>
      </c>
      <c r="B296" s="3" t="s">
        <v>239</v>
      </c>
      <c r="C296" s="3" t="s">
        <v>30</v>
      </c>
      <c r="D296" s="135" t="s">
        <v>240</v>
      </c>
      <c r="E296" s="8">
        <v>1.0</v>
      </c>
      <c r="F296" s="183">
        <f t="shared" si="1"/>
        <v>2</v>
      </c>
      <c r="G296" s="168" t="s">
        <v>235</v>
      </c>
      <c r="H296" s="137">
        <v>13.7054388</v>
      </c>
      <c r="I296" s="137">
        <v>0.29875014</v>
      </c>
      <c r="J296" s="137">
        <v>7.43254797</v>
      </c>
      <c r="K296" s="120">
        <f t="shared" si="2"/>
        <v>45.87592428</v>
      </c>
      <c r="L296" s="121">
        <v>-0.192</v>
      </c>
      <c r="M296" s="121">
        <v>-0.601</v>
      </c>
      <c r="N296" s="122">
        <f t="shared" ref="N296:N298" si="5">L296-M296</f>
        <v>0.409</v>
      </c>
      <c r="O296" s="120">
        <v>49.0</v>
      </c>
      <c r="P296" s="120">
        <v>18.17248892420538</v>
      </c>
      <c r="Q296" s="123">
        <v>14.872735654343739</v>
      </c>
      <c r="R296" s="120">
        <v>1.9</v>
      </c>
      <c r="S296" s="120">
        <v>0.8184204000000002</v>
      </c>
      <c r="T296" s="15"/>
      <c r="U296" s="161"/>
      <c r="AE296" s="15"/>
      <c r="AF296" s="15"/>
    </row>
    <row r="297" ht="15.0" customHeight="1">
      <c r="A297" s="134" t="s">
        <v>244</v>
      </c>
      <c r="B297" s="3" t="s">
        <v>239</v>
      </c>
      <c r="C297" s="3" t="s">
        <v>30</v>
      </c>
      <c r="D297" s="135" t="s">
        <v>240</v>
      </c>
      <c r="E297" s="8">
        <v>2.0</v>
      </c>
      <c r="F297" s="183">
        <f t="shared" si="1"/>
        <v>2</v>
      </c>
      <c r="G297" s="168" t="s">
        <v>235</v>
      </c>
      <c r="H297" s="137">
        <v>12.3931168</v>
      </c>
      <c r="I297" s="137">
        <v>0.2323288</v>
      </c>
      <c r="J297" s="137">
        <v>7.10185385</v>
      </c>
      <c r="K297" s="120">
        <f t="shared" si="2"/>
        <v>53.34300698</v>
      </c>
      <c r="L297" s="121">
        <v>-0.084</v>
      </c>
      <c r="M297" s="121">
        <v>-0.693</v>
      </c>
      <c r="N297" s="122">
        <f t="shared" si="5"/>
        <v>0.609</v>
      </c>
      <c r="O297" s="120">
        <v>42.4</v>
      </c>
      <c r="P297" s="120">
        <v>11.661500574712644</v>
      </c>
      <c r="Q297" s="123">
        <v>11.759583706821468</v>
      </c>
      <c r="R297" s="120">
        <v>0.2</v>
      </c>
      <c r="S297" s="120">
        <v>1.0084108500000002</v>
      </c>
      <c r="T297" s="15"/>
      <c r="U297" s="161"/>
      <c r="AE297" s="15"/>
      <c r="AF297" s="15"/>
    </row>
    <row r="298" ht="15.0" customHeight="1">
      <c r="A298" s="134" t="s">
        <v>244</v>
      </c>
      <c r="B298" s="3" t="s">
        <v>239</v>
      </c>
      <c r="C298" s="3" t="s">
        <v>30</v>
      </c>
      <c r="D298" s="135" t="s">
        <v>240</v>
      </c>
      <c r="E298" s="8">
        <v>3.0</v>
      </c>
      <c r="F298" s="183">
        <f t="shared" si="1"/>
        <v>2</v>
      </c>
      <c r="G298" s="168" t="s">
        <v>235</v>
      </c>
      <c r="H298" s="137">
        <v>14.5822714</v>
      </c>
      <c r="I298" s="137">
        <v>0.19046194</v>
      </c>
      <c r="J298" s="137">
        <v>7.43786465</v>
      </c>
      <c r="K298" s="120">
        <f t="shared" si="2"/>
        <v>76.56265288</v>
      </c>
      <c r="L298" s="121">
        <v>-0.1</v>
      </c>
      <c r="M298" s="121">
        <v>-0.64</v>
      </c>
      <c r="N298" s="122">
        <f t="shared" si="5"/>
        <v>0.54</v>
      </c>
      <c r="O298" s="120">
        <v>38.3</v>
      </c>
      <c r="P298" s="120">
        <v>13.773823425925924</v>
      </c>
      <c r="Q298" s="123">
        <v>13.084474554561044</v>
      </c>
      <c r="R298" s="120">
        <v>0.0</v>
      </c>
      <c r="S298" s="120">
        <v>0.9499522500000003</v>
      </c>
      <c r="T298" s="15"/>
      <c r="U298" s="161"/>
      <c r="AE298" s="15"/>
      <c r="AF298" s="15"/>
    </row>
    <row r="299" ht="15.0" customHeight="1">
      <c r="A299" s="134" t="s">
        <v>244</v>
      </c>
      <c r="B299" s="3" t="s">
        <v>239</v>
      </c>
      <c r="C299" s="3" t="s">
        <v>30</v>
      </c>
      <c r="D299" s="135" t="s">
        <v>240</v>
      </c>
      <c r="E299" s="8">
        <v>4.0</v>
      </c>
      <c r="F299" s="183">
        <f t="shared" si="1"/>
        <v>2</v>
      </c>
      <c r="G299" s="168" t="s">
        <v>235</v>
      </c>
      <c r="H299" s="137">
        <v>13.6084163</v>
      </c>
      <c r="I299" s="137">
        <v>0.23435881</v>
      </c>
      <c r="J299" s="137">
        <v>4.79953264</v>
      </c>
      <c r="K299" s="120">
        <f t="shared" si="2"/>
        <v>58.0665873</v>
      </c>
      <c r="L299" s="121"/>
      <c r="M299" s="121">
        <v>-0.65</v>
      </c>
      <c r="N299" s="122"/>
      <c r="O299" s="120">
        <v>50.7</v>
      </c>
      <c r="P299" s="120">
        <v>8.974611791544344</v>
      </c>
      <c r="Q299" s="123">
        <v>7.476725409516657</v>
      </c>
      <c r="R299" s="120">
        <v>0.4</v>
      </c>
      <c r="S299" s="120">
        <v>0.8330350500000002</v>
      </c>
      <c r="T299" s="15"/>
      <c r="U299" s="161"/>
      <c r="AE299" s="15"/>
      <c r="AF299" s="15"/>
    </row>
    <row r="300" ht="15.0" customHeight="1">
      <c r="A300" s="134" t="s">
        <v>244</v>
      </c>
      <c r="B300" s="3" t="s">
        <v>239</v>
      </c>
      <c r="C300" s="3" t="s">
        <v>30</v>
      </c>
      <c r="D300" s="135" t="s">
        <v>240</v>
      </c>
      <c r="E300" s="8">
        <v>5.0</v>
      </c>
      <c r="F300" s="183">
        <f t="shared" si="1"/>
        <v>2</v>
      </c>
      <c r="G300" s="168" t="s">
        <v>235</v>
      </c>
      <c r="H300" s="137">
        <v>11.4217379</v>
      </c>
      <c r="I300" s="137">
        <v>0.17987548</v>
      </c>
      <c r="J300" s="137">
        <v>7.27161701</v>
      </c>
      <c r="K300" s="120">
        <f t="shared" si="2"/>
        <v>63.49802597</v>
      </c>
      <c r="L300" s="121">
        <v>-0.175</v>
      </c>
      <c r="M300" s="121">
        <v>-0.535</v>
      </c>
      <c r="N300" s="122">
        <f>L300-M300</f>
        <v>0.36</v>
      </c>
      <c r="O300" s="120">
        <v>43.1</v>
      </c>
      <c r="P300" s="120">
        <v>20.198936138888886</v>
      </c>
      <c r="Q300" s="123">
        <v>20.959227124997085</v>
      </c>
      <c r="R300" s="120">
        <v>0.3</v>
      </c>
      <c r="S300" s="120">
        <v>1.03764015</v>
      </c>
      <c r="T300" s="15"/>
      <c r="U300" s="161"/>
      <c r="AE300" s="15"/>
      <c r="AF300" s="15"/>
    </row>
    <row r="301" ht="15.0" customHeight="1">
      <c r="A301" s="134" t="s">
        <v>244</v>
      </c>
      <c r="B301" s="3" t="s">
        <v>239</v>
      </c>
      <c r="C301" s="3" t="s">
        <v>30</v>
      </c>
      <c r="D301" s="135" t="s">
        <v>240</v>
      </c>
      <c r="E301" s="8">
        <v>6.0</v>
      </c>
      <c r="F301" s="183">
        <f t="shared" si="1"/>
        <v>2</v>
      </c>
      <c r="G301" s="168" t="s">
        <v>235</v>
      </c>
      <c r="H301" s="137">
        <v>15.0963683</v>
      </c>
      <c r="I301" s="137">
        <v>0.24305539</v>
      </c>
      <c r="J301" s="137">
        <v>5.54438163</v>
      </c>
      <c r="K301" s="120">
        <f t="shared" si="2"/>
        <v>62.11081474</v>
      </c>
      <c r="L301" s="121"/>
      <c r="M301" s="121">
        <v>-0.717</v>
      </c>
      <c r="N301" s="122"/>
      <c r="O301" s="120">
        <v>42.3</v>
      </c>
      <c r="P301" s="120">
        <v>9.213150152046396</v>
      </c>
      <c r="Q301" s="123">
        <v>10.503161387839805</v>
      </c>
      <c r="R301" s="120">
        <v>0.5</v>
      </c>
      <c r="S301" s="120">
        <v>1.1399427000000004</v>
      </c>
      <c r="T301" s="15"/>
      <c r="U301" s="161"/>
      <c r="AE301" s="15"/>
      <c r="AF301" s="15"/>
    </row>
    <row r="302" ht="15.0" customHeight="1">
      <c r="A302" s="134" t="s">
        <v>249</v>
      </c>
      <c r="B302" s="3" t="s">
        <v>250</v>
      </c>
      <c r="C302" s="3" t="s">
        <v>42</v>
      </c>
      <c r="D302" s="3" t="s">
        <v>251</v>
      </c>
      <c r="E302" s="8">
        <v>1.0</v>
      </c>
      <c r="F302" s="183">
        <f t="shared" si="1"/>
        <v>3</v>
      </c>
      <c r="G302" s="168" t="s">
        <v>235</v>
      </c>
      <c r="H302" s="137">
        <v>13.9539788</v>
      </c>
      <c r="I302" s="137">
        <v>0.2382478</v>
      </c>
      <c r="J302" s="137">
        <v>6.2041013</v>
      </c>
      <c r="K302" s="120">
        <f t="shared" si="2"/>
        <v>58.56918217</v>
      </c>
      <c r="L302" s="121">
        <v>-0.159</v>
      </c>
      <c r="M302" s="121">
        <v>-0.641</v>
      </c>
      <c r="N302" s="122">
        <f t="shared" ref="N302:N304" si="6">L302-M302</f>
        <v>0.482</v>
      </c>
      <c r="O302" s="120">
        <v>36.1</v>
      </c>
      <c r="P302" s="120">
        <v>12.871579460580913</v>
      </c>
      <c r="Q302" s="123">
        <v>14.86097667232273</v>
      </c>
      <c r="R302" s="120">
        <v>0.6</v>
      </c>
      <c r="S302" s="120">
        <v>1.1545573500000001</v>
      </c>
      <c r="T302" s="15"/>
      <c r="U302" s="161"/>
      <c r="AE302" s="15"/>
      <c r="AF302" s="15"/>
    </row>
    <row r="303" ht="15.0" customHeight="1">
      <c r="A303" s="134" t="s">
        <v>249</v>
      </c>
      <c r="B303" s="3" t="s">
        <v>250</v>
      </c>
      <c r="C303" s="3" t="s">
        <v>42</v>
      </c>
      <c r="D303" s="3" t="s">
        <v>251</v>
      </c>
      <c r="E303" s="8">
        <v>2.0</v>
      </c>
      <c r="F303" s="183">
        <f t="shared" si="1"/>
        <v>3</v>
      </c>
      <c r="G303" s="168" t="s">
        <v>235</v>
      </c>
      <c r="H303" s="137">
        <v>14.4288223</v>
      </c>
      <c r="I303" s="137">
        <v>0.18835928</v>
      </c>
      <c r="J303" s="137">
        <v>6.25300559</v>
      </c>
      <c r="K303" s="120">
        <f t="shared" si="2"/>
        <v>76.60266221</v>
      </c>
      <c r="L303" s="121">
        <v>-0.18</v>
      </c>
      <c r="M303" s="121">
        <v>-0.702</v>
      </c>
      <c r="N303" s="122">
        <f t="shared" si="6"/>
        <v>0.522</v>
      </c>
      <c r="O303" s="120">
        <v>48.9</v>
      </c>
      <c r="P303" s="120">
        <v>11.978937911877393</v>
      </c>
      <c r="Q303" s="123">
        <v>12.25475894676733</v>
      </c>
      <c r="R303" s="120">
        <v>0.5</v>
      </c>
      <c r="S303" s="120">
        <v>1.0230255000000004</v>
      </c>
      <c r="T303" s="15"/>
      <c r="U303" s="161"/>
      <c r="AE303" s="15"/>
      <c r="AF303" s="15"/>
    </row>
    <row r="304" ht="15.0" customHeight="1">
      <c r="A304" s="134" t="s">
        <v>249</v>
      </c>
      <c r="B304" s="3" t="s">
        <v>250</v>
      </c>
      <c r="C304" s="3" t="s">
        <v>42</v>
      </c>
      <c r="D304" s="3" t="s">
        <v>251</v>
      </c>
      <c r="E304" s="8">
        <v>3.0</v>
      </c>
      <c r="F304" s="183">
        <f t="shared" si="1"/>
        <v>3</v>
      </c>
      <c r="G304" s="168" t="s">
        <v>235</v>
      </c>
      <c r="H304" s="137">
        <v>9.06857187</v>
      </c>
      <c r="I304" s="137">
        <v>0.1335752</v>
      </c>
      <c r="J304" s="137">
        <v>5.56701738</v>
      </c>
      <c r="K304" s="120">
        <f t="shared" si="2"/>
        <v>67.89113451</v>
      </c>
      <c r="L304" s="121">
        <v>-0.087</v>
      </c>
      <c r="M304" s="121">
        <v>-0.67</v>
      </c>
      <c r="N304" s="122">
        <f t="shared" si="6"/>
        <v>0.583</v>
      </c>
      <c r="O304" s="120">
        <v>42.4</v>
      </c>
      <c r="P304" s="120">
        <v>9.548914888507717</v>
      </c>
      <c r="Q304" s="123">
        <v>10.326999624174372</v>
      </c>
      <c r="R304" s="120">
        <v>0.4</v>
      </c>
      <c r="S304" s="120">
        <v>1.0814841000000002</v>
      </c>
      <c r="T304" s="15"/>
      <c r="U304" s="161"/>
      <c r="AE304" s="15"/>
      <c r="AF304" s="15"/>
    </row>
    <row r="305" ht="15.0" customHeight="1">
      <c r="A305" s="134" t="s">
        <v>249</v>
      </c>
      <c r="B305" s="3" t="s">
        <v>250</v>
      </c>
      <c r="C305" s="3" t="s">
        <v>42</v>
      </c>
      <c r="D305" s="3" t="s">
        <v>251</v>
      </c>
      <c r="E305" s="8">
        <v>4.0</v>
      </c>
      <c r="F305" s="183">
        <f t="shared" si="1"/>
        <v>3</v>
      </c>
      <c r="G305" s="168" t="s">
        <v>235</v>
      </c>
      <c r="H305" s="137">
        <v>10.2824345</v>
      </c>
      <c r="I305" s="137">
        <v>0.19136771</v>
      </c>
      <c r="J305" s="137">
        <v>4.23695419</v>
      </c>
      <c r="K305" s="120">
        <f t="shared" si="2"/>
        <v>53.73129302</v>
      </c>
      <c r="L305" s="121"/>
      <c r="M305" s="121">
        <v>-0.546</v>
      </c>
      <c r="N305" s="122"/>
      <c r="O305" s="120">
        <v>41.7</v>
      </c>
      <c r="P305" s="120">
        <v>10.296364981773996</v>
      </c>
      <c r="Q305" s="123">
        <v>10.683921704142717</v>
      </c>
      <c r="R305" s="120">
        <v>1.0</v>
      </c>
      <c r="S305" s="120">
        <v>1.03764015</v>
      </c>
      <c r="T305" s="15"/>
      <c r="U305" s="161"/>
      <c r="AE305" s="15"/>
      <c r="AF305" s="15"/>
    </row>
    <row r="306" ht="15.0" customHeight="1">
      <c r="A306" s="134" t="s">
        <v>249</v>
      </c>
      <c r="B306" s="3" t="s">
        <v>250</v>
      </c>
      <c r="C306" s="3" t="s">
        <v>42</v>
      </c>
      <c r="D306" s="3" t="s">
        <v>251</v>
      </c>
      <c r="E306" s="8">
        <v>5.0</v>
      </c>
      <c r="F306" s="183">
        <f t="shared" si="1"/>
        <v>3</v>
      </c>
      <c r="G306" s="168" t="s">
        <v>235</v>
      </c>
      <c r="H306" s="137">
        <v>14.3230454</v>
      </c>
      <c r="I306" s="137">
        <v>0.20792333</v>
      </c>
      <c r="J306" s="137">
        <v>7.91030615</v>
      </c>
      <c r="K306" s="120">
        <f t="shared" si="2"/>
        <v>68.88618704</v>
      </c>
      <c r="L306" s="121">
        <v>-0.112</v>
      </c>
      <c r="M306" s="121">
        <v>-0.56</v>
      </c>
      <c r="N306" s="122">
        <f>L306-M306</f>
        <v>0.448</v>
      </c>
      <c r="O306" s="120">
        <v>41.4</v>
      </c>
      <c r="P306" s="120">
        <v>17.65693337053571</v>
      </c>
      <c r="Q306" s="123">
        <v>21.160091905263386</v>
      </c>
      <c r="R306" s="120">
        <v>0.6</v>
      </c>
      <c r="S306" s="120">
        <v>1.1984013000000002</v>
      </c>
      <c r="T306" s="15"/>
      <c r="U306" s="161"/>
      <c r="AE306" s="15"/>
      <c r="AF306" s="15"/>
    </row>
    <row r="307" ht="15.0" customHeight="1">
      <c r="A307" s="134" t="s">
        <v>249</v>
      </c>
      <c r="B307" s="3" t="s">
        <v>250</v>
      </c>
      <c r="C307" s="3" t="s">
        <v>42</v>
      </c>
      <c r="D307" s="3" t="s">
        <v>251</v>
      </c>
      <c r="E307" s="8">
        <v>6.0</v>
      </c>
      <c r="F307" s="183">
        <f t="shared" si="1"/>
        <v>3</v>
      </c>
      <c r="G307" s="168" t="s">
        <v>235</v>
      </c>
      <c r="H307" s="137">
        <v>9.9957758</v>
      </c>
      <c r="I307" s="137">
        <v>0.1661272</v>
      </c>
      <c r="J307" s="137">
        <v>4.42023111</v>
      </c>
      <c r="K307" s="120">
        <f t="shared" si="2"/>
        <v>60.16941115</v>
      </c>
      <c r="L307" s="121"/>
      <c r="M307" s="121">
        <v>-0.721</v>
      </c>
      <c r="N307" s="122"/>
      <c r="O307" s="120">
        <v>39.6</v>
      </c>
      <c r="P307" s="120">
        <v>7.536625933503835</v>
      </c>
      <c r="Q307" s="123">
        <v>9.031902316324711</v>
      </c>
      <c r="R307" s="120">
        <v>0.4</v>
      </c>
      <c r="S307" s="120">
        <v>1.1984013000000002</v>
      </c>
      <c r="T307" s="15"/>
      <c r="U307" s="161"/>
      <c r="AE307" s="15"/>
      <c r="AF307" s="15"/>
    </row>
    <row r="308" ht="15.0" customHeight="1">
      <c r="A308" s="134" t="s">
        <v>256</v>
      </c>
      <c r="B308" s="3" t="s">
        <v>257</v>
      </c>
      <c r="C308" s="3" t="s">
        <v>242</v>
      </c>
      <c r="D308" s="135" t="s">
        <v>240</v>
      </c>
      <c r="E308" s="8">
        <v>1.0</v>
      </c>
      <c r="F308" s="183">
        <f t="shared" si="1"/>
        <v>4</v>
      </c>
      <c r="G308" s="168" t="s">
        <v>235</v>
      </c>
      <c r="H308" s="137">
        <v>9.46705259</v>
      </c>
      <c r="I308" s="137">
        <v>0.14757589</v>
      </c>
      <c r="J308" s="137">
        <v>4.23236177</v>
      </c>
      <c r="K308" s="120">
        <f t="shared" si="2"/>
        <v>64.15040146</v>
      </c>
      <c r="L308" s="121">
        <v>-0.195</v>
      </c>
      <c r="M308" s="121">
        <v>-0.63</v>
      </c>
      <c r="N308" s="122">
        <f t="shared" ref="N308:N310" si="7">L308-M308</f>
        <v>0.435</v>
      </c>
      <c r="O308" s="120">
        <v>49.1</v>
      </c>
      <c r="P308" s="120">
        <v>9.729567287356321</v>
      </c>
      <c r="Q308" s="123">
        <v>9.384818556706698</v>
      </c>
      <c r="R308" s="120">
        <v>0.7</v>
      </c>
      <c r="S308" s="120">
        <v>0.9645669000000001</v>
      </c>
      <c r="T308" s="15"/>
      <c r="U308" s="161"/>
      <c r="AE308" s="15"/>
      <c r="AF308" s="15"/>
    </row>
    <row r="309" ht="15.0" customHeight="1">
      <c r="A309" s="134" t="s">
        <v>256</v>
      </c>
      <c r="B309" s="3" t="s">
        <v>257</v>
      </c>
      <c r="C309" s="3" t="s">
        <v>242</v>
      </c>
      <c r="D309" s="135" t="s">
        <v>240</v>
      </c>
      <c r="E309" s="8">
        <v>2.0</v>
      </c>
      <c r="F309" s="183">
        <f t="shared" si="1"/>
        <v>4</v>
      </c>
      <c r="G309" s="168" t="s">
        <v>235</v>
      </c>
      <c r="H309" s="137">
        <v>11.6634601</v>
      </c>
      <c r="I309" s="137">
        <v>0.1929898</v>
      </c>
      <c r="J309" s="137">
        <v>6.66692102</v>
      </c>
      <c r="K309" s="120">
        <f t="shared" si="2"/>
        <v>60.43562976</v>
      </c>
      <c r="L309" s="121">
        <v>-0.159</v>
      </c>
      <c r="M309" s="121">
        <v>-0.703</v>
      </c>
      <c r="N309" s="122">
        <f t="shared" si="7"/>
        <v>0.544</v>
      </c>
      <c r="O309" s="120">
        <v>45.2</v>
      </c>
      <c r="P309" s="120">
        <v>12.255369522058826</v>
      </c>
      <c r="Q309" s="123">
        <v>12.000231724432323</v>
      </c>
      <c r="R309" s="120">
        <v>0.5</v>
      </c>
      <c r="S309" s="120">
        <v>0.9791815500000003</v>
      </c>
      <c r="T309" s="15"/>
      <c r="U309" s="161"/>
      <c r="AE309" s="15"/>
      <c r="AF309" s="15"/>
    </row>
    <row r="310" ht="15.0" customHeight="1">
      <c r="A310" s="134" t="s">
        <v>256</v>
      </c>
      <c r="B310" s="3" t="s">
        <v>257</v>
      </c>
      <c r="C310" s="3" t="s">
        <v>242</v>
      </c>
      <c r="D310" s="135" t="s">
        <v>240</v>
      </c>
      <c r="E310" s="8">
        <v>3.0</v>
      </c>
      <c r="F310" s="183">
        <f t="shared" si="1"/>
        <v>4</v>
      </c>
      <c r="G310" s="168" t="s">
        <v>235</v>
      </c>
      <c r="H310" s="137">
        <v>11.7805238</v>
      </c>
      <c r="I310" s="137">
        <v>0.17793453</v>
      </c>
      <c r="J310" s="137">
        <v>7.03781376</v>
      </c>
      <c r="K310" s="120">
        <f t="shared" si="2"/>
        <v>66.20706953</v>
      </c>
      <c r="L310" s="121">
        <v>-0.22</v>
      </c>
      <c r="M310" s="121">
        <v>-0.642</v>
      </c>
      <c r="N310" s="122">
        <f t="shared" si="7"/>
        <v>0.422</v>
      </c>
      <c r="O310" s="120">
        <v>45.0</v>
      </c>
      <c r="P310" s="120">
        <v>16.677283791469193</v>
      </c>
      <c r="Q310" s="123">
        <v>16.817553923846674</v>
      </c>
      <c r="R310" s="120">
        <v>0.4</v>
      </c>
      <c r="S310" s="120">
        <v>1.0084108500000002</v>
      </c>
      <c r="T310" s="15"/>
      <c r="U310" s="161"/>
      <c r="AE310" s="15"/>
      <c r="AF310" s="15"/>
    </row>
    <row r="311" ht="15.0" customHeight="1">
      <c r="A311" s="134" t="s">
        <v>256</v>
      </c>
      <c r="B311" s="3" t="s">
        <v>257</v>
      </c>
      <c r="C311" s="3" t="s">
        <v>242</v>
      </c>
      <c r="D311" s="135" t="s">
        <v>240</v>
      </c>
      <c r="E311" s="8">
        <v>4.0</v>
      </c>
      <c r="F311" s="183">
        <f t="shared" si="1"/>
        <v>4</v>
      </c>
      <c r="G311" s="168" t="s">
        <v>235</v>
      </c>
      <c r="H311" s="137">
        <v>9.37587635</v>
      </c>
      <c r="I311" s="137">
        <v>0.14803186</v>
      </c>
      <c r="J311" s="137">
        <v>4.17369065</v>
      </c>
      <c r="K311" s="120">
        <f t="shared" si="2"/>
        <v>63.33688133</v>
      </c>
      <c r="L311" s="121"/>
      <c r="M311" s="121">
        <v>-0.51</v>
      </c>
      <c r="N311" s="122"/>
      <c r="O311" s="120">
        <v>41.9</v>
      </c>
      <c r="P311" s="120">
        <v>12.69370635644769</v>
      </c>
      <c r="Q311" s="123">
        <v>11.87290083854453</v>
      </c>
      <c r="R311" s="120">
        <v>0.2</v>
      </c>
      <c r="S311" s="120">
        <v>0.9353376000000002</v>
      </c>
      <c r="T311" s="15"/>
      <c r="U311" s="161"/>
      <c r="AE311" s="15"/>
      <c r="AF311" s="15"/>
    </row>
    <row r="312" ht="15.0" customHeight="1">
      <c r="A312" s="134" t="s">
        <v>256</v>
      </c>
      <c r="B312" s="3" t="s">
        <v>257</v>
      </c>
      <c r="C312" s="3" t="s">
        <v>242</v>
      </c>
      <c r="D312" s="135" t="s">
        <v>240</v>
      </c>
      <c r="E312" s="8">
        <v>5.0</v>
      </c>
      <c r="F312" s="183">
        <f t="shared" si="1"/>
        <v>4</v>
      </c>
      <c r="G312" s="168" t="s">
        <v>235</v>
      </c>
      <c r="H312" s="137">
        <v>13.3526695</v>
      </c>
      <c r="I312" s="137">
        <v>0.18622471</v>
      </c>
      <c r="J312" s="137">
        <v>7.66241428</v>
      </c>
      <c r="K312" s="120">
        <f t="shared" si="2"/>
        <v>71.7019213</v>
      </c>
      <c r="L312" s="121">
        <v>-0.151</v>
      </c>
      <c r="M312" s="121">
        <v>-0.71</v>
      </c>
      <c r="N312" s="122">
        <f>L312-M312</f>
        <v>0.559</v>
      </c>
      <c r="O312" s="120">
        <v>47.4</v>
      </c>
      <c r="P312" s="120">
        <v>13.707360071556351</v>
      </c>
      <c r="Q312" s="123">
        <v>14.022978890883978</v>
      </c>
      <c r="R312" s="120">
        <v>0.3</v>
      </c>
      <c r="S312" s="120">
        <v>1.0230255000000004</v>
      </c>
      <c r="T312" s="15"/>
      <c r="U312" s="161"/>
      <c r="AE312" s="15"/>
      <c r="AF312" s="15"/>
    </row>
    <row r="313" ht="15.0" customHeight="1">
      <c r="A313" s="134" t="s">
        <v>256</v>
      </c>
      <c r="B313" s="3" t="s">
        <v>257</v>
      </c>
      <c r="C313" s="3" t="s">
        <v>242</v>
      </c>
      <c r="D313" s="135" t="s">
        <v>240</v>
      </c>
      <c r="E313" s="8">
        <v>6.0</v>
      </c>
      <c r="F313" s="183">
        <f t="shared" si="1"/>
        <v>4</v>
      </c>
      <c r="G313" s="168" t="s">
        <v>235</v>
      </c>
      <c r="H313" s="137">
        <v>10.8456303</v>
      </c>
      <c r="I313" s="137">
        <v>0.18414723</v>
      </c>
      <c r="J313" s="137">
        <v>4.98743059</v>
      </c>
      <c r="K313" s="120">
        <f t="shared" si="2"/>
        <v>58.89651612</v>
      </c>
      <c r="L313" s="121"/>
      <c r="M313" s="121">
        <v>-0.551</v>
      </c>
      <c r="N313" s="122"/>
      <c r="O313" s="120">
        <v>48.9</v>
      </c>
      <c r="P313" s="120">
        <v>13.486832314764737</v>
      </c>
      <c r="Q313" s="123">
        <v>14.585794707784261</v>
      </c>
      <c r="R313" s="120">
        <v>0.9</v>
      </c>
      <c r="S313" s="120">
        <v>1.0814841000000002</v>
      </c>
      <c r="T313" s="15"/>
      <c r="U313" s="161"/>
      <c r="AE313" s="15"/>
      <c r="AF313" s="15"/>
    </row>
    <row r="314" ht="15.0" customHeight="1">
      <c r="A314" s="134" t="s">
        <v>249</v>
      </c>
      <c r="B314" s="3" t="s">
        <v>258</v>
      </c>
      <c r="C314" s="3" t="s">
        <v>65</v>
      </c>
      <c r="D314" s="3" t="s">
        <v>251</v>
      </c>
      <c r="E314" s="8">
        <v>1.0</v>
      </c>
      <c r="F314" s="183">
        <f t="shared" si="1"/>
        <v>5</v>
      </c>
      <c r="G314" s="168" t="s">
        <v>235</v>
      </c>
      <c r="H314" s="137">
        <v>14.8483911</v>
      </c>
      <c r="I314" s="137">
        <v>0.26684942</v>
      </c>
      <c r="J314" s="137">
        <v>6.41604631</v>
      </c>
      <c r="K314" s="120">
        <f t="shared" si="2"/>
        <v>55.64333286</v>
      </c>
      <c r="L314" s="121">
        <v>-0.187</v>
      </c>
      <c r="M314" s="121">
        <v>-0.62</v>
      </c>
      <c r="N314" s="122">
        <f t="shared" ref="N314:N316" si="8">L314-M314</f>
        <v>0.433</v>
      </c>
      <c r="O314" s="120">
        <v>48.3</v>
      </c>
      <c r="P314" s="120">
        <v>14.817658914549654</v>
      </c>
      <c r="Q314" s="123">
        <v>16.891282110730806</v>
      </c>
      <c r="R314" s="120">
        <v>0.7</v>
      </c>
      <c r="S314" s="120">
        <v>1.1399427000000004</v>
      </c>
      <c r="T314" s="15"/>
      <c r="U314" s="161"/>
      <c r="AE314" s="15"/>
      <c r="AF314" s="15"/>
    </row>
    <row r="315" ht="15.0" customHeight="1">
      <c r="A315" s="134" t="s">
        <v>249</v>
      </c>
      <c r="B315" s="3" t="s">
        <v>258</v>
      </c>
      <c r="C315" s="3" t="s">
        <v>65</v>
      </c>
      <c r="D315" s="3" t="s">
        <v>251</v>
      </c>
      <c r="E315" s="8">
        <v>2.0</v>
      </c>
      <c r="F315" s="183">
        <f t="shared" si="1"/>
        <v>5</v>
      </c>
      <c r="G315" s="168" t="s">
        <v>235</v>
      </c>
      <c r="H315" s="137">
        <v>11.6163766</v>
      </c>
      <c r="I315" s="137">
        <v>0.18095774</v>
      </c>
      <c r="J315" s="137">
        <v>6.18239631</v>
      </c>
      <c r="K315" s="120">
        <f t="shared" si="2"/>
        <v>64.19386427</v>
      </c>
      <c r="L315" s="121">
        <v>-0.0094</v>
      </c>
      <c r="M315" s="121">
        <v>-0.674</v>
      </c>
      <c r="N315" s="122">
        <f t="shared" si="8"/>
        <v>0.6646</v>
      </c>
      <c r="O315" s="120">
        <v>44.7</v>
      </c>
      <c r="P315" s="120">
        <v>9.30243200421306</v>
      </c>
      <c r="Q315" s="123">
        <v>8.972818000764578</v>
      </c>
      <c r="R315" s="120">
        <v>0.3</v>
      </c>
      <c r="S315" s="120">
        <v>0.9645669000000001</v>
      </c>
      <c r="T315" s="15"/>
      <c r="U315" s="161"/>
      <c r="AE315" s="15"/>
      <c r="AF315" s="15"/>
    </row>
    <row r="316" ht="15.0" customHeight="1">
      <c r="A316" s="134" t="s">
        <v>249</v>
      </c>
      <c r="B316" s="3" t="s">
        <v>258</v>
      </c>
      <c r="C316" s="3" t="s">
        <v>65</v>
      </c>
      <c r="D316" s="3" t="s">
        <v>251</v>
      </c>
      <c r="E316" s="8">
        <v>3.0</v>
      </c>
      <c r="F316" s="183">
        <f t="shared" si="1"/>
        <v>5</v>
      </c>
      <c r="G316" s="168" t="s">
        <v>235</v>
      </c>
      <c r="H316" s="137">
        <v>13.2807943</v>
      </c>
      <c r="I316" s="137">
        <v>0.19845169</v>
      </c>
      <c r="J316" s="137">
        <v>7.42509408</v>
      </c>
      <c r="K316" s="120">
        <f t="shared" si="2"/>
        <v>66.92205191</v>
      </c>
      <c r="L316" s="121">
        <v>-0.17</v>
      </c>
      <c r="M316" s="121">
        <v>-0.653</v>
      </c>
      <c r="N316" s="122">
        <f t="shared" si="8"/>
        <v>0.483</v>
      </c>
      <c r="O316" s="120">
        <v>48.4</v>
      </c>
      <c r="P316" s="120">
        <v>15.372865590062112</v>
      </c>
      <c r="Q316" s="123">
        <v>19.32153830823891</v>
      </c>
      <c r="R316" s="120">
        <v>0.7</v>
      </c>
      <c r="S316" s="120">
        <v>1.2568599000000003</v>
      </c>
      <c r="T316" s="15"/>
      <c r="U316" s="161"/>
      <c r="AE316" s="15"/>
      <c r="AF316" s="15"/>
    </row>
    <row r="317" ht="15.0" customHeight="1">
      <c r="A317" s="134" t="s">
        <v>249</v>
      </c>
      <c r="B317" s="3" t="s">
        <v>258</v>
      </c>
      <c r="C317" s="3" t="s">
        <v>65</v>
      </c>
      <c r="D317" s="3" t="s">
        <v>251</v>
      </c>
      <c r="E317" s="8">
        <v>4.0</v>
      </c>
      <c r="F317" s="183">
        <f t="shared" si="1"/>
        <v>5</v>
      </c>
      <c r="G317" s="168" t="s">
        <v>235</v>
      </c>
      <c r="H317" s="137">
        <v>10.9276665</v>
      </c>
      <c r="I317" s="137">
        <v>0.15949</v>
      </c>
      <c r="J317" s="137">
        <v>4.11155202</v>
      </c>
      <c r="K317" s="120">
        <f t="shared" si="2"/>
        <v>68.51631137</v>
      </c>
      <c r="L317" s="121"/>
      <c r="M317" s="121">
        <v>-0.622</v>
      </c>
      <c r="N317" s="122"/>
      <c r="O317" s="120">
        <v>38.1</v>
      </c>
      <c r="P317" s="120">
        <v>7.751794909502263</v>
      </c>
      <c r="Q317" s="123">
        <v>8.72331224951011</v>
      </c>
      <c r="R317" s="120">
        <v>0.9</v>
      </c>
      <c r="S317" s="120">
        <v>1.1253280500000002</v>
      </c>
      <c r="T317" s="15"/>
      <c r="U317" s="161"/>
      <c r="AE317" s="15"/>
      <c r="AF317" s="15"/>
    </row>
    <row r="318" ht="15.0" customHeight="1">
      <c r="A318" s="134" t="s">
        <v>249</v>
      </c>
      <c r="B318" s="3" t="s">
        <v>258</v>
      </c>
      <c r="C318" s="3" t="s">
        <v>65</v>
      </c>
      <c r="D318" s="3" t="s">
        <v>251</v>
      </c>
      <c r="E318" s="8">
        <v>5.0</v>
      </c>
      <c r="F318" s="183">
        <f t="shared" si="1"/>
        <v>5</v>
      </c>
      <c r="G318" s="168" t="s">
        <v>235</v>
      </c>
      <c r="H318" s="137">
        <v>10.6111089</v>
      </c>
      <c r="I318" s="137">
        <v>0.18559854</v>
      </c>
      <c r="J318" s="137">
        <v>7.39387296</v>
      </c>
      <c r="K318" s="120">
        <f t="shared" si="2"/>
        <v>57.17237269</v>
      </c>
      <c r="L318" s="121">
        <v>-0.165</v>
      </c>
      <c r="M318" s="121">
        <v>-0.522</v>
      </c>
      <c r="N318" s="122">
        <f>L318-M318</f>
        <v>0.357</v>
      </c>
      <c r="O318" s="120">
        <v>44.2</v>
      </c>
      <c r="P318" s="120">
        <v>20.711128739495802</v>
      </c>
      <c r="Q318" s="123">
        <v>22.70144232245043</v>
      </c>
      <c r="R318" s="120">
        <v>0.9</v>
      </c>
      <c r="S318" s="120">
        <v>1.0960987500000003</v>
      </c>
      <c r="T318" s="15"/>
      <c r="U318" s="161"/>
      <c r="AE318" s="15"/>
      <c r="AF318" s="15"/>
    </row>
    <row r="319" ht="15.0" customHeight="1">
      <c r="A319" s="134" t="s">
        <v>249</v>
      </c>
      <c r="B319" s="3" t="s">
        <v>258</v>
      </c>
      <c r="C319" s="3" t="s">
        <v>65</v>
      </c>
      <c r="D319" s="3" t="s">
        <v>251</v>
      </c>
      <c r="E319" s="8">
        <v>6.0</v>
      </c>
      <c r="F319" s="183">
        <f t="shared" si="1"/>
        <v>5</v>
      </c>
      <c r="G319" s="168" t="s">
        <v>235</v>
      </c>
      <c r="H319" s="137">
        <v>16.9747784</v>
      </c>
      <c r="I319" s="137">
        <v>0.26213945</v>
      </c>
      <c r="J319" s="137">
        <v>6.33234206</v>
      </c>
      <c r="K319" s="120">
        <f t="shared" si="2"/>
        <v>64.75476469</v>
      </c>
      <c r="L319" s="121"/>
      <c r="M319" s="121">
        <v>-0.68</v>
      </c>
      <c r="N319" s="122"/>
      <c r="O319" s="120">
        <v>41.2</v>
      </c>
      <c r="P319" s="120">
        <v>10.761968150917744</v>
      </c>
      <c r="Q319" s="123">
        <v>13.21172141829204</v>
      </c>
      <c r="R319" s="120">
        <v>0.4</v>
      </c>
      <c r="S319" s="120">
        <v>1.2276306000000001</v>
      </c>
      <c r="T319" s="15"/>
      <c r="U319" s="161"/>
      <c r="AE319" s="15"/>
      <c r="AF319" s="15"/>
    </row>
    <row r="320" ht="15.0" customHeight="1">
      <c r="A320" s="134" t="s">
        <v>256</v>
      </c>
      <c r="B320" s="3" t="s">
        <v>239</v>
      </c>
      <c r="C320" s="3" t="s">
        <v>243</v>
      </c>
      <c r="D320" s="135" t="s">
        <v>240</v>
      </c>
      <c r="E320" s="8">
        <v>1.0</v>
      </c>
      <c r="F320" s="183">
        <f t="shared" si="1"/>
        <v>6</v>
      </c>
      <c r="G320" s="168" t="s">
        <v>235</v>
      </c>
      <c r="H320" s="137">
        <v>13.3425853</v>
      </c>
      <c r="I320" s="137">
        <v>0.19043164</v>
      </c>
      <c r="J320" s="137">
        <v>5.75035241</v>
      </c>
      <c r="K320" s="120">
        <f t="shared" si="2"/>
        <v>70.06496032</v>
      </c>
      <c r="L320" s="121">
        <v>-0.12</v>
      </c>
      <c r="M320" s="121">
        <v>-0.57</v>
      </c>
      <c r="N320" s="122">
        <f t="shared" ref="N320:N322" si="9">L320-M320</f>
        <v>0.45</v>
      </c>
      <c r="O320" s="120">
        <v>36.3</v>
      </c>
      <c r="P320" s="120">
        <v>12.77856091111111</v>
      </c>
      <c r="Q320" s="123">
        <v>13.259547860589473</v>
      </c>
      <c r="R320" s="120">
        <v>0.9</v>
      </c>
      <c r="S320" s="120">
        <v>1.03764015</v>
      </c>
      <c r="T320" s="15"/>
      <c r="U320" s="161"/>
      <c r="AE320" s="15"/>
      <c r="AF320" s="15"/>
    </row>
    <row r="321" ht="15.0" customHeight="1">
      <c r="A321" s="134" t="s">
        <v>256</v>
      </c>
      <c r="B321" s="3" t="s">
        <v>239</v>
      </c>
      <c r="C321" s="3" t="s">
        <v>243</v>
      </c>
      <c r="D321" s="135" t="s">
        <v>240</v>
      </c>
      <c r="E321" s="8">
        <v>2.0</v>
      </c>
      <c r="F321" s="183">
        <f t="shared" si="1"/>
        <v>6</v>
      </c>
      <c r="G321" s="168" t="s">
        <v>235</v>
      </c>
      <c r="H321" s="137">
        <v>10.7291814</v>
      </c>
      <c r="I321" s="137">
        <v>0.15443055</v>
      </c>
      <c r="J321" s="137">
        <v>5.68505166</v>
      </c>
      <c r="K321" s="120">
        <f t="shared" si="2"/>
        <v>69.47577018</v>
      </c>
      <c r="L321" s="121">
        <v>-0.201</v>
      </c>
      <c r="M321" s="121">
        <v>-0.64</v>
      </c>
      <c r="N321" s="122">
        <f t="shared" si="9"/>
        <v>0.439</v>
      </c>
      <c r="O321" s="120">
        <v>35.2</v>
      </c>
      <c r="P321" s="120">
        <v>12.950003781321184</v>
      </c>
      <c r="Q321" s="123">
        <v>14.573002502726798</v>
      </c>
      <c r="R321" s="120">
        <v>0.6</v>
      </c>
      <c r="S321" s="120">
        <v>1.1253280500000002</v>
      </c>
      <c r="T321" s="15"/>
      <c r="U321" s="161"/>
      <c r="AE321" s="15"/>
      <c r="AF321" s="15"/>
    </row>
    <row r="322" ht="15.0" customHeight="1">
      <c r="A322" s="134" t="s">
        <v>256</v>
      </c>
      <c r="B322" s="3" t="s">
        <v>239</v>
      </c>
      <c r="C322" s="3" t="s">
        <v>243</v>
      </c>
      <c r="D322" s="135" t="s">
        <v>240</v>
      </c>
      <c r="E322" s="8">
        <v>3.0</v>
      </c>
      <c r="F322" s="183">
        <f t="shared" si="1"/>
        <v>6</v>
      </c>
      <c r="G322" s="168" t="s">
        <v>235</v>
      </c>
      <c r="H322" s="137">
        <v>15.0110647</v>
      </c>
      <c r="I322" s="137">
        <v>0.21616394</v>
      </c>
      <c r="J322" s="137">
        <v>8.16819112</v>
      </c>
      <c r="K322" s="120">
        <f t="shared" si="2"/>
        <v>69.44296398</v>
      </c>
      <c r="L322" s="121">
        <v>-0.134</v>
      </c>
      <c r="M322" s="121">
        <v>-0.666</v>
      </c>
      <c r="N322" s="122">
        <f t="shared" si="9"/>
        <v>0.532</v>
      </c>
      <c r="O322" s="120">
        <v>40.0</v>
      </c>
      <c r="P322" s="120">
        <v>15.353742706766916</v>
      </c>
      <c r="Q322" s="123">
        <v>15.931659885311031</v>
      </c>
      <c r="R322" s="120">
        <v>0.5</v>
      </c>
      <c r="S322" s="120">
        <v>1.03764015</v>
      </c>
      <c r="T322" s="15"/>
      <c r="U322" s="161"/>
      <c r="AE322" s="15"/>
      <c r="AF322" s="15"/>
    </row>
    <row r="323" ht="15.0" customHeight="1">
      <c r="A323" s="134" t="s">
        <v>256</v>
      </c>
      <c r="B323" s="3" t="s">
        <v>239</v>
      </c>
      <c r="C323" s="3" t="s">
        <v>243</v>
      </c>
      <c r="D323" s="135" t="s">
        <v>240</v>
      </c>
      <c r="E323" s="8">
        <v>4.0</v>
      </c>
      <c r="F323" s="183">
        <f t="shared" si="1"/>
        <v>6</v>
      </c>
      <c r="G323" s="168" t="s">
        <v>235</v>
      </c>
      <c r="H323" s="137">
        <v>10.0508278</v>
      </c>
      <c r="I323" s="137">
        <v>0.14986621</v>
      </c>
      <c r="J323" s="137">
        <v>4.01230981</v>
      </c>
      <c r="K323" s="120">
        <f t="shared" si="2"/>
        <v>67.06533648</v>
      </c>
      <c r="L323" s="121"/>
      <c r="M323" s="121">
        <v>-0.658</v>
      </c>
      <c r="N323" s="122"/>
      <c r="O323" s="120">
        <v>40.3</v>
      </c>
      <c r="P323" s="120">
        <v>8.077120905888272</v>
      </c>
      <c r="Q323" s="123">
        <v>7.6728791780706045</v>
      </c>
      <c r="R323" s="120">
        <v>0.4</v>
      </c>
      <c r="S323" s="120">
        <v>0.9499522500000003</v>
      </c>
      <c r="T323" s="15"/>
      <c r="U323" s="161"/>
      <c r="AE323" s="15"/>
      <c r="AF323" s="15"/>
    </row>
    <row r="324" ht="15.0" customHeight="1">
      <c r="A324" s="134" t="s">
        <v>256</v>
      </c>
      <c r="B324" s="3" t="s">
        <v>239</v>
      </c>
      <c r="C324" s="3" t="s">
        <v>243</v>
      </c>
      <c r="D324" s="135" t="s">
        <v>240</v>
      </c>
      <c r="E324" s="8">
        <v>5.0</v>
      </c>
      <c r="F324" s="183">
        <f t="shared" si="1"/>
        <v>6</v>
      </c>
      <c r="G324" s="168" t="s">
        <v>235</v>
      </c>
      <c r="H324" s="137">
        <v>15.3246773</v>
      </c>
      <c r="I324" s="137">
        <v>0.22740033</v>
      </c>
      <c r="J324" s="137">
        <v>8.39412337</v>
      </c>
      <c r="K324" s="120">
        <f t="shared" si="2"/>
        <v>67.39074345</v>
      </c>
      <c r="L324" s="121">
        <v>-0.19</v>
      </c>
      <c r="M324" s="121">
        <v>-0.637</v>
      </c>
      <c r="N324" s="122">
        <f>L324-M324</f>
        <v>0.447</v>
      </c>
      <c r="O324" s="120">
        <v>46.1</v>
      </c>
      <c r="P324" s="120">
        <v>18.778799485458613</v>
      </c>
      <c r="Q324" s="123">
        <v>18.387853987310574</v>
      </c>
      <c r="R324" s="120">
        <v>0.0</v>
      </c>
      <c r="S324" s="120">
        <v>0.9791815500000003</v>
      </c>
      <c r="T324" s="15"/>
      <c r="U324" s="161"/>
      <c r="AE324" s="15"/>
      <c r="AF324" s="15"/>
    </row>
    <row r="325" ht="15.0" customHeight="1">
      <c r="A325" s="134" t="s">
        <v>256</v>
      </c>
      <c r="B325" s="3" t="s">
        <v>239</v>
      </c>
      <c r="C325" s="3" t="s">
        <v>243</v>
      </c>
      <c r="D325" s="135" t="s">
        <v>240</v>
      </c>
      <c r="E325" s="8">
        <v>6.0</v>
      </c>
      <c r="F325" s="183">
        <f t="shared" si="1"/>
        <v>6</v>
      </c>
      <c r="G325" s="168" t="s">
        <v>235</v>
      </c>
      <c r="H325" s="137">
        <v>13.5032143</v>
      </c>
      <c r="I325" s="137">
        <v>0.20159196</v>
      </c>
      <c r="J325" s="137">
        <v>5.61229126</v>
      </c>
      <c r="K325" s="120">
        <f t="shared" si="2"/>
        <v>66.982901</v>
      </c>
      <c r="L325" s="121"/>
      <c r="M325" s="121">
        <v>-0.653</v>
      </c>
      <c r="N325" s="122"/>
      <c r="O325" s="120">
        <v>46.2</v>
      </c>
      <c r="P325" s="120">
        <v>11.412895292323334</v>
      </c>
      <c r="Q325" s="123">
        <v>13.176842144532307</v>
      </c>
      <c r="R325" s="120">
        <v>0.2</v>
      </c>
      <c r="S325" s="120">
        <v>1.1545573500000001</v>
      </c>
      <c r="T325" s="15"/>
      <c r="U325" s="161"/>
      <c r="AE325" s="15"/>
      <c r="AF325" s="15"/>
    </row>
    <row r="326" ht="15.0" customHeight="1">
      <c r="A326" s="134" t="s">
        <v>244</v>
      </c>
      <c r="B326" s="3" t="s">
        <v>258</v>
      </c>
      <c r="C326" s="3" t="s">
        <v>245</v>
      </c>
      <c r="D326" s="3" t="s">
        <v>251</v>
      </c>
      <c r="E326" s="8">
        <v>1.0</v>
      </c>
      <c r="F326" s="183">
        <f t="shared" si="1"/>
        <v>7</v>
      </c>
      <c r="G326" s="168" t="s">
        <v>235</v>
      </c>
      <c r="H326" s="137">
        <v>11.737031</v>
      </c>
      <c r="I326" s="137">
        <v>0.20585549</v>
      </c>
      <c r="J326" s="137">
        <v>6.09004534</v>
      </c>
      <c r="K326" s="120">
        <f t="shared" si="2"/>
        <v>57.01587555</v>
      </c>
      <c r="L326" s="121">
        <v>-0.17</v>
      </c>
      <c r="M326" s="121">
        <v>-0.642</v>
      </c>
      <c r="N326" s="122">
        <f t="shared" ref="N326:N328" si="10">L326-M326</f>
        <v>0.472</v>
      </c>
      <c r="O326" s="120">
        <v>49.9</v>
      </c>
      <c r="P326" s="120">
        <v>12.90263843220339</v>
      </c>
      <c r="Q326" s="123">
        <v>15.462538670582507</v>
      </c>
      <c r="R326" s="120">
        <v>0.6</v>
      </c>
      <c r="S326" s="120">
        <v>1.1984013000000002</v>
      </c>
      <c r="T326" s="15"/>
      <c r="U326" s="161"/>
      <c r="AE326" s="15"/>
      <c r="AF326" s="15"/>
    </row>
    <row r="327" ht="15.0" customHeight="1">
      <c r="A327" s="134" t="s">
        <v>244</v>
      </c>
      <c r="B327" s="3" t="s">
        <v>258</v>
      </c>
      <c r="C327" s="3" t="s">
        <v>245</v>
      </c>
      <c r="D327" s="3" t="s">
        <v>251</v>
      </c>
      <c r="E327" s="8">
        <v>2.0</v>
      </c>
      <c r="F327" s="183">
        <f t="shared" si="1"/>
        <v>7</v>
      </c>
      <c r="G327" s="168" t="s">
        <v>235</v>
      </c>
      <c r="H327" s="137">
        <v>10.4355313</v>
      </c>
      <c r="I327" s="137">
        <v>0.23157728</v>
      </c>
      <c r="J327" s="137">
        <v>6.79015311</v>
      </c>
      <c r="K327" s="120">
        <f t="shared" si="2"/>
        <v>45.06284598</v>
      </c>
      <c r="L327" s="121">
        <v>-0.135</v>
      </c>
      <c r="M327" s="121">
        <v>-0.641</v>
      </c>
      <c r="N327" s="122">
        <f t="shared" si="10"/>
        <v>0.506</v>
      </c>
      <c r="O327" s="120">
        <v>42.4</v>
      </c>
      <c r="P327" s="120">
        <v>13.419274920948617</v>
      </c>
      <c r="Q327" s="123">
        <v>13.139906416970598</v>
      </c>
      <c r="R327" s="120">
        <v>0.8</v>
      </c>
      <c r="S327" s="120">
        <v>0.9791815500000003</v>
      </c>
      <c r="T327" s="15"/>
      <c r="U327" s="161"/>
      <c r="AE327" s="15"/>
      <c r="AF327" s="15"/>
    </row>
    <row r="328" ht="15.0" customHeight="1">
      <c r="A328" s="134" t="s">
        <v>244</v>
      </c>
      <c r="B328" s="3" t="s">
        <v>258</v>
      </c>
      <c r="C328" s="3" t="s">
        <v>245</v>
      </c>
      <c r="D328" s="3" t="s">
        <v>251</v>
      </c>
      <c r="E328" s="8">
        <v>3.0</v>
      </c>
      <c r="F328" s="183">
        <f t="shared" si="1"/>
        <v>7</v>
      </c>
      <c r="G328" s="168" t="s">
        <v>235</v>
      </c>
      <c r="H328" s="137">
        <v>10.3936705</v>
      </c>
      <c r="I328" s="137">
        <v>0.1127696</v>
      </c>
      <c r="J328" s="137">
        <v>5.00388488</v>
      </c>
      <c r="K328" s="120">
        <f t="shared" si="2"/>
        <v>92.16730839</v>
      </c>
      <c r="L328" s="121">
        <v>-0.168</v>
      </c>
      <c r="M328" s="121">
        <v>-0.613</v>
      </c>
      <c r="N328" s="122">
        <f t="shared" si="10"/>
        <v>0.445</v>
      </c>
      <c r="O328" s="120">
        <v>49.6</v>
      </c>
      <c r="P328" s="120">
        <v>11.244685123595508</v>
      </c>
      <c r="Q328" s="123">
        <v>13.804319545090628</v>
      </c>
      <c r="R328" s="120">
        <v>0.6</v>
      </c>
      <c r="S328" s="120">
        <v>1.2276306000000001</v>
      </c>
      <c r="T328" s="15"/>
      <c r="U328" s="161"/>
      <c r="AE328" s="15"/>
      <c r="AF328" s="15"/>
    </row>
    <row r="329" ht="15.0" customHeight="1">
      <c r="A329" s="134" t="s">
        <v>244</v>
      </c>
      <c r="B329" s="3" t="s">
        <v>258</v>
      </c>
      <c r="C329" s="3" t="s">
        <v>245</v>
      </c>
      <c r="D329" s="3" t="s">
        <v>251</v>
      </c>
      <c r="E329" s="8">
        <v>4.0</v>
      </c>
      <c r="F329" s="183">
        <f t="shared" si="1"/>
        <v>7</v>
      </c>
      <c r="G329" s="168" t="s">
        <v>235</v>
      </c>
      <c r="H329" s="137">
        <v>13.983536</v>
      </c>
      <c r="I329" s="137">
        <v>0.21734176</v>
      </c>
      <c r="J329" s="137">
        <v>5.29054857</v>
      </c>
      <c r="K329" s="120">
        <f t="shared" si="2"/>
        <v>64.3389287</v>
      </c>
      <c r="L329" s="121"/>
      <c r="M329" s="121">
        <v>-0.604</v>
      </c>
      <c r="N329" s="122"/>
      <c r="O329" s="120">
        <v>47.3</v>
      </c>
      <c r="P329" s="120">
        <v>11.827741046277668</v>
      </c>
      <c r="Q329" s="123">
        <v>13.655805358876574</v>
      </c>
      <c r="R329" s="120">
        <v>0.5</v>
      </c>
      <c r="S329" s="120">
        <v>1.1545573500000001</v>
      </c>
      <c r="T329" s="15"/>
      <c r="U329" s="161"/>
      <c r="AE329" s="15"/>
      <c r="AF329" s="15"/>
    </row>
    <row r="330" ht="15.0" customHeight="1">
      <c r="A330" s="134" t="s">
        <v>244</v>
      </c>
      <c r="B330" s="3" t="s">
        <v>258</v>
      </c>
      <c r="C330" s="3" t="s">
        <v>245</v>
      </c>
      <c r="D330" s="3" t="s">
        <v>251</v>
      </c>
      <c r="E330" s="8">
        <v>5.0</v>
      </c>
      <c r="F330" s="183">
        <f t="shared" si="1"/>
        <v>7</v>
      </c>
      <c r="G330" s="168" t="s">
        <v>235</v>
      </c>
      <c r="H330" s="137">
        <v>10.7819183</v>
      </c>
      <c r="I330" s="137">
        <v>0.1753482</v>
      </c>
      <c r="J330" s="137">
        <v>6.76368138</v>
      </c>
      <c r="K330" s="120">
        <f t="shared" si="2"/>
        <v>61.48861693</v>
      </c>
      <c r="L330" s="121">
        <v>-0.154</v>
      </c>
      <c r="M330" s="121">
        <v>-0.702</v>
      </c>
      <c r="N330" s="122">
        <f>L330-M330</f>
        <v>0.548</v>
      </c>
      <c r="O330" s="120">
        <v>41.5</v>
      </c>
      <c r="P330" s="120">
        <v>12.342484270072996</v>
      </c>
      <c r="Q330" s="123">
        <v>11.905151790683073</v>
      </c>
      <c r="R330" s="120">
        <v>0.4</v>
      </c>
      <c r="S330" s="120">
        <v>0.9645669000000001</v>
      </c>
      <c r="T330" s="15"/>
      <c r="U330" s="161"/>
      <c r="AE330" s="15"/>
      <c r="AF330" s="15"/>
    </row>
    <row r="331" ht="15.0" customHeight="1">
      <c r="A331" s="134" t="s">
        <v>244</v>
      </c>
      <c r="B331" s="3" t="s">
        <v>258</v>
      </c>
      <c r="C331" s="3" t="s">
        <v>245</v>
      </c>
      <c r="D331" s="3" t="s">
        <v>251</v>
      </c>
      <c r="E331" s="8">
        <v>6.0</v>
      </c>
      <c r="F331" s="183">
        <f t="shared" si="1"/>
        <v>7</v>
      </c>
      <c r="G331" s="168" t="s">
        <v>235</v>
      </c>
      <c r="H331" s="137">
        <v>12.537203</v>
      </c>
      <c r="I331" s="137">
        <v>0.17720199</v>
      </c>
      <c r="J331" s="137">
        <v>5.18749733</v>
      </c>
      <c r="K331" s="120">
        <f t="shared" si="2"/>
        <v>70.75091538</v>
      </c>
      <c r="L331" s="121"/>
      <c r="M331" s="121">
        <v>-0.76</v>
      </c>
      <c r="N331" s="122"/>
      <c r="O331" s="120">
        <v>42.3</v>
      </c>
      <c r="P331" s="120">
        <v>8.59853693021714</v>
      </c>
      <c r="Q331" s="123">
        <v>9.424845581039847</v>
      </c>
      <c r="R331" s="120">
        <v>0.7</v>
      </c>
      <c r="S331" s="120">
        <v>1.0960987500000003</v>
      </c>
      <c r="T331" s="15"/>
      <c r="U331" s="161"/>
      <c r="AE331" s="15"/>
      <c r="AF331" s="15"/>
    </row>
    <row r="332" ht="15.0" customHeight="1">
      <c r="A332" s="134" t="s">
        <v>256</v>
      </c>
      <c r="B332" s="3" t="s">
        <v>250</v>
      </c>
      <c r="C332" s="3" t="s">
        <v>94</v>
      </c>
      <c r="D332" s="3" t="s">
        <v>251</v>
      </c>
      <c r="E332" s="8">
        <v>1.0</v>
      </c>
      <c r="F332" s="183">
        <f t="shared" si="1"/>
        <v>8</v>
      </c>
      <c r="G332" s="168" t="s">
        <v>235</v>
      </c>
      <c r="H332" s="137">
        <v>10.4828094</v>
      </c>
      <c r="I332" s="137">
        <v>0.19219754</v>
      </c>
      <c r="J332" s="137">
        <v>5.95173091</v>
      </c>
      <c r="K332" s="120">
        <f t="shared" si="2"/>
        <v>54.54185002</v>
      </c>
      <c r="L332" s="121">
        <v>-0.117</v>
      </c>
      <c r="M332" s="121">
        <v>-0.524</v>
      </c>
      <c r="N332" s="122">
        <f t="shared" ref="N332:N334" si="11">L332-M332</f>
        <v>0.407</v>
      </c>
      <c r="O332" s="120">
        <v>46.6</v>
      </c>
      <c r="P332" s="120">
        <v>14.62341746928747</v>
      </c>
      <c r="Q332" s="123">
        <v>16.456141865049204</v>
      </c>
      <c r="R332" s="120">
        <v>0.7</v>
      </c>
      <c r="S332" s="120">
        <v>1.1253280500000002</v>
      </c>
      <c r="T332" s="15"/>
      <c r="U332" s="161"/>
      <c r="AE332" s="15"/>
      <c r="AF332" s="15"/>
    </row>
    <row r="333" ht="15.0" customHeight="1">
      <c r="A333" s="134" t="s">
        <v>256</v>
      </c>
      <c r="B333" s="3" t="s">
        <v>250</v>
      </c>
      <c r="C333" s="3" t="s">
        <v>94</v>
      </c>
      <c r="D333" s="3" t="s">
        <v>251</v>
      </c>
      <c r="E333" s="8">
        <v>2.0</v>
      </c>
      <c r="F333" s="183">
        <f t="shared" si="1"/>
        <v>8</v>
      </c>
      <c r="G333" s="168" t="s">
        <v>235</v>
      </c>
      <c r="H333" s="137">
        <v>7.34044579</v>
      </c>
      <c r="I333" s="137">
        <v>0.12366937</v>
      </c>
      <c r="J333" s="137">
        <v>5.29472088</v>
      </c>
      <c r="K333" s="120">
        <f t="shared" si="2"/>
        <v>59.355407</v>
      </c>
      <c r="L333" s="121">
        <v>-0.107</v>
      </c>
      <c r="M333" s="121">
        <v>-0.687</v>
      </c>
      <c r="N333" s="122">
        <f t="shared" si="11"/>
        <v>0.58</v>
      </c>
      <c r="O333" s="120">
        <v>45.0</v>
      </c>
      <c r="P333" s="120">
        <v>9.128829103448275</v>
      </c>
      <c r="Q333" s="123">
        <v>9.072195673456305</v>
      </c>
      <c r="R333" s="120">
        <v>0.2</v>
      </c>
      <c r="S333" s="120">
        <v>0.9937962000000001</v>
      </c>
      <c r="T333" s="15"/>
      <c r="U333" s="161"/>
      <c r="AE333" s="15"/>
      <c r="AF333" s="15"/>
    </row>
    <row r="334" ht="15.0" customHeight="1">
      <c r="A334" s="134" t="s">
        <v>256</v>
      </c>
      <c r="B334" s="3" t="s">
        <v>250</v>
      </c>
      <c r="C334" s="3" t="s">
        <v>94</v>
      </c>
      <c r="D334" s="3" t="s">
        <v>251</v>
      </c>
      <c r="E334" s="8">
        <v>3.0</v>
      </c>
      <c r="F334" s="183">
        <f t="shared" si="1"/>
        <v>8</v>
      </c>
      <c r="G334" s="168" t="s">
        <v>235</v>
      </c>
      <c r="H334" s="137">
        <v>18.3615875</v>
      </c>
      <c r="I334" s="137">
        <v>0.31101636</v>
      </c>
      <c r="J334" s="137">
        <v>9.76312348</v>
      </c>
      <c r="K334" s="120">
        <f t="shared" si="2"/>
        <v>59.03736865</v>
      </c>
      <c r="L334" s="121">
        <v>-0.082</v>
      </c>
      <c r="M334" s="121">
        <v>-0.58</v>
      </c>
      <c r="N334" s="122">
        <f t="shared" si="11"/>
        <v>0.498</v>
      </c>
      <c r="O334" s="120">
        <v>45.9</v>
      </c>
      <c r="P334" s="120">
        <v>19.604665622489964</v>
      </c>
      <c r="Q334" s="123">
        <v>21.2021341565395</v>
      </c>
      <c r="R334" s="120">
        <v>0.0</v>
      </c>
      <c r="S334" s="120">
        <v>1.0814841000000002</v>
      </c>
      <c r="T334" s="15"/>
      <c r="U334" s="161"/>
      <c r="AE334" s="15"/>
      <c r="AF334" s="15"/>
    </row>
    <row r="335" ht="15.0" customHeight="1">
      <c r="A335" s="134" t="s">
        <v>256</v>
      </c>
      <c r="B335" s="3" t="s">
        <v>250</v>
      </c>
      <c r="C335" s="3" t="s">
        <v>94</v>
      </c>
      <c r="D335" s="3" t="s">
        <v>251</v>
      </c>
      <c r="E335" s="8">
        <v>4.0</v>
      </c>
      <c r="F335" s="183">
        <f t="shared" si="1"/>
        <v>8</v>
      </c>
      <c r="G335" s="168" t="s">
        <v>235</v>
      </c>
      <c r="H335" s="137">
        <v>9.7644732</v>
      </c>
      <c r="I335" s="137">
        <v>0.14144858</v>
      </c>
      <c r="J335" s="137">
        <v>3.9912446</v>
      </c>
      <c r="K335" s="120">
        <f t="shared" si="2"/>
        <v>69.03196342</v>
      </c>
      <c r="L335" s="121"/>
      <c r="M335" s="121">
        <v>-0.53</v>
      </c>
      <c r="N335" s="122"/>
      <c r="O335" s="120">
        <v>40.8</v>
      </c>
      <c r="P335" s="120">
        <v>9.871987632945832</v>
      </c>
      <c r="Q335" s="123">
        <v>10.434301337451132</v>
      </c>
      <c r="R335" s="120">
        <v>0.3</v>
      </c>
      <c r="S335" s="120">
        <v>1.0522548000000003</v>
      </c>
      <c r="T335" s="15"/>
      <c r="U335" s="161"/>
      <c r="AE335" s="15"/>
      <c r="AF335" s="15"/>
    </row>
    <row r="336" ht="15.0" customHeight="1">
      <c r="A336" s="134" t="s">
        <v>256</v>
      </c>
      <c r="B336" s="3" t="s">
        <v>250</v>
      </c>
      <c r="C336" s="3" t="s">
        <v>94</v>
      </c>
      <c r="D336" s="3" t="s">
        <v>251</v>
      </c>
      <c r="E336" s="8">
        <v>5.0</v>
      </c>
      <c r="F336" s="183">
        <f t="shared" si="1"/>
        <v>8</v>
      </c>
      <c r="G336" s="168" t="s">
        <v>235</v>
      </c>
      <c r="H336" s="137">
        <v>9.93120198</v>
      </c>
      <c r="I336" s="137">
        <v>0.12218978</v>
      </c>
      <c r="J336" s="137">
        <v>5.59182186</v>
      </c>
      <c r="K336" s="120">
        <f t="shared" si="2"/>
        <v>81.27686276</v>
      </c>
      <c r="L336" s="121">
        <v>-0.197</v>
      </c>
      <c r="M336" s="121">
        <v>-0.564</v>
      </c>
      <c r="N336" s="122">
        <f>L336-M336</f>
        <v>0.367</v>
      </c>
      <c r="O336" s="120">
        <v>42.5</v>
      </c>
      <c r="P336" s="120">
        <v>15.23657182561308</v>
      </c>
      <c r="Q336" s="123">
        <v>13.58330703030297</v>
      </c>
      <c r="R336" s="120">
        <v>0.4</v>
      </c>
      <c r="S336" s="120">
        <v>0.8914936500000001</v>
      </c>
      <c r="T336" s="15"/>
      <c r="U336" s="161"/>
      <c r="AE336" s="15"/>
      <c r="AF336" s="15"/>
    </row>
    <row r="337" ht="15.0" customHeight="1">
      <c r="A337" s="134" t="s">
        <v>256</v>
      </c>
      <c r="B337" s="3" t="s">
        <v>250</v>
      </c>
      <c r="C337" s="3" t="s">
        <v>94</v>
      </c>
      <c r="D337" s="3" t="s">
        <v>251</v>
      </c>
      <c r="E337" s="8">
        <v>6.0</v>
      </c>
      <c r="F337" s="183">
        <f t="shared" si="1"/>
        <v>8</v>
      </c>
      <c r="G337" s="168" t="s">
        <v>235</v>
      </c>
      <c r="H337" s="137">
        <v>11.8385694</v>
      </c>
      <c r="I337" s="137">
        <v>0.14597857</v>
      </c>
      <c r="J337" s="137">
        <v>4.45807634</v>
      </c>
      <c r="K337" s="120">
        <f t="shared" si="2"/>
        <v>81.09799541</v>
      </c>
      <c r="L337" s="121"/>
      <c r="M337" s="121">
        <v>-0.53</v>
      </c>
      <c r="N337" s="122"/>
      <c r="O337" s="120">
        <v>43.4</v>
      </c>
      <c r="P337" s="120">
        <v>11.026654316101904</v>
      </c>
      <c r="Q337" s="123">
        <v>12.14035255572317</v>
      </c>
      <c r="R337" s="120">
        <v>1.6</v>
      </c>
      <c r="S337" s="120">
        <v>1.0960987500000003</v>
      </c>
      <c r="T337" s="15"/>
      <c r="U337" s="161"/>
      <c r="AE337" s="15"/>
      <c r="AF337" s="15"/>
    </row>
    <row r="338" ht="15.0" customHeight="1">
      <c r="A338" s="134" t="s">
        <v>249</v>
      </c>
      <c r="B338" s="3" t="s">
        <v>239</v>
      </c>
      <c r="C338" s="3" t="s">
        <v>101</v>
      </c>
      <c r="D338" s="135" t="s">
        <v>240</v>
      </c>
      <c r="E338" s="8">
        <v>1.0</v>
      </c>
      <c r="F338" s="183">
        <f t="shared" si="1"/>
        <v>9</v>
      </c>
      <c r="G338" s="168" t="s">
        <v>235</v>
      </c>
      <c r="H338" s="137">
        <v>9.33053273</v>
      </c>
      <c r="I338" s="137">
        <v>0.23942021</v>
      </c>
      <c r="J338" s="137">
        <v>6.53882014</v>
      </c>
      <c r="K338" s="120">
        <f t="shared" si="2"/>
        <v>38.97136641</v>
      </c>
      <c r="L338" s="121">
        <v>-0.154</v>
      </c>
      <c r="M338" s="121">
        <v>-0.617</v>
      </c>
      <c r="N338" s="122">
        <f t="shared" ref="N338:N340" si="12">L338-M338</f>
        <v>0.463</v>
      </c>
      <c r="O338" s="120">
        <v>41.8</v>
      </c>
      <c r="P338" s="120">
        <v>14.122721684665228</v>
      </c>
      <c r="Q338" s="123">
        <v>10.73272899237722</v>
      </c>
      <c r="R338" s="120">
        <v>0.7</v>
      </c>
      <c r="S338" s="120">
        <v>0.7599618000000001</v>
      </c>
      <c r="T338" s="15"/>
      <c r="U338" s="161"/>
      <c r="AE338" s="15"/>
      <c r="AF338" s="15"/>
    </row>
    <row r="339" ht="15.0" customHeight="1">
      <c r="A339" s="134" t="s">
        <v>249</v>
      </c>
      <c r="B339" s="3" t="s">
        <v>239</v>
      </c>
      <c r="C339" s="3" t="s">
        <v>101</v>
      </c>
      <c r="D339" s="135" t="s">
        <v>240</v>
      </c>
      <c r="E339" s="8">
        <v>2.0</v>
      </c>
      <c r="F339" s="183">
        <f t="shared" si="1"/>
        <v>9</v>
      </c>
      <c r="G339" s="168" t="s">
        <v>235</v>
      </c>
      <c r="H339" s="137">
        <v>12.6168179</v>
      </c>
      <c r="I339" s="137">
        <v>0.19955231</v>
      </c>
      <c r="J339" s="137">
        <v>7.06397739</v>
      </c>
      <c r="K339" s="120">
        <f t="shared" si="2"/>
        <v>63.22561688</v>
      </c>
      <c r="L339" s="121">
        <v>-0.185</v>
      </c>
      <c r="M339" s="121">
        <v>-0.673</v>
      </c>
      <c r="N339" s="122">
        <f t="shared" si="12"/>
        <v>0.488</v>
      </c>
      <c r="O339" s="120">
        <v>43.2</v>
      </c>
      <c r="P339" s="120">
        <v>14.47536350409836</v>
      </c>
      <c r="Q339" s="123">
        <v>13.962456501521292</v>
      </c>
      <c r="R339" s="120">
        <v>1.0</v>
      </c>
      <c r="S339" s="120">
        <v>0.9645669000000001</v>
      </c>
      <c r="T339" s="15"/>
      <c r="U339" s="161"/>
      <c r="AE339" s="15"/>
      <c r="AF339" s="15"/>
    </row>
    <row r="340" ht="15.0" customHeight="1">
      <c r="A340" s="134" t="s">
        <v>249</v>
      </c>
      <c r="B340" s="3" t="s">
        <v>239</v>
      </c>
      <c r="C340" s="3" t="s">
        <v>101</v>
      </c>
      <c r="D340" s="135" t="s">
        <v>240</v>
      </c>
      <c r="E340" s="8">
        <v>3.0</v>
      </c>
      <c r="F340" s="183">
        <f t="shared" si="1"/>
        <v>9</v>
      </c>
      <c r="G340" s="168" t="s">
        <v>235</v>
      </c>
      <c r="H340" s="137">
        <v>13.8587333</v>
      </c>
      <c r="I340" s="137">
        <v>0.21472942</v>
      </c>
      <c r="J340" s="137">
        <v>7.78417289</v>
      </c>
      <c r="K340" s="120">
        <f t="shared" si="2"/>
        <v>64.54044956</v>
      </c>
      <c r="L340" s="121">
        <v>-0.156</v>
      </c>
      <c r="M340" s="121">
        <v>-0.73</v>
      </c>
      <c r="N340" s="122">
        <f t="shared" si="12"/>
        <v>0.574</v>
      </c>
      <c r="O340" s="120">
        <v>44.6</v>
      </c>
      <c r="P340" s="120">
        <v>13.56127681184669</v>
      </c>
      <c r="Q340" s="123">
        <v>13.873531991077872</v>
      </c>
      <c r="R340" s="120">
        <v>0.6</v>
      </c>
      <c r="S340" s="120">
        <v>1.0230255000000004</v>
      </c>
      <c r="T340" s="15"/>
      <c r="U340" s="161"/>
      <c r="AE340" s="15"/>
      <c r="AF340" s="15"/>
    </row>
    <row r="341" ht="15.0" customHeight="1">
      <c r="A341" s="134" t="s">
        <v>249</v>
      </c>
      <c r="B341" s="3" t="s">
        <v>239</v>
      </c>
      <c r="C341" s="3" t="s">
        <v>101</v>
      </c>
      <c r="D341" s="135" t="s">
        <v>240</v>
      </c>
      <c r="E341" s="8">
        <v>4.0</v>
      </c>
      <c r="F341" s="183">
        <f t="shared" si="1"/>
        <v>9</v>
      </c>
      <c r="G341" s="168" t="s">
        <v>235</v>
      </c>
      <c r="H341" s="137">
        <v>10.4245897</v>
      </c>
      <c r="I341" s="137">
        <v>0.13817543</v>
      </c>
      <c r="J341" s="137">
        <v>4.12852078</v>
      </c>
      <c r="K341" s="120">
        <f t="shared" si="2"/>
        <v>75.44459749</v>
      </c>
      <c r="L341" s="121"/>
      <c r="M341" s="121">
        <v>-0.69</v>
      </c>
      <c r="N341" s="122"/>
      <c r="O341" s="120">
        <v>46.9</v>
      </c>
      <c r="P341" s="120">
        <v>7.871345624404194</v>
      </c>
      <c r="Q341" s="123">
        <v>8.052587293078917</v>
      </c>
      <c r="R341" s="120">
        <v>0.2</v>
      </c>
      <c r="S341" s="120">
        <v>1.0230255000000004</v>
      </c>
      <c r="T341" s="15"/>
      <c r="U341" s="161"/>
      <c r="AE341" s="15"/>
      <c r="AF341" s="15"/>
    </row>
    <row r="342" ht="15.0" customHeight="1">
      <c r="A342" s="134" t="s">
        <v>249</v>
      </c>
      <c r="B342" s="3" t="s">
        <v>239</v>
      </c>
      <c r="C342" s="3" t="s">
        <v>101</v>
      </c>
      <c r="D342" s="135" t="s">
        <v>240</v>
      </c>
      <c r="E342" s="8">
        <v>5.0</v>
      </c>
      <c r="F342" s="183">
        <f t="shared" si="1"/>
        <v>9</v>
      </c>
      <c r="G342" s="168" t="s">
        <v>235</v>
      </c>
      <c r="H342" s="137">
        <v>11.1467847</v>
      </c>
      <c r="I342" s="137">
        <v>0.19594201</v>
      </c>
      <c r="J342" s="137">
        <v>7.55512813</v>
      </c>
      <c r="K342" s="120">
        <f t="shared" si="2"/>
        <v>56.88818187</v>
      </c>
      <c r="L342" s="121">
        <v>-0.167</v>
      </c>
      <c r="M342" s="121">
        <v>-0.695</v>
      </c>
      <c r="N342" s="122">
        <f>L342-M342</f>
        <v>0.528</v>
      </c>
      <c r="O342" s="120">
        <v>39.3</v>
      </c>
      <c r="P342" s="120">
        <v>14.308954791666668</v>
      </c>
      <c r="Q342" s="123">
        <v>16.938749657828538</v>
      </c>
      <c r="R342" s="120">
        <v>0.7</v>
      </c>
      <c r="S342" s="120">
        <v>1.1837866500000003</v>
      </c>
      <c r="T342" s="15"/>
      <c r="U342" s="161"/>
      <c r="AE342" s="15"/>
      <c r="AF342" s="15"/>
    </row>
    <row r="343" ht="15.0" customHeight="1">
      <c r="A343" s="134" t="s">
        <v>249</v>
      </c>
      <c r="B343" s="3" t="s">
        <v>239</v>
      </c>
      <c r="C343" s="3" t="s">
        <v>101</v>
      </c>
      <c r="D343" s="135" t="s">
        <v>240</v>
      </c>
      <c r="E343" s="8">
        <v>6.0</v>
      </c>
      <c r="F343" s="183">
        <f t="shared" si="1"/>
        <v>9</v>
      </c>
      <c r="G343" s="168" t="s">
        <v>235</v>
      </c>
      <c r="H343" s="137">
        <v>8.70487075</v>
      </c>
      <c r="I343" s="137">
        <v>0.11382239</v>
      </c>
      <c r="J343" s="137">
        <v>3.93574886</v>
      </c>
      <c r="K343" s="120">
        <f t="shared" si="2"/>
        <v>76.47766621</v>
      </c>
      <c r="L343" s="121"/>
      <c r="M343" s="121">
        <v>-0.638</v>
      </c>
      <c r="N343" s="122"/>
      <c r="O343" s="120">
        <v>43.9</v>
      </c>
      <c r="P343" s="120">
        <v>8.329627216931216</v>
      </c>
      <c r="Q343" s="123">
        <v>9.008359394038362</v>
      </c>
      <c r="R343" s="120">
        <v>0.4</v>
      </c>
      <c r="S343" s="120">
        <v>1.0814841000000002</v>
      </c>
      <c r="T343" s="15"/>
      <c r="U343" s="161"/>
      <c r="AE343" s="15"/>
      <c r="AF343" s="15"/>
    </row>
    <row r="344" ht="15.0" customHeight="1">
      <c r="A344" s="134" t="s">
        <v>256</v>
      </c>
      <c r="B344" s="3" t="s">
        <v>258</v>
      </c>
      <c r="C344" s="3" t="s">
        <v>246</v>
      </c>
      <c r="D344" s="3" t="s">
        <v>251</v>
      </c>
      <c r="E344" s="8">
        <v>1.0</v>
      </c>
      <c r="F344" s="183">
        <f t="shared" si="1"/>
        <v>10</v>
      </c>
      <c r="G344" s="168" t="s">
        <v>235</v>
      </c>
      <c r="H344" s="137">
        <v>13.7796091</v>
      </c>
      <c r="I344" s="137">
        <v>0.25879233</v>
      </c>
      <c r="J344" s="137">
        <v>7.31725846</v>
      </c>
      <c r="K344" s="120">
        <f t="shared" si="2"/>
        <v>53.24581722</v>
      </c>
      <c r="L344" s="121">
        <v>-0.14</v>
      </c>
      <c r="M344" s="121">
        <v>-0.55</v>
      </c>
      <c r="N344" s="122">
        <f t="shared" ref="N344:N346" si="13">L344-M344</f>
        <v>0.41</v>
      </c>
      <c r="O344" s="120">
        <v>47.7</v>
      </c>
      <c r="P344" s="120">
        <v>17.846971853658534</v>
      </c>
      <c r="Q344" s="123">
        <v>17.47542556247174</v>
      </c>
      <c r="R344" s="120">
        <v>0.4</v>
      </c>
      <c r="S344" s="120">
        <v>0.9791815500000003</v>
      </c>
      <c r="T344" s="15"/>
      <c r="U344" s="161"/>
      <c r="AE344" s="15"/>
      <c r="AF344" s="15"/>
    </row>
    <row r="345" ht="15.0" customHeight="1">
      <c r="A345" s="134" t="s">
        <v>256</v>
      </c>
      <c r="B345" s="3" t="s">
        <v>258</v>
      </c>
      <c r="C345" s="3" t="s">
        <v>246</v>
      </c>
      <c r="D345" s="3" t="s">
        <v>251</v>
      </c>
      <c r="E345" s="8">
        <v>2.0</v>
      </c>
      <c r="F345" s="183">
        <f t="shared" si="1"/>
        <v>10</v>
      </c>
      <c r="G345" s="168" t="s">
        <v>235</v>
      </c>
      <c r="H345" s="137">
        <v>10.2130249</v>
      </c>
      <c r="I345" s="137">
        <v>0.21573985</v>
      </c>
      <c r="J345" s="137">
        <v>7.32656607</v>
      </c>
      <c r="K345" s="120">
        <f t="shared" si="2"/>
        <v>47.33953834</v>
      </c>
      <c r="L345" s="121">
        <v>-0.092</v>
      </c>
      <c r="M345" s="121">
        <v>-0.533</v>
      </c>
      <c r="N345" s="122">
        <f t="shared" si="13"/>
        <v>0.441</v>
      </c>
      <c r="O345" s="120">
        <v>46.3</v>
      </c>
      <c r="P345" s="120">
        <v>16.61352850340136</v>
      </c>
      <c r="Q345" s="123">
        <v>13.83965154750738</v>
      </c>
      <c r="R345" s="120">
        <v>0.7</v>
      </c>
      <c r="S345" s="120">
        <v>0.8330350500000002</v>
      </c>
      <c r="T345" s="15"/>
      <c r="U345" s="161"/>
      <c r="AE345" s="15"/>
      <c r="AF345" s="15"/>
    </row>
    <row r="346" ht="15.0" customHeight="1">
      <c r="A346" s="134" t="s">
        <v>256</v>
      </c>
      <c r="B346" s="3" t="s">
        <v>258</v>
      </c>
      <c r="C346" s="3" t="s">
        <v>246</v>
      </c>
      <c r="D346" s="3" t="s">
        <v>251</v>
      </c>
      <c r="E346" s="8">
        <v>3.0</v>
      </c>
      <c r="F346" s="183">
        <f t="shared" si="1"/>
        <v>10</v>
      </c>
      <c r="G346" s="168" t="s">
        <v>235</v>
      </c>
      <c r="H346" s="137">
        <v>13.3355885</v>
      </c>
      <c r="I346" s="137">
        <v>0.18674052</v>
      </c>
      <c r="J346" s="137">
        <v>7.13420972</v>
      </c>
      <c r="K346" s="120">
        <f t="shared" si="2"/>
        <v>71.41239887</v>
      </c>
      <c r="L346" s="121">
        <v>-0.128</v>
      </c>
      <c r="M346" s="121">
        <v>-0.782</v>
      </c>
      <c r="N346" s="122">
        <f t="shared" si="13"/>
        <v>0.654</v>
      </c>
      <c r="O346" s="120">
        <v>32.2</v>
      </c>
      <c r="P346" s="120">
        <v>10.90857755351682</v>
      </c>
      <c r="Q346" s="123">
        <v>13.391703607170387</v>
      </c>
      <c r="R346" s="120">
        <v>0.5</v>
      </c>
      <c r="S346" s="120">
        <v>1.2276306000000001</v>
      </c>
      <c r="T346" s="15"/>
      <c r="U346" s="161"/>
      <c r="AE346" s="15"/>
      <c r="AF346" s="15"/>
    </row>
    <row r="347" ht="15.0" customHeight="1">
      <c r="A347" s="134" t="s">
        <v>256</v>
      </c>
      <c r="B347" s="3" t="s">
        <v>258</v>
      </c>
      <c r="C347" s="3" t="s">
        <v>246</v>
      </c>
      <c r="D347" s="3" t="s">
        <v>251</v>
      </c>
      <c r="E347" s="8">
        <v>4.0</v>
      </c>
      <c r="F347" s="183">
        <f t="shared" si="1"/>
        <v>10</v>
      </c>
      <c r="G347" s="168" t="s">
        <v>235</v>
      </c>
      <c r="H347" s="137">
        <v>9.38413651</v>
      </c>
      <c r="I347" s="137">
        <v>0.17420112</v>
      </c>
      <c r="J347" s="137">
        <v>4.46999309</v>
      </c>
      <c r="K347" s="120">
        <f t="shared" si="2"/>
        <v>53.86955325</v>
      </c>
      <c r="L347" s="121"/>
      <c r="M347" s="121">
        <v>-0.603</v>
      </c>
      <c r="N347" s="122"/>
      <c r="O347" s="120">
        <v>28.9</v>
      </c>
      <c r="P347" s="120">
        <v>9.541073831376735</v>
      </c>
      <c r="Q347" s="123">
        <v>11.434035282917861</v>
      </c>
      <c r="R347" s="120">
        <v>0.6</v>
      </c>
      <c r="S347" s="120">
        <v>1.1984013000000002</v>
      </c>
      <c r="T347" s="15"/>
      <c r="U347" s="161"/>
      <c r="AE347" s="15"/>
      <c r="AF347" s="15"/>
    </row>
    <row r="348" ht="15.0" customHeight="1">
      <c r="A348" s="134" t="s">
        <v>256</v>
      </c>
      <c r="B348" s="3" t="s">
        <v>258</v>
      </c>
      <c r="C348" s="3" t="s">
        <v>246</v>
      </c>
      <c r="D348" s="3" t="s">
        <v>251</v>
      </c>
      <c r="E348" s="8">
        <v>5.0</v>
      </c>
      <c r="F348" s="183">
        <f t="shared" si="1"/>
        <v>10</v>
      </c>
      <c r="G348" s="168" t="s">
        <v>235</v>
      </c>
      <c r="H348" s="137">
        <v>13.6580064</v>
      </c>
      <c r="I348" s="137">
        <v>0.22680209</v>
      </c>
      <c r="J348" s="137">
        <v>8.25187671</v>
      </c>
      <c r="K348" s="120">
        <f t="shared" si="2"/>
        <v>60.21993184</v>
      </c>
      <c r="L348" s="121">
        <v>-0.178</v>
      </c>
      <c r="M348" s="121">
        <v>-0.56</v>
      </c>
      <c r="N348" s="122">
        <f>L348-M348</f>
        <v>0.382</v>
      </c>
      <c r="O348" s="120">
        <v>46.0</v>
      </c>
      <c r="P348" s="120">
        <v>21.601771492146593</v>
      </c>
      <c r="Q348" s="123">
        <v>23.67767473032752</v>
      </c>
      <c r="R348" s="120">
        <v>1.1</v>
      </c>
      <c r="S348" s="120">
        <v>1.0960987500000003</v>
      </c>
      <c r="T348" s="15"/>
      <c r="U348" s="161"/>
      <c r="AE348" s="15"/>
      <c r="AF348" s="15"/>
    </row>
    <row r="349" ht="15.0" customHeight="1">
      <c r="A349" s="134" t="s">
        <v>256</v>
      </c>
      <c r="B349" s="3" t="s">
        <v>258</v>
      </c>
      <c r="C349" s="3" t="s">
        <v>246</v>
      </c>
      <c r="D349" s="3" t="s">
        <v>251</v>
      </c>
      <c r="E349" s="8">
        <v>6.0</v>
      </c>
      <c r="F349" s="183">
        <f t="shared" si="1"/>
        <v>10</v>
      </c>
      <c r="G349" s="168" t="s">
        <v>235</v>
      </c>
      <c r="H349" s="137">
        <v>10.360236</v>
      </c>
      <c r="I349" s="137">
        <v>0.12930368</v>
      </c>
      <c r="J349" s="137">
        <v>4.07583372</v>
      </c>
      <c r="K349" s="120">
        <f t="shared" si="2"/>
        <v>80.12328806</v>
      </c>
      <c r="L349" s="121"/>
      <c r="M349" s="121">
        <v>-0.62</v>
      </c>
      <c r="N349" s="122"/>
      <c r="O349" s="120">
        <v>46.2</v>
      </c>
      <c r="P349" s="120">
        <v>8.395126096807417</v>
      </c>
      <c r="Q349" s="123">
        <v>9.447270880024403</v>
      </c>
      <c r="R349" s="120">
        <v>0.6</v>
      </c>
      <c r="S349" s="120">
        <v>1.1253280500000002</v>
      </c>
      <c r="T349" s="15"/>
      <c r="U349" s="161"/>
      <c r="AE349" s="15"/>
      <c r="AF349" s="15"/>
    </row>
    <row r="350" ht="15.0" customHeight="1">
      <c r="A350" s="134" t="s">
        <v>244</v>
      </c>
      <c r="B350" s="3" t="s">
        <v>257</v>
      </c>
      <c r="C350" s="3" t="s">
        <v>247</v>
      </c>
      <c r="D350" s="135" t="s">
        <v>240</v>
      </c>
      <c r="E350" s="48">
        <v>1.0</v>
      </c>
      <c r="F350" s="183">
        <f t="shared" si="1"/>
        <v>11</v>
      </c>
      <c r="G350" s="168" t="s">
        <v>235</v>
      </c>
      <c r="H350" s="137">
        <v>14.7412859</v>
      </c>
      <c r="I350" s="137">
        <v>0.24845756</v>
      </c>
      <c r="J350" s="137">
        <v>7.70499714</v>
      </c>
      <c r="K350" s="120">
        <f t="shared" si="2"/>
        <v>59.33120288</v>
      </c>
      <c r="L350" s="121">
        <v>-0.22</v>
      </c>
      <c r="M350" s="121">
        <v>-0.66</v>
      </c>
      <c r="N350" s="122">
        <f t="shared" ref="N350:N352" si="14">L350-M350</f>
        <v>0.44</v>
      </c>
      <c r="O350" s="120">
        <v>41.2</v>
      </c>
      <c r="P350" s="120">
        <v>17.511357136363632</v>
      </c>
      <c r="Q350" s="123">
        <v>17.40272017896106</v>
      </c>
      <c r="R350" s="120">
        <v>0.7</v>
      </c>
      <c r="S350" s="120">
        <v>0.9937962000000001</v>
      </c>
      <c r="T350" s="15"/>
      <c r="U350" s="161"/>
      <c r="AE350" s="15"/>
      <c r="AF350" s="15"/>
    </row>
    <row r="351" ht="15.0" customHeight="1">
      <c r="A351" s="134" t="s">
        <v>244</v>
      </c>
      <c r="B351" s="3" t="s">
        <v>257</v>
      </c>
      <c r="C351" s="3" t="s">
        <v>247</v>
      </c>
      <c r="D351" s="135" t="s">
        <v>240</v>
      </c>
      <c r="E351" s="48">
        <v>2.0</v>
      </c>
      <c r="F351" s="183">
        <f t="shared" si="1"/>
        <v>11</v>
      </c>
      <c r="G351" s="168" t="s">
        <v>235</v>
      </c>
      <c r="H351" s="137">
        <v>10.195133</v>
      </c>
      <c r="I351" s="137">
        <v>0.17635909</v>
      </c>
      <c r="J351" s="137">
        <v>6.52518271</v>
      </c>
      <c r="K351" s="120">
        <f t="shared" si="2"/>
        <v>57.80894537</v>
      </c>
      <c r="L351" s="121">
        <v>-0.115</v>
      </c>
      <c r="M351" s="121">
        <v>-0.59</v>
      </c>
      <c r="N351" s="122">
        <f t="shared" si="14"/>
        <v>0.475</v>
      </c>
      <c r="O351" s="120">
        <v>44.2</v>
      </c>
      <c r="P351" s="120">
        <v>13.737226757894739</v>
      </c>
      <c r="Q351" s="123">
        <v>11.042061857049651</v>
      </c>
      <c r="R351" s="120">
        <v>0.0</v>
      </c>
      <c r="S351" s="120">
        <v>0.8038057500000002</v>
      </c>
      <c r="T351" s="15"/>
      <c r="U351" s="161"/>
      <c r="AE351" s="15"/>
      <c r="AF351" s="15"/>
    </row>
    <row r="352" ht="15.0" customHeight="1">
      <c r="A352" s="134" t="s">
        <v>244</v>
      </c>
      <c r="B352" s="3" t="s">
        <v>257</v>
      </c>
      <c r="C352" s="3" t="s">
        <v>247</v>
      </c>
      <c r="D352" s="135" t="s">
        <v>240</v>
      </c>
      <c r="E352" s="48">
        <v>3.0</v>
      </c>
      <c r="F352" s="183">
        <f t="shared" si="1"/>
        <v>11</v>
      </c>
      <c r="G352" s="168" t="s">
        <v>235</v>
      </c>
      <c r="H352" s="137">
        <v>11.5279234</v>
      </c>
      <c r="I352" s="137">
        <v>0.14836924</v>
      </c>
      <c r="J352" s="137">
        <v>6.22930419</v>
      </c>
      <c r="K352" s="120">
        <f t="shared" si="2"/>
        <v>77.69752949</v>
      </c>
      <c r="L352" s="121">
        <v>-0.09</v>
      </c>
      <c r="M352" s="121">
        <v>-0.606</v>
      </c>
      <c r="N352" s="122">
        <f t="shared" si="14"/>
        <v>0.516</v>
      </c>
      <c r="O352" s="120">
        <v>34.9</v>
      </c>
      <c r="P352" s="120">
        <v>12.072294941860465</v>
      </c>
      <c r="Q352" s="123">
        <v>10.409509551051602</v>
      </c>
      <c r="R352" s="120">
        <v>1.0</v>
      </c>
      <c r="S352" s="120">
        <v>0.8622643500000002</v>
      </c>
      <c r="T352" s="15"/>
      <c r="U352" s="161"/>
      <c r="AE352" s="15"/>
      <c r="AF352" s="15"/>
    </row>
    <row r="353" ht="15.0" customHeight="1">
      <c r="A353" s="134" t="s">
        <v>244</v>
      </c>
      <c r="B353" s="3" t="s">
        <v>257</v>
      </c>
      <c r="C353" s="3" t="s">
        <v>247</v>
      </c>
      <c r="D353" s="135" t="s">
        <v>240</v>
      </c>
      <c r="E353" s="48">
        <v>4.0</v>
      </c>
      <c r="F353" s="183">
        <f t="shared" si="1"/>
        <v>11</v>
      </c>
      <c r="G353" s="168" t="s">
        <v>235</v>
      </c>
      <c r="H353" s="137">
        <v>11.8955869</v>
      </c>
      <c r="I353" s="137">
        <v>0.16685718</v>
      </c>
      <c r="J353" s="137">
        <v>4.59240178</v>
      </c>
      <c r="K353" s="120">
        <f t="shared" si="2"/>
        <v>71.29202891</v>
      </c>
      <c r="L353" s="121"/>
      <c r="M353" s="121">
        <v>-0.68</v>
      </c>
      <c r="N353" s="122"/>
      <c r="O353" s="120">
        <v>42.7</v>
      </c>
      <c r="P353" s="120">
        <v>8.55195862197393</v>
      </c>
      <c r="Q353" s="123">
        <v>8.873855627298822</v>
      </c>
      <c r="R353" s="120">
        <v>1.0</v>
      </c>
      <c r="S353" s="120">
        <v>1.03764015</v>
      </c>
      <c r="T353" s="15"/>
      <c r="U353" s="161"/>
      <c r="AE353" s="15"/>
      <c r="AF353" s="15"/>
    </row>
    <row r="354" ht="15.0" customHeight="1">
      <c r="A354" s="134" t="s">
        <v>244</v>
      </c>
      <c r="B354" s="3" t="s">
        <v>257</v>
      </c>
      <c r="C354" s="3" t="s">
        <v>247</v>
      </c>
      <c r="D354" s="135" t="s">
        <v>240</v>
      </c>
      <c r="E354" s="48">
        <v>5.0</v>
      </c>
      <c r="F354" s="183">
        <f t="shared" si="1"/>
        <v>11</v>
      </c>
      <c r="G354" s="168" t="s">
        <v>235</v>
      </c>
      <c r="H354" s="137">
        <v>10.9251316</v>
      </c>
      <c r="I354" s="137">
        <v>0.15583727</v>
      </c>
      <c r="J354" s="137">
        <v>6.13492108</v>
      </c>
      <c r="K354" s="120">
        <f t="shared" si="2"/>
        <v>70.10602534</v>
      </c>
      <c r="L354" s="121">
        <v>-0.147</v>
      </c>
      <c r="M354" s="121">
        <v>-0.57</v>
      </c>
      <c r="N354" s="122">
        <f>L354-M354</f>
        <v>0.423</v>
      </c>
      <c r="O354" s="120">
        <v>39.6</v>
      </c>
      <c r="P354" s="120">
        <v>14.503359527186763</v>
      </c>
      <c r="Q354" s="123">
        <v>15.473191201922006</v>
      </c>
      <c r="R354" s="120">
        <v>0.8</v>
      </c>
      <c r="S354" s="120">
        <v>1.0668694500000002</v>
      </c>
      <c r="T354" s="15"/>
      <c r="U354" s="161"/>
      <c r="AE354" s="15"/>
      <c r="AF354" s="15"/>
    </row>
    <row r="355" ht="15.0" customHeight="1">
      <c r="A355" s="134" t="s">
        <v>244</v>
      </c>
      <c r="B355" s="3" t="s">
        <v>257</v>
      </c>
      <c r="C355" s="3" t="s">
        <v>247</v>
      </c>
      <c r="D355" s="135" t="s">
        <v>240</v>
      </c>
      <c r="E355" s="48">
        <v>6.0</v>
      </c>
      <c r="F355" s="183">
        <f t="shared" si="1"/>
        <v>11</v>
      </c>
      <c r="G355" s="168" t="s">
        <v>235</v>
      </c>
      <c r="H355" s="137">
        <v>11.2894794</v>
      </c>
      <c r="I355" s="137">
        <v>0.15902385</v>
      </c>
      <c r="J355" s="137">
        <v>4.52377126</v>
      </c>
      <c r="K355" s="120">
        <f t="shared" si="2"/>
        <v>70.99236624</v>
      </c>
      <c r="L355" s="121"/>
      <c r="M355" s="121">
        <v>-0.63</v>
      </c>
      <c r="N355" s="122"/>
      <c r="O355" s="120">
        <v>20.0</v>
      </c>
      <c r="P355" s="120">
        <v>9.327363422680413</v>
      </c>
      <c r="Q355" s="123">
        <v>11.177924451312657</v>
      </c>
      <c r="R355" s="120">
        <v>0.6</v>
      </c>
      <c r="S355" s="120">
        <v>1.1984013000000002</v>
      </c>
      <c r="T355" s="15"/>
      <c r="U355" s="161"/>
      <c r="AE355" s="15"/>
      <c r="AF355" s="15"/>
    </row>
    <row r="356" ht="15.0" customHeight="1">
      <c r="A356" s="134" t="s">
        <v>238</v>
      </c>
      <c r="B356" s="3" t="s">
        <v>250</v>
      </c>
      <c r="C356" s="3" t="s">
        <v>248</v>
      </c>
      <c r="D356" s="3" t="s">
        <v>251</v>
      </c>
      <c r="E356" s="48">
        <v>1.0</v>
      </c>
      <c r="F356" s="183">
        <f t="shared" si="1"/>
        <v>12</v>
      </c>
      <c r="G356" s="168" t="s">
        <v>235</v>
      </c>
      <c r="H356" s="137">
        <v>10.6132179</v>
      </c>
      <c r="I356" s="137">
        <v>0.15539134</v>
      </c>
      <c r="J356" s="137">
        <v>5.15438938</v>
      </c>
      <c r="K356" s="120">
        <f t="shared" si="2"/>
        <v>68.29993164</v>
      </c>
      <c r="L356" s="121">
        <v>-0.17</v>
      </c>
      <c r="M356" s="121">
        <v>-0.641</v>
      </c>
      <c r="N356" s="122">
        <f t="shared" ref="N356:N358" si="15">L356-M356</f>
        <v>0.471</v>
      </c>
      <c r="O356" s="120">
        <v>36.4</v>
      </c>
      <c r="P356" s="120">
        <v>10.94350186836518</v>
      </c>
      <c r="Q356" s="123">
        <v>9.276256075669187</v>
      </c>
      <c r="R356" s="120">
        <v>0.0</v>
      </c>
      <c r="S356" s="120">
        <v>0.8476497000000002</v>
      </c>
      <c r="T356" s="15"/>
      <c r="U356" s="161"/>
      <c r="AE356" s="15"/>
      <c r="AF356" s="15"/>
    </row>
    <row r="357" ht="15.0" customHeight="1">
      <c r="A357" s="134" t="s">
        <v>238</v>
      </c>
      <c r="B357" s="3" t="s">
        <v>250</v>
      </c>
      <c r="C357" s="3" t="s">
        <v>248</v>
      </c>
      <c r="D357" s="3" t="s">
        <v>251</v>
      </c>
      <c r="E357" s="48">
        <v>2.0</v>
      </c>
      <c r="F357" s="183">
        <f t="shared" si="1"/>
        <v>12</v>
      </c>
      <c r="G357" s="168" t="s">
        <v>235</v>
      </c>
      <c r="H357" s="137">
        <v>5.62042045</v>
      </c>
      <c r="I357" s="137">
        <v>0.07089515</v>
      </c>
      <c r="J357" s="137">
        <v>3.39676722</v>
      </c>
      <c r="K357" s="120">
        <f t="shared" si="2"/>
        <v>79.27792592</v>
      </c>
      <c r="L357" s="121">
        <v>-0.116</v>
      </c>
      <c r="M357" s="121">
        <v>-0.82</v>
      </c>
      <c r="N357" s="122">
        <f t="shared" si="15"/>
        <v>0.704</v>
      </c>
      <c r="O357" s="120">
        <v>24.2</v>
      </c>
      <c r="P357" s="120">
        <v>4.8249534375000005</v>
      </c>
      <c r="Q357" s="123">
        <v>3.7372953050340483</v>
      </c>
      <c r="R357" s="120">
        <v>0.7</v>
      </c>
      <c r="S357" s="120">
        <v>0.7745764500000002</v>
      </c>
      <c r="T357" s="15"/>
      <c r="U357" s="161"/>
      <c r="AE357" s="15"/>
      <c r="AF357" s="15"/>
    </row>
    <row r="358" ht="15.0" customHeight="1">
      <c r="A358" s="134" t="s">
        <v>238</v>
      </c>
      <c r="B358" s="3" t="s">
        <v>250</v>
      </c>
      <c r="C358" s="3" t="s">
        <v>248</v>
      </c>
      <c r="D358" s="3" t="s">
        <v>251</v>
      </c>
      <c r="E358" s="48">
        <v>3.0</v>
      </c>
      <c r="F358" s="183">
        <f t="shared" si="1"/>
        <v>12</v>
      </c>
      <c r="G358" s="168" t="s">
        <v>235</v>
      </c>
      <c r="H358" s="137">
        <v>11.2996487</v>
      </c>
      <c r="I358" s="137">
        <v>0.19736628</v>
      </c>
      <c r="J358" s="137">
        <v>7.44836175</v>
      </c>
      <c r="K358" s="120">
        <f t="shared" si="2"/>
        <v>57.25217448</v>
      </c>
      <c r="L358" s="121">
        <v>-0.176</v>
      </c>
      <c r="M358" s="121">
        <v>-0.598</v>
      </c>
      <c r="N358" s="122">
        <f t="shared" si="15"/>
        <v>0.422</v>
      </c>
      <c r="O358" s="120">
        <v>23.1</v>
      </c>
      <c r="P358" s="120">
        <v>17.65014632701422</v>
      </c>
      <c r="Q358" s="123">
        <v>19.346303326357383</v>
      </c>
      <c r="R358" s="120">
        <v>0.0</v>
      </c>
      <c r="S358" s="120">
        <v>1.0960987500000003</v>
      </c>
      <c r="T358" s="15"/>
      <c r="U358" s="161"/>
      <c r="AE358" s="15"/>
      <c r="AF358" s="15"/>
    </row>
    <row r="359" ht="15.0" customHeight="1">
      <c r="A359" s="134" t="s">
        <v>238</v>
      </c>
      <c r="B359" s="3" t="s">
        <v>250</v>
      </c>
      <c r="C359" s="3" t="s">
        <v>248</v>
      </c>
      <c r="D359" s="3" t="s">
        <v>251</v>
      </c>
      <c r="E359" s="48">
        <v>4.0</v>
      </c>
      <c r="F359" s="183">
        <f t="shared" si="1"/>
        <v>12</v>
      </c>
      <c r="G359" s="168" t="s">
        <v>235</v>
      </c>
      <c r="H359" s="137">
        <v>11.5261669</v>
      </c>
      <c r="I359" s="137">
        <v>0.17510581</v>
      </c>
      <c r="J359" s="137">
        <v>4.9190374</v>
      </c>
      <c r="K359" s="120">
        <f t="shared" si="2"/>
        <v>65.82401178</v>
      </c>
      <c r="L359" s="121"/>
      <c r="M359" s="121">
        <v>-0.73</v>
      </c>
      <c r="N359" s="122"/>
      <c r="O359" s="120">
        <v>43.8</v>
      </c>
      <c r="P359" s="120">
        <v>8.683208120035303</v>
      </c>
      <c r="Q359" s="123">
        <v>9.898359709014972</v>
      </c>
      <c r="R359" s="120">
        <v>0.7</v>
      </c>
      <c r="S359" s="120">
        <v>1.1399427000000004</v>
      </c>
      <c r="T359" s="15"/>
      <c r="U359" s="161"/>
      <c r="AE359" s="15"/>
      <c r="AF359" s="15"/>
    </row>
    <row r="360" ht="15.0" customHeight="1">
      <c r="A360" s="134" t="s">
        <v>238</v>
      </c>
      <c r="B360" s="3" t="s">
        <v>250</v>
      </c>
      <c r="C360" s="3" t="s">
        <v>248</v>
      </c>
      <c r="D360" s="3" t="s">
        <v>251</v>
      </c>
      <c r="E360" s="48">
        <v>5.0</v>
      </c>
      <c r="F360" s="183">
        <f t="shared" si="1"/>
        <v>12</v>
      </c>
      <c r="G360" s="168" t="s">
        <v>235</v>
      </c>
      <c r="H360" s="137">
        <v>17.914099</v>
      </c>
      <c r="I360" s="137">
        <v>0.25014782</v>
      </c>
      <c r="J360" s="137">
        <v>8.91386627</v>
      </c>
      <c r="K360" s="120">
        <f t="shared" si="2"/>
        <v>71.61405204</v>
      </c>
      <c r="L360" s="121">
        <v>-0.192</v>
      </c>
      <c r="M360" s="121">
        <v>-0.67</v>
      </c>
      <c r="N360" s="122">
        <f>L360-M360</f>
        <v>0.478</v>
      </c>
      <c r="O360" s="120">
        <v>41.5</v>
      </c>
      <c r="P360" s="120">
        <v>18.64825579497908</v>
      </c>
      <c r="Q360" s="123">
        <v>20.985405329665006</v>
      </c>
      <c r="R360" s="120">
        <v>0.7</v>
      </c>
      <c r="S360" s="120">
        <v>1.1253280500000002</v>
      </c>
      <c r="T360" s="15"/>
      <c r="U360" s="161"/>
      <c r="AE360" s="15"/>
      <c r="AF360" s="15"/>
    </row>
    <row r="361" ht="15.0" customHeight="1">
      <c r="A361" s="134" t="s">
        <v>238</v>
      </c>
      <c r="B361" s="3" t="s">
        <v>250</v>
      </c>
      <c r="C361" s="3" t="s">
        <v>248</v>
      </c>
      <c r="D361" s="3" t="s">
        <v>251</v>
      </c>
      <c r="E361" s="48">
        <v>6.0</v>
      </c>
      <c r="F361" s="183">
        <f t="shared" si="1"/>
        <v>12</v>
      </c>
      <c r="G361" s="168" t="s">
        <v>235</v>
      </c>
      <c r="H361" s="137">
        <v>10.9537031</v>
      </c>
      <c r="I361" s="137">
        <v>0.13019754</v>
      </c>
      <c r="J361" s="137">
        <v>4.33608003</v>
      </c>
      <c r="K361" s="120">
        <f t="shared" si="2"/>
        <v>84.1314137</v>
      </c>
      <c r="L361" s="121"/>
      <c r="M361" s="121">
        <v>-0.628</v>
      </c>
      <c r="N361" s="122"/>
      <c r="O361" s="120">
        <v>49.5</v>
      </c>
      <c r="P361" s="120">
        <v>9.33494086114101</v>
      </c>
      <c r="Q361" s="123">
        <v>11.596285943783334</v>
      </c>
      <c r="R361" s="120">
        <v>0.4</v>
      </c>
      <c r="S361" s="120">
        <v>1.2422452500000003</v>
      </c>
      <c r="T361" s="15"/>
      <c r="U361" s="161"/>
      <c r="AE361" s="15"/>
      <c r="AF361" s="15"/>
    </row>
    <row r="362" ht="15.0" customHeight="1">
      <c r="A362" s="134" t="s">
        <v>238</v>
      </c>
      <c r="B362" s="3" t="s">
        <v>257</v>
      </c>
      <c r="C362" s="3" t="s">
        <v>252</v>
      </c>
      <c r="D362" s="135" t="s">
        <v>240</v>
      </c>
      <c r="E362" s="48">
        <v>1.0</v>
      </c>
      <c r="F362" s="183">
        <f t="shared" si="1"/>
        <v>13</v>
      </c>
      <c r="G362" s="168" t="s">
        <v>235</v>
      </c>
      <c r="H362" s="137">
        <v>11.2931543</v>
      </c>
      <c r="I362" s="137">
        <v>0.19925467</v>
      </c>
      <c r="J362" s="137">
        <v>6.80138194</v>
      </c>
      <c r="K362" s="120">
        <f t="shared" si="2"/>
        <v>56.67698679</v>
      </c>
      <c r="L362" s="121">
        <v>-0.27</v>
      </c>
      <c r="M362" s="121">
        <v>-0.72</v>
      </c>
      <c r="N362" s="122">
        <f t="shared" ref="N362:N364" si="16">L362-M362</f>
        <v>0.45</v>
      </c>
      <c r="O362" s="120">
        <v>42.9</v>
      </c>
      <c r="P362" s="120">
        <v>15.11418208888889</v>
      </c>
      <c r="Q362" s="123">
        <v>11.927977988330523</v>
      </c>
      <c r="R362" s="120">
        <v>0.0</v>
      </c>
      <c r="S362" s="120">
        <v>0.7891911000000001</v>
      </c>
      <c r="T362" s="15"/>
      <c r="U362" s="161"/>
      <c r="AE362" s="15"/>
      <c r="AF362" s="15"/>
    </row>
    <row r="363" ht="15.0" customHeight="1">
      <c r="A363" s="134" t="s">
        <v>238</v>
      </c>
      <c r="B363" s="3" t="s">
        <v>257</v>
      </c>
      <c r="C363" s="3" t="s">
        <v>252</v>
      </c>
      <c r="D363" s="135" t="s">
        <v>240</v>
      </c>
      <c r="E363" s="48">
        <v>2.0</v>
      </c>
      <c r="F363" s="183">
        <f t="shared" si="1"/>
        <v>13</v>
      </c>
      <c r="G363" s="168" t="s">
        <v>235</v>
      </c>
      <c r="H363" s="137">
        <v>14.0391364</v>
      </c>
      <c r="I363" s="137">
        <v>0.24601472</v>
      </c>
      <c r="J363" s="137">
        <v>8.54323515</v>
      </c>
      <c r="K363" s="120">
        <f t="shared" si="2"/>
        <v>57.06624547</v>
      </c>
      <c r="L363" s="121">
        <v>-0.203</v>
      </c>
      <c r="M363" s="121">
        <v>-0.74</v>
      </c>
      <c r="N363" s="122">
        <f t="shared" si="16"/>
        <v>0.537</v>
      </c>
      <c r="O363" s="120">
        <v>53.9</v>
      </c>
      <c r="P363" s="120">
        <v>15.909190223463687</v>
      </c>
      <c r="Q363" s="123">
        <v>16.04300003605471</v>
      </c>
      <c r="R363" s="120">
        <v>0.8</v>
      </c>
      <c r="S363" s="120">
        <v>1.0084108500000002</v>
      </c>
      <c r="T363" s="15"/>
      <c r="U363" s="161"/>
      <c r="AE363" s="15"/>
      <c r="AF363" s="15"/>
    </row>
    <row r="364" ht="15.0" customHeight="1">
      <c r="A364" s="134" t="s">
        <v>238</v>
      </c>
      <c r="B364" s="3" t="s">
        <v>257</v>
      </c>
      <c r="C364" s="3" t="s">
        <v>252</v>
      </c>
      <c r="D364" s="135" t="s">
        <v>240</v>
      </c>
      <c r="E364" s="48">
        <v>3.0</v>
      </c>
      <c r="F364" s="183">
        <f t="shared" si="1"/>
        <v>13</v>
      </c>
      <c r="G364" s="168" t="s">
        <v>235</v>
      </c>
      <c r="H364" s="137">
        <v>12.8117538</v>
      </c>
      <c r="I364" s="137">
        <v>0.19491533</v>
      </c>
      <c r="J364" s="137">
        <v>7.2399044</v>
      </c>
      <c r="K364" s="120">
        <f t="shared" si="2"/>
        <v>65.72984177</v>
      </c>
      <c r="L364" s="121">
        <v>-0.154</v>
      </c>
      <c r="M364" s="121">
        <v>-0.847</v>
      </c>
      <c r="N364" s="122">
        <f t="shared" si="16"/>
        <v>0.693</v>
      </c>
      <c r="O364" s="120">
        <v>48.9</v>
      </c>
      <c r="P364" s="120">
        <v>10.447192496392498</v>
      </c>
      <c r="Q364" s="123">
        <v>10.687744327218187</v>
      </c>
      <c r="R364" s="120">
        <v>0.7</v>
      </c>
      <c r="S364" s="120">
        <v>1.0230255000000004</v>
      </c>
      <c r="T364" s="15"/>
      <c r="U364" s="161"/>
      <c r="AE364" s="15"/>
      <c r="AF364" s="15"/>
    </row>
    <row r="365" ht="15.0" customHeight="1">
      <c r="A365" s="134" t="s">
        <v>238</v>
      </c>
      <c r="B365" s="3" t="s">
        <v>257</v>
      </c>
      <c r="C365" s="3" t="s">
        <v>252</v>
      </c>
      <c r="D365" s="135" t="s">
        <v>240</v>
      </c>
      <c r="E365" s="48">
        <v>4.0</v>
      </c>
      <c r="F365" s="183">
        <f t="shared" si="1"/>
        <v>13</v>
      </c>
      <c r="G365" s="168" t="s">
        <v>235</v>
      </c>
      <c r="H365" s="137">
        <v>10.8063179</v>
      </c>
      <c r="I365" s="137">
        <v>0.22490988</v>
      </c>
      <c r="J365" s="137">
        <v>5.73867514</v>
      </c>
      <c r="K365" s="120">
        <f t="shared" si="2"/>
        <v>48.04732411</v>
      </c>
      <c r="L365" s="121"/>
      <c r="M365" s="121">
        <v>-0.738</v>
      </c>
      <c r="N365" s="122"/>
      <c r="O365" s="120">
        <v>47.4</v>
      </c>
      <c r="P365" s="120">
        <v>10.726495588785047</v>
      </c>
      <c r="Q365" s="123">
        <v>10.503186576694707</v>
      </c>
      <c r="R365" s="120">
        <v>0.7</v>
      </c>
      <c r="S365" s="120">
        <v>0.9791815500000003</v>
      </c>
      <c r="T365" s="15"/>
      <c r="U365" s="161"/>
      <c r="AE365" s="15"/>
      <c r="AF365" s="15"/>
    </row>
    <row r="366" ht="15.0" customHeight="1">
      <c r="A366" s="134" t="s">
        <v>238</v>
      </c>
      <c r="B366" s="3" t="s">
        <v>257</v>
      </c>
      <c r="C366" s="3" t="s">
        <v>252</v>
      </c>
      <c r="D366" s="135" t="s">
        <v>240</v>
      </c>
      <c r="E366" s="48">
        <v>5.0</v>
      </c>
      <c r="F366" s="183">
        <f t="shared" si="1"/>
        <v>13</v>
      </c>
      <c r="G366" s="168" t="s">
        <v>235</v>
      </c>
      <c r="H366" s="137">
        <v>10.6224622</v>
      </c>
      <c r="I366" s="137">
        <v>0.17187445</v>
      </c>
      <c r="J366" s="137">
        <v>7.03991453</v>
      </c>
      <c r="K366" s="120">
        <f t="shared" si="2"/>
        <v>61.80361421</v>
      </c>
      <c r="L366" s="121">
        <v>-0.185</v>
      </c>
      <c r="M366" s="121">
        <v>-0.722</v>
      </c>
      <c r="N366" s="122">
        <f>L366-M366</f>
        <v>0.537</v>
      </c>
      <c r="O366" s="120">
        <v>37.9</v>
      </c>
      <c r="P366" s="120">
        <v>19.868242965597045</v>
      </c>
      <c r="Q366" s="123">
        <v>19.454616942829915</v>
      </c>
      <c r="R366" s="120">
        <v>0.6</v>
      </c>
      <c r="S366" s="120">
        <v>0.9791815500000003</v>
      </c>
      <c r="T366" s="15"/>
      <c r="U366" s="161"/>
      <c r="AE366" s="15"/>
      <c r="AF366" s="15"/>
    </row>
    <row r="367" ht="15.0" customHeight="1">
      <c r="A367" s="134" t="s">
        <v>238</v>
      </c>
      <c r="B367" s="3" t="s">
        <v>257</v>
      </c>
      <c r="C367" s="3" t="s">
        <v>252</v>
      </c>
      <c r="D367" s="135" t="s">
        <v>240</v>
      </c>
      <c r="E367" s="48">
        <v>6.0</v>
      </c>
      <c r="F367" s="183">
        <f t="shared" si="1"/>
        <v>13</v>
      </c>
      <c r="G367" s="168" t="s">
        <v>235</v>
      </c>
      <c r="H367" s="137">
        <v>11.8741097</v>
      </c>
      <c r="I367" s="137">
        <v>0.16775136</v>
      </c>
      <c r="J367" s="137">
        <v>5.00525825</v>
      </c>
      <c r="K367" s="120">
        <f t="shared" si="2"/>
        <v>70.7839847</v>
      </c>
      <c r="L367" s="121"/>
      <c r="M367" s="121">
        <v>-0.812</v>
      </c>
      <c r="N367" s="122"/>
      <c r="O367" s="120">
        <v>47.2</v>
      </c>
      <c r="P367" s="120">
        <v>8.21881486042693</v>
      </c>
      <c r="Q367" s="123">
        <v>10.089668618394828</v>
      </c>
      <c r="R367" s="120">
        <v>1.0</v>
      </c>
      <c r="S367" s="120">
        <v>1.2276306000000001</v>
      </c>
      <c r="T367" s="15"/>
      <c r="U367" s="161"/>
      <c r="AE367" s="15"/>
      <c r="AF367" s="15"/>
    </row>
    <row r="368" ht="15.0" customHeight="1">
      <c r="A368" s="134" t="s">
        <v>238</v>
      </c>
      <c r="B368" s="3" t="s">
        <v>258</v>
      </c>
      <c r="C368" s="3" t="s">
        <v>253</v>
      </c>
      <c r="D368" s="3" t="s">
        <v>251</v>
      </c>
      <c r="E368" s="48">
        <v>1.0</v>
      </c>
      <c r="F368" s="183">
        <f t="shared" si="1"/>
        <v>14</v>
      </c>
      <c r="G368" s="168" t="s">
        <v>235</v>
      </c>
      <c r="H368" s="137">
        <v>16.4084819</v>
      </c>
      <c r="I368" s="137">
        <v>0.29975544</v>
      </c>
      <c r="J368" s="137">
        <v>8.32004114</v>
      </c>
      <c r="K368" s="120">
        <f t="shared" si="2"/>
        <v>54.73956336</v>
      </c>
      <c r="L368" s="121">
        <v>-0.194</v>
      </c>
      <c r="M368" s="121">
        <v>-0.63</v>
      </c>
      <c r="N368" s="122">
        <f t="shared" ref="N368:N370" si="17">L368-M368</f>
        <v>0.436</v>
      </c>
      <c r="O368" s="120">
        <v>34.1</v>
      </c>
      <c r="P368" s="120">
        <v>19.082663165137618</v>
      </c>
      <c r="Q368" s="123">
        <v>15.617640820677197</v>
      </c>
      <c r="R368" s="120">
        <v>1.1</v>
      </c>
      <c r="S368" s="120">
        <v>0.8184204000000002</v>
      </c>
      <c r="T368" s="15"/>
      <c r="U368" s="161"/>
      <c r="AE368" s="15"/>
      <c r="AF368" s="15"/>
    </row>
    <row r="369" ht="15.0" customHeight="1">
      <c r="A369" s="134" t="s">
        <v>238</v>
      </c>
      <c r="B369" s="3" t="s">
        <v>258</v>
      </c>
      <c r="C369" s="3" t="s">
        <v>253</v>
      </c>
      <c r="D369" s="3" t="s">
        <v>251</v>
      </c>
      <c r="E369" s="48">
        <v>2.0</v>
      </c>
      <c r="F369" s="183">
        <f t="shared" si="1"/>
        <v>14</v>
      </c>
      <c r="G369" s="168" t="s">
        <v>235</v>
      </c>
      <c r="H369" s="137">
        <v>9.87480274</v>
      </c>
      <c r="I369" s="137">
        <v>0.15030983</v>
      </c>
      <c r="J369" s="137">
        <v>6.23268725</v>
      </c>
      <c r="K369" s="120">
        <f t="shared" si="2"/>
        <v>65.69632033</v>
      </c>
      <c r="L369" s="121">
        <v>-0.21</v>
      </c>
      <c r="M369" s="121">
        <v>-0.76</v>
      </c>
      <c r="N369" s="122">
        <f t="shared" si="17"/>
        <v>0.55</v>
      </c>
      <c r="O369" s="120">
        <v>34.2</v>
      </c>
      <c r="P369" s="120">
        <v>11.332158636363635</v>
      </c>
      <c r="Q369" s="123">
        <v>8.612007675176455</v>
      </c>
      <c r="R369" s="120">
        <v>0.2</v>
      </c>
      <c r="S369" s="120">
        <v>0.7599618000000001</v>
      </c>
      <c r="T369" s="15"/>
      <c r="U369" s="161"/>
      <c r="AE369" s="15"/>
      <c r="AF369" s="15"/>
    </row>
    <row r="370" ht="15.0" customHeight="1">
      <c r="A370" s="134" t="s">
        <v>238</v>
      </c>
      <c r="B370" s="3" t="s">
        <v>258</v>
      </c>
      <c r="C370" s="3" t="s">
        <v>253</v>
      </c>
      <c r="D370" s="3" t="s">
        <v>251</v>
      </c>
      <c r="E370" s="48">
        <v>3.0</v>
      </c>
      <c r="F370" s="183">
        <f t="shared" si="1"/>
        <v>14</v>
      </c>
      <c r="G370" s="168" t="s">
        <v>235</v>
      </c>
      <c r="H370" s="137">
        <v>13.5760768</v>
      </c>
      <c r="I370" s="137">
        <v>0.24966182</v>
      </c>
      <c r="J370" s="137">
        <v>8.38615637</v>
      </c>
      <c r="K370" s="120">
        <f t="shared" si="2"/>
        <v>54.37786523</v>
      </c>
      <c r="L370" s="121">
        <v>-0.182</v>
      </c>
      <c r="M370" s="121">
        <v>-0.65</v>
      </c>
      <c r="N370" s="122">
        <f t="shared" si="17"/>
        <v>0.468</v>
      </c>
      <c r="O370" s="120">
        <v>42.0</v>
      </c>
      <c r="P370" s="120">
        <v>17.919137542735044</v>
      </c>
      <c r="Q370" s="123">
        <v>20.164908108647822</v>
      </c>
      <c r="R370" s="120">
        <v>0.9</v>
      </c>
      <c r="S370" s="120">
        <v>1.1253280500000002</v>
      </c>
      <c r="T370" s="15"/>
      <c r="U370" s="161"/>
      <c r="AE370" s="15"/>
      <c r="AF370" s="15"/>
    </row>
    <row r="371" ht="15.0" customHeight="1">
      <c r="A371" s="134" t="s">
        <v>238</v>
      </c>
      <c r="B371" s="3" t="s">
        <v>258</v>
      </c>
      <c r="C371" s="3" t="s">
        <v>253</v>
      </c>
      <c r="D371" s="3" t="s">
        <v>251</v>
      </c>
      <c r="E371" s="48">
        <v>4.0</v>
      </c>
      <c r="F371" s="183">
        <f t="shared" si="1"/>
        <v>14</v>
      </c>
      <c r="G371" s="168" t="s">
        <v>235</v>
      </c>
      <c r="H371" s="137">
        <v>10.2498935</v>
      </c>
      <c r="I371" s="137">
        <v>0.17570002</v>
      </c>
      <c r="J371" s="137">
        <v>4.56665727</v>
      </c>
      <c r="K371" s="120">
        <f t="shared" si="2"/>
        <v>58.33746348</v>
      </c>
      <c r="L371" s="121"/>
      <c r="M371" s="121">
        <v>-0.57</v>
      </c>
      <c r="N371" s="122"/>
      <c r="O371" s="120">
        <v>36.3</v>
      </c>
      <c r="P371" s="120">
        <v>11.445256315789477</v>
      </c>
      <c r="Q371" s="123">
        <v>11.039715404226477</v>
      </c>
      <c r="R371" s="120">
        <v>0.7</v>
      </c>
      <c r="S371" s="120">
        <v>0.9645669000000001</v>
      </c>
      <c r="T371" s="15"/>
      <c r="U371" s="161"/>
      <c r="AE371" s="15"/>
      <c r="AF371" s="15"/>
    </row>
    <row r="372" ht="15.0" customHeight="1">
      <c r="A372" s="134" t="s">
        <v>238</v>
      </c>
      <c r="B372" s="3" t="s">
        <v>258</v>
      </c>
      <c r="C372" s="3" t="s">
        <v>253</v>
      </c>
      <c r="D372" s="3" t="s">
        <v>251</v>
      </c>
      <c r="E372" s="48">
        <v>5.0</v>
      </c>
      <c r="F372" s="183">
        <f t="shared" si="1"/>
        <v>14</v>
      </c>
      <c r="G372" s="168" t="s">
        <v>235</v>
      </c>
      <c r="H372" s="137">
        <v>12.1746329</v>
      </c>
      <c r="I372" s="137">
        <v>0.17500722</v>
      </c>
      <c r="J372" s="137">
        <v>6.46335278</v>
      </c>
      <c r="K372" s="120">
        <f t="shared" si="2"/>
        <v>69.56646074</v>
      </c>
      <c r="L372" s="121">
        <v>-0.098</v>
      </c>
      <c r="M372" s="121">
        <v>-0.562</v>
      </c>
      <c r="N372" s="122">
        <f>L372-M372</f>
        <v>0.464</v>
      </c>
      <c r="O372" s="120">
        <v>31.7</v>
      </c>
      <c r="P372" s="120">
        <v>13.929639612068964</v>
      </c>
      <c r="Q372" s="123">
        <v>15.268260566739281</v>
      </c>
      <c r="R372" s="120">
        <v>0.7</v>
      </c>
      <c r="S372" s="120">
        <v>1.0960987500000003</v>
      </c>
      <c r="T372" s="15"/>
      <c r="U372" s="161"/>
      <c r="AE372" s="15"/>
      <c r="AF372" s="15"/>
    </row>
    <row r="373" ht="15.0" customHeight="1">
      <c r="A373" s="134" t="s">
        <v>238</v>
      </c>
      <c r="B373" s="3" t="s">
        <v>258</v>
      </c>
      <c r="C373" s="3" t="s">
        <v>253</v>
      </c>
      <c r="D373" s="3" t="s">
        <v>251</v>
      </c>
      <c r="E373" s="48">
        <v>6.0</v>
      </c>
      <c r="F373" s="183">
        <f t="shared" si="1"/>
        <v>14</v>
      </c>
      <c r="G373" s="168" t="s">
        <v>235</v>
      </c>
      <c r="H373" s="137">
        <v>11.3226681</v>
      </c>
      <c r="I373" s="137">
        <v>0.15842379</v>
      </c>
      <c r="J373" s="137">
        <v>4.58048854</v>
      </c>
      <c r="K373" s="120">
        <f t="shared" si="2"/>
        <v>71.47075638</v>
      </c>
      <c r="L373" s="121"/>
      <c r="M373" s="121">
        <v>-0.556</v>
      </c>
      <c r="N373" s="122"/>
      <c r="O373" s="120">
        <v>42.0</v>
      </c>
      <c r="P373" s="120">
        <v>11.89737283116883</v>
      </c>
      <c r="Q373" s="123">
        <v>13.736199247916286</v>
      </c>
      <c r="R373" s="120">
        <v>0.2</v>
      </c>
      <c r="S373" s="120">
        <v>1.1545573500000001</v>
      </c>
      <c r="T373" s="15"/>
      <c r="U373" s="161"/>
      <c r="AE373" s="15"/>
      <c r="AF373" s="15"/>
    </row>
    <row r="374" ht="15.0" customHeight="1">
      <c r="A374" s="134" t="s">
        <v>249</v>
      </c>
      <c r="B374" s="3" t="s">
        <v>257</v>
      </c>
      <c r="C374" s="3" t="s">
        <v>254</v>
      </c>
      <c r="D374" s="135" t="s">
        <v>240</v>
      </c>
      <c r="E374" s="48">
        <v>1.0</v>
      </c>
      <c r="F374" s="183">
        <f t="shared" si="1"/>
        <v>15</v>
      </c>
      <c r="G374" s="168" t="s">
        <v>235</v>
      </c>
      <c r="H374" s="137">
        <v>15.5407974</v>
      </c>
      <c r="I374" s="137">
        <v>0.29182799</v>
      </c>
      <c r="J374" s="137">
        <v>8.36880341</v>
      </c>
      <c r="K374" s="120">
        <f t="shared" si="2"/>
        <v>53.2532791</v>
      </c>
      <c r="L374" s="121">
        <v>-0.167</v>
      </c>
      <c r="M374" s="121">
        <v>-0.718</v>
      </c>
      <c r="N374" s="122">
        <f t="shared" ref="N374:N376" si="18">L374-M374</f>
        <v>0.551</v>
      </c>
      <c r="O374" s="120">
        <v>31.2</v>
      </c>
      <c r="P374" s="120">
        <v>15.188390943738659</v>
      </c>
      <c r="Q374" s="123">
        <v>14.428246150884167</v>
      </c>
      <c r="R374" s="120">
        <v>0.3</v>
      </c>
      <c r="S374" s="120">
        <v>0.9499522500000003</v>
      </c>
      <c r="T374" s="15"/>
      <c r="U374" s="161"/>
      <c r="AE374" s="15"/>
      <c r="AF374" s="15"/>
    </row>
    <row r="375" ht="15.0" customHeight="1">
      <c r="A375" s="134" t="s">
        <v>249</v>
      </c>
      <c r="B375" s="3" t="s">
        <v>257</v>
      </c>
      <c r="C375" s="3" t="s">
        <v>254</v>
      </c>
      <c r="D375" s="135" t="s">
        <v>240</v>
      </c>
      <c r="E375" s="48">
        <v>2.0</v>
      </c>
      <c r="F375" s="183">
        <f t="shared" si="1"/>
        <v>15</v>
      </c>
      <c r="G375" s="168" t="s">
        <v>235</v>
      </c>
      <c r="H375" s="137">
        <v>11.0911566</v>
      </c>
      <c r="I375" s="137">
        <v>0.1528329</v>
      </c>
      <c r="J375" s="137">
        <v>5.80170753</v>
      </c>
      <c r="K375" s="120">
        <f t="shared" si="2"/>
        <v>72.57047795</v>
      </c>
      <c r="L375" s="121">
        <v>-0.15</v>
      </c>
      <c r="M375" s="121">
        <v>-0.655</v>
      </c>
      <c r="N375" s="122">
        <f t="shared" si="18"/>
        <v>0.505</v>
      </c>
      <c r="O375" s="120">
        <v>35.5</v>
      </c>
      <c r="P375" s="120">
        <v>11.488529762376237</v>
      </c>
      <c r="Q375" s="123">
        <v>10.409852172486138</v>
      </c>
      <c r="R375" s="120">
        <v>0.8</v>
      </c>
      <c r="S375" s="120">
        <v>0.9061083000000002</v>
      </c>
      <c r="T375" s="15"/>
      <c r="U375" s="161"/>
      <c r="AE375" s="15"/>
      <c r="AF375" s="15"/>
    </row>
    <row r="376" ht="15.0" customHeight="1">
      <c r="A376" s="134" t="s">
        <v>249</v>
      </c>
      <c r="B376" s="3" t="s">
        <v>257</v>
      </c>
      <c r="C376" s="3" t="s">
        <v>254</v>
      </c>
      <c r="D376" s="135" t="s">
        <v>240</v>
      </c>
      <c r="E376" s="48">
        <v>3.0</v>
      </c>
      <c r="F376" s="183">
        <f t="shared" si="1"/>
        <v>15</v>
      </c>
      <c r="G376" s="168" t="s">
        <v>235</v>
      </c>
      <c r="H376" s="137">
        <v>13.8479347</v>
      </c>
      <c r="I376" s="137">
        <v>0.21906274</v>
      </c>
      <c r="J376" s="137">
        <v>8.26396598</v>
      </c>
      <c r="K376" s="120">
        <f t="shared" si="2"/>
        <v>63.2144686</v>
      </c>
      <c r="L376" s="121">
        <v>-0.209</v>
      </c>
      <c r="M376" s="121">
        <v>-0.712</v>
      </c>
      <c r="N376" s="122">
        <f t="shared" si="18"/>
        <v>0.503</v>
      </c>
      <c r="O376" s="120">
        <v>40.6</v>
      </c>
      <c r="P376" s="120">
        <v>16.4293558250497</v>
      </c>
      <c r="Q376" s="123">
        <v>17.047759242707947</v>
      </c>
      <c r="R376" s="120">
        <v>0.6</v>
      </c>
      <c r="S376" s="120">
        <v>1.03764015</v>
      </c>
      <c r="T376" s="15"/>
      <c r="U376" s="161"/>
      <c r="AE376" s="15"/>
      <c r="AF376" s="15"/>
    </row>
    <row r="377" ht="15.0" customHeight="1">
      <c r="A377" s="134" t="s">
        <v>249</v>
      </c>
      <c r="B377" s="3" t="s">
        <v>257</v>
      </c>
      <c r="C377" s="3" t="s">
        <v>254</v>
      </c>
      <c r="D377" s="135" t="s">
        <v>240</v>
      </c>
      <c r="E377" s="48">
        <v>4.0</v>
      </c>
      <c r="F377" s="183">
        <f t="shared" si="1"/>
        <v>15</v>
      </c>
      <c r="G377" s="168" t="s">
        <v>235</v>
      </c>
      <c r="H377" s="137">
        <v>13.3680743</v>
      </c>
      <c r="I377" s="137">
        <v>0.2365446</v>
      </c>
      <c r="J377" s="137">
        <v>5.4967995</v>
      </c>
      <c r="K377" s="120">
        <f t="shared" si="2"/>
        <v>56.51396946</v>
      </c>
      <c r="L377" s="121"/>
      <c r="M377" s="121">
        <v>-0.645</v>
      </c>
      <c r="N377" s="122"/>
      <c r="O377" s="120">
        <v>43.8</v>
      </c>
      <c r="P377" s="120">
        <v>11.596623417721519</v>
      </c>
      <c r="Q377" s="123">
        <v>11.355199692930858</v>
      </c>
      <c r="R377" s="120">
        <v>0.8</v>
      </c>
      <c r="S377" s="120">
        <v>0.9791815500000003</v>
      </c>
      <c r="T377" s="15"/>
      <c r="U377" s="161"/>
      <c r="AE377" s="15"/>
      <c r="AF377" s="15"/>
    </row>
    <row r="378" ht="15.0" customHeight="1">
      <c r="A378" s="134" t="s">
        <v>249</v>
      </c>
      <c r="B378" s="3" t="s">
        <v>257</v>
      </c>
      <c r="C378" s="3" t="s">
        <v>254</v>
      </c>
      <c r="D378" s="135" t="s">
        <v>240</v>
      </c>
      <c r="E378" s="48">
        <v>5.0</v>
      </c>
      <c r="F378" s="183">
        <f t="shared" si="1"/>
        <v>15</v>
      </c>
      <c r="G378" s="168" t="s">
        <v>235</v>
      </c>
      <c r="H378" s="137">
        <v>14.3706636</v>
      </c>
      <c r="I378" s="137">
        <v>0.27056894</v>
      </c>
      <c r="J378" s="137">
        <v>9.17684044</v>
      </c>
      <c r="K378" s="120">
        <f t="shared" si="2"/>
        <v>53.11276158</v>
      </c>
      <c r="L378" s="121">
        <v>-0.158</v>
      </c>
      <c r="M378" s="121">
        <v>-0.628</v>
      </c>
      <c r="N378" s="122">
        <f>L378-M378</f>
        <v>0.47</v>
      </c>
      <c r="O378" s="120">
        <v>32.9</v>
      </c>
      <c r="P378" s="120">
        <v>19.525192425531916</v>
      </c>
      <c r="Q378" s="123">
        <v>21.116185157653202</v>
      </c>
      <c r="R378" s="120">
        <v>0.4</v>
      </c>
      <c r="S378" s="120">
        <v>1.0814841000000002</v>
      </c>
      <c r="T378" s="15"/>
      <c r="U378" s="161"/>
      <c r="AE378" s="15"/>
      <c r="AF378" s="15"/>
    </row>
    <row r="379" ht="15.0" customHeight="1">
      <c r="A379" s="134" t="s">
        <v>249</v>
      </c>
      <c r="B379" s="3" t="s">
        <v>257</v>
      </c>
      <c r="C379" s="3" t="s">
        <v>254</v>
      </c>
      <c r="D379" s="135" t="s">
        <v>240</v>
      </c>
      <c r="E379" s="48">
        <v>6.0</v>
      </c>
      <c r="F379" s="183">
        <f t="shared" si="1"/>
        <v>15</v>
      </c>
      <c r="G379" s="168" t="s">
        <v>235</v>
      </c>
      <c r="H379" s="137">
        <v>11.1424675</v>
      </c>
      <c r="I379" s="137">
        <v>0.20691862</v>
      </c>
      <c r="J379" s="137">
        <v>5.4384462</v>
      </c>
      <c r="K379" s="120">
        <f t="shared" si="2"/>
        <v>53.84951581</v>
      </c>
      <c r="L379" s="121"/>
      <c r="M379" s="121">
        <v>-0.581</v>
      </c>
      <c r="N379" s="122"/>
      <c r="O379" s="120">
        <v>32.5</v>
      </c>
      <c r="P379" s="120">
        <v>13.26450292682927</v>
      </c>
      <c r="Q379" s="123">
        <v>12.988356535872224</v>
      </c>
      <c r="R379" s="120">
        <v>0.7</v>
      </c>
      <c r="S379" s="120">
        <v>0.9791815500000003</v>
      </c>
      <c r="T379" s="15"/>
      <c r="U379" s="161"/>
      <c r="AE379" s="15"/>
      <c r="AF379" s="15"/>
    </row>
    <row r="380" ht="15.0" customHeight="1">
      <c r="A380" s="134" t="s">
        <v>244</v>
      </c>
      <c r="B380" s="3" t="s">
        <v>250</v>
      </c>
      <c r="C380" s="3" t="s">
        <v>255</v>
      </c>
      <c r="D380" s="3" t="s">
        <v>251</v>
      </c>
      <c r="E380" s="48">
        <v>1.0</v>
      </c>
      <c r="F380" s="183">
        <f t="shared" si="1"/>
        <v>16</v>
      </c>
      <c r="G380" s="168" t="s">
        <v>235</v>
      </c>
      <c r="H380" s="137">
        <v>11.8459499</v>
      </c>
      <c r="I380" s="137">
        <v>0.20811701</v>
      </c>
      <c r="J380" s="137">
        <v>6.3184301</v>
      </c>
      <c r="K380" s="120">
        <f t="shared" si="2"/>
        <v>56.91966217</v>
      </c>
      <c r="L380" s="121">
        <v>-0.11</v>
      </c>
      <c r="M380" s="121">
        <v>-0.56</v>
      </c>
      <c r="N380" s="122">
        <f t="shared" ref="N380:N382" si="19">L380-M380</f>
        <v>0.45</v>
      </c>
      <c r="O380" s="120">
        <v>41.1</v>
      </c>
      <c r="P380" s="120">
        <v>14.040955777777775</v>
      </c>
      <c r="Q380" s="123">
        <v>11.6966082983889</v>
      </c>
      <c r="R380" s="120">
        <v>0.5</v>
      </c>
      <c r="S380" s="120">
        <v>0.8330350500000002</v>
      </c>
      <c r="T380" s="15"/>
      <c r="U380" s="161"/>
      <c r="AE380" s="15"/>
      <c r="AF380" s="15"/>
    </row>
    <row r="381" ht="15.0" customHeight="1">
      <c r="A381" s="134" t="s">
        <v>244</v>
      </c>
      <c r="B381" s="3" t="s">
        <v>250</v>
      </c>
      <c r="C381" s="3" t="s">
        <v>255</v>
      </c>
      <c r="D381" s="3" t="s">
        <v>251</v>
      </c>
      <c r="E381" s="48">
        <v>2.0</v>
      </c>
      <c r="F381" s="183">
        <f t="shared" si="1"/>
        <v>16</v>
      </c>
      <c r="G381" s="168" t="s">
        <v>235</v>
      </c>
      <c r="H381" s="137">
        <v>12.001527</v>
      </c>
      <c r="I381" s="137">
        <v>0.20927214</v>
      </c>
      <c r="J381" s="137">
        <v>7.60423028</v>
      </c>
      <c r="K381" s="120">
        <f t="shared" si="2"/>
        <v>57.34889986</v>
      </c>
      <c r="L381" s="121">
        <v>-0.154</v>
      </c>
      <c r="M381" s="121">
        <v>-0.625</v>
      </c>
      <c r="N381" s="122">
        <f t="shared" si="19"/>
        <v>0.471</v>
      </c>
      <c r="O381" s="120">
        <v>37.7</v>
      </c>
      <c r="P381" s="120">
        <v>16.144862590233547</v>
      </c>
      <c r="Q381" s="123">
        <v>17.69636370407676</v>
      </c>
      <c r="R381" s="120">
        <v>0.8</v>
      </c>
      <c r="S381" s="120">
        <v>1.0960987500000003</v>
      </c>
      <c r="T381" s="15"/>
      <c r="U381" s="161"/>
      <c r="AE381" s="15"/>
      <c r="AF381" s="15"/>
    </row>
    <row r="382" ht="15.0" customHeight="1">
      <c r="A382" s="134" t="s">
        <v>244</v>
      </c>
      <c r="B382" s="3" t="s">
        <v>250</v>
      </c>
      <c r="C382" s="3" t="s">
        <v>255</v>
      </c>
      <c r="D382" s="3" t="s">
        <v>251</v>
      </c>
      <c r="E382" s="48">
        <v>3.0</v>
      </c>
      <c r="F382" s="183">
        <f t="shared" si="1"/>
        <v>16</v>
      </c>
      <c r="G382" s="168" t="s">
        <v>235</v>
      </c>
      <c r="H382" s="137">
        <v>13.8570509</v>
      </c>
      <c r="I382" s="137">
        <v>0.228178</v>
      </c>
      <c r="J382" s="137">
        <v>8.19843406</v>
      </c>
      <c r="K382" s="120">
        <f t="shared" si="2"/>
        <v>60.7291277</v>
      </c>
      <c r="L382" s="121">
        <v>-0.097</v>
      </c>
      <c r="M382" s="121">
        <v>-0.649</v>
      </c>
      <c r="N382" s="122">
        <f t="shared" si="19"/>
        <v>0.552</v>
      </c>
      <c r="O382" s="120">
        <v>44.4</v>
      </c>
      <c r="P382" s="120">
        <v>14.852235615942028</v>
      </c>
      <c r="Q382" s="123">
        <v>14.543035091383324</v>
      </c>
      <c r="R382" s="120">
        <v>0.8</v>
      </c>
      <c r="S382" s="120">
        <v>0.9791815500000003</v>
      </c>
      <c r="T382" s="15"/>
      <c r="U382" s="161"/>
      <c r="AE382" s="15"/>
      <c r="AF382" s="15"/>
    </row>
    <row r="383" ht="15.0" customHeight="1">
      <c r="A383" s="134" t="s">
        <v>244</v>
      </c>
      <c r="B383" s="3" t="s">
        <v>250</v>
      </c>
      <c r="C383" s="3" t="s">
        <v>255</v>
      </c>
      <c r="D383" s="3" t="s">
        <v>251</v>
      </c>
      <c r="E383" s="48">
        <v>4.0</v>
      </c>
      <c r="F383" s="183">
        <f t="shared" si="1"/>
        <v>16</v>
      </c>
      <c r="G383" s="168" t="s">
        <v>235</v>
      </c>
      <c r="H383" s="137">
        <v>11.8322756</v>
      </c>
      <c r="I383" s="137">
        <v>0.20337674</v>
      </c>
      <c r="J383" s="137">
        <v>4.86298559</v>
      </c>
      <c r="K383" s="120">
        <f t="shared" si="2"/>
        <v>58.17909954</v>
      </c>
      <c r="L383" s="121"/>
      <c r="M383" s="121">
        <v>-0.667</v>
      </c>
      <c r="N383" s="122"/>
      <c r="O383" s="120">
        <v>42.0</v>
      </c>
      <c r="P383" s="120">
        <v>14.940047895545314</v>
      </c>
      <c r="Q383" s="123">
        <v>16.157424252270722</v>
      </c>
      <c r="R383" s="120">
        <v>1.0</v>
      </c>
      <c r="S383" s="120">
        <v>1.0814841000000002</v>
      </c>
      <c r="T383" s="15"/>
      <c r="U383" s="161"/>
      <c r="AE383" s="15"/>
      <c r="AF383" s="15"/>
    </row>
    <row r="384" ht="15.0" customHeight="1">
      <c r="A384" s="134" t="s">
        <v>244</v>
      </c>
      <c r="B384" s="3" t="s">
        <v>250</v>
      </c>
      <c r="C384" s="3" t="s">
        <v>255</v>
      </c>
      <c r="D384" s="3" t="s">
        <v>251</v>
      </c>
      <c r="E384" s="48">
        <v>5.0</v>
      </c>
      <c r="F384" s="183">
        <f t="shared" si="1"/>
        <v>16</v>
      </c>
      <c r="G384" s="168" t="s">
        <v>235</v>
      </c>
      <c r="H384" s="137">
        <v>14.4538233</v>
      </c>
      <c r="I384" s="137">
        <v>0.24261977</v>
      </c>
      <c r="J384" s="137">
        <v>8.25790989</v>
      </c>
      <c r="K384" s="120">
        <f t="shared" si="2"/>
        <v>59.57397165</v>
      </c>
      <c r="L384" s="121">
        <v>-0.132</v>
      </c>
      <c r="M384" s="121">
        <v>-0.667</v>
      </c>
      <c r="N384" s="122">
        <f>L384-M384</f>
        <v>0.535</v>
      </c>
      <c r="O384" s="120">
        <v>44.4</v>
      </c>
      <c r="P384" s="120">
        <v>15.435345588785047</v>
      </c>
      <c r="Q384" s="123">
        <v>17.36982735250358</v>
      </c>
      <c r="R384" s="120">
        <v>1.1</v>
      </c>
      <c r="S384" s="120">
        <v>1.1253280500000002</v>
      </c>
      <c r="T384" s="15"/>
      <c r="U384" s="161"/>
      <c r="AE384" s="15"/>
      <c r="AF384" s="15"/>
    </row>
    <row r="385" ht="15.0" customHeight="1">
      <c r="A385" s="153" t="s">
        <v>244</v>
      </c>
      <c r="B385" s="154" t="s">
        <v>250</v>
      </c>
      <c r="C385" s="3" t="s">
        <v>255</v>
      </c>
      <c r="D385" s="154" t="s">
        <v>251</v>
      </c>
      <c r="E385" s="155">
        <v>6.0</v>
      </c>
      <c r="F385" s="183">
        <f t="shared" si="1"/>
        <v>16</v>
      </c>
      <c r="G385" s="169" t="s">
        <v>235</v>
      </c>
      <c r="H385" s="157">
        <v>13.2335154</v>
      </c>
      <c r="I385" s="157">
        <v>0.23017239</v>
      </c>
      <c r="J385" s="157">
        <v>5.65841429</v>
      </c>
      <c r="K385" s="120">
        <f t="shared" si="2"/>
        <v>57.49393053</v>
      </c>
      <c r="L385" s="121"/>
      <c r="M385" s="121">
        <v>-0.701</v>
      </c>
      <c r="N385" s="122"/>
      <c r="O385" s="120">
        <v>39.4</v>
      </c>
      <c r="P385" s="120">
        <v>15.73967813630042</v>
      </c>
      <c r="Q385" s="123">
        <v>16.792181756451857</v>
      </c>
      <c r="R385" s="120">
        <v>0.8</v>
      </c>
      <c r="S385" s="120">
        <v>1.0668694500000002</v>
      </c>
      <c r="T385" s="15"/>
      <c r="U385" s="161"/>
      <c r="AE385" s="15"/>
      <c r="AF385" s="15"/>
    </row>
    <row r="386" ht="15.0" customHeight="1">
      <c r="A386" s="115" t="s">
        <v>238</v>
      </c>
      <c r="B386" s="116" t="s">
        <v>239</v>
      </c>
      <c r="C386" s="116" t="s">
        <v>241</v>
      </c>
      <c r="D386" s="116" t="s">
        <v>240</v>
      </c>
      <c r="E386" s="117">
        <v>1.0</v>
      </c>
      <c r="F386" s="183">
        <f t="shared" si="1"/>
        <v>1</v>
      </c>
      <c r="G386" s="170" t="s">
        <v>236</v>
      </c>
      <c r="H386" s="119">
        <v>15.4904713</v>
      </c>
      <c r="I386" s="119">
        <v>0.27752245</v>
      </c>
      <c r="J386" s="119">
        <v>6.34525778</v>
      </c>
      <c r="K386" s="120">
        <f t="shared" si="2"/>
        <v>55.81700255</v>
      </c>
      <c r="L386" s="121">
        <v>-0.36</v>
      </c>
      <c r="M386" s="121">
        <v>-0.76</v>
      </c>
      <c r="N386" s="122">
        <f t="shared" ref="N386:N481" si="20">L386-M386</f>
        <v>0.4</v>
      </c>
      <c r="O386" s="120">
        <v>53.8</v>
      </c>
      <c r="P386" s="120">
        <v>15.863144449999998</v>
      </c>
      <c r="Q386" s="123">
        <v>11.128046593737242</v>
      </c>
      <c r="R386" s="120">
        <v>0.0</v>
      </c>
      <c r="S386" s="120">
        <v>0.7015032000000001</v>
      </c>
      <c r="T386" s="15"/>
      <c r="U386" s="161"/>
      <c r="AE386" s="15"/>
      <c r="AF386" s="15"/>
    </row>
    <row r="387" ht="15.0" customHeight="1">
      <c r="A387" s="134" t="s">
        <v>238</v>
      </c>
      <c r="B387" s="135" t="s">
        <v>239</v>
      </c>
      <c r="C387" s="116" t="s">
        <v>241</v>
      </c>
      <c r="D387" s="135" t="s">
        <v>240</v>
      </c>
      <c r="E387" s="8">
        <v>2.0</v>
      </c>
      <c r="F387" s="183">
        <f t="shared" si="1"/>
        <v>1</v>
      </c>
      <c r="G387" s="171" t="s">
        <v>236</v>
      </c>
      <c r="H387" s="137">
        <v>17.6710788</v>
      </c>
      <c r="I387" s="137">
        <v>0.30400335</v>
      </c>
      <c r="J387" s="137">
        <v>9.36629486</v>
      </c>
      <c r="K387" s="120">
        <f t="shared" si="2"/>
        <v>58.12790813</v>
      </c>
      <c r="L387" s="121">
        <v>-0.38</v>
      </c>
      <c r="M387" s="121">
        <v>-0.75</v>
      </c>
      <c r="N387" s="122">
        <f t="shared" si="20"/>
        <v>0.37</v>
      </c>
      <c r="O387" s="120">
        <v>39.0</v>
      </c>
      <c r="P387" s="120">
        <v>25.314310432432432</v>
      </c>
      <c r="Q387" s="123">
        <v>28.1169438090625</v>
      </c>
      <c r="R387" s="120">
        <v>0.6</v>
      </c>
      <c r="S387" s="120">
        <v>1.1107134</v>
      </c>
      <c r="T387" s="15"/>
      <c r="U387" s="161"/>
      <c r="AE387" s="15"/>
      <c r="AF387" s="15"/>
    </row>
    <row r="388" ht="15.0" customHeight="1">
      <c r="A388" s="134" t="s">
        <v>238</v>
      </c>
      <c r="B388" s="135" t="s">
        <v>239</v>
      </c>
      <c r="C388" s="116" t="s">
        <v>241</v>
      </c>
      <c r="D388" s="135" t="s">
        <v>240</v>
      </c>
      <c r="E388" s="8">
        <v>3.0</v>
      </c>
      <c r="F388" s="183">
        <f t="shared" si="1"/>
        <v>1</v>
      </c>
      <c r="G388" s="171" t="s">
        <v>236</v>
      </c>
      <c r="H388" s="137">
        <v>13.3648281</v>
      </c>
      <c r="I388" s="137">
        <v>0.32627533</v>
      </c>
      <c r="J388" s="137">
        <v>10.3876313</v>
      </c>
      <c r="K388" s="120">
        <f t="shared" si="2"/>
        <v>40.96181008</v>
      </c>
      <c r="L388" s="121">
        <v>-0.34</v>
      </c>
      <c r="M388" s="121">
        <v>-0.682</v>
      </c>
      <c r="N388" s="122">
        <f t="shared" si="20"/>
        <v>0.342</v>
      </c>
      <c r="O388" s="120">
        <v>51.8</v>
      </c>
      <c r="P388" s="120">
        <v>30.373190935672515</v>
      </c>
      <c r="Q388" s="123">
        <v>35.51148439264212</v>
      </c>
      <c r="R388" s="120">
        <v>0.8</v>
      </c>
      <c r="S388" s="120">
        <v>1.1691720000000003</v>
      </c>
      <c r="T388" s="15"/>
      <c r="U388" s="161"/>
      <c r="AE388" s="15"/>
      <c r="AF388" s="15"/>
    </row>
    <row r="389" ht="15.0" customHeight="1">
      <c r="A389" s="134" t="s">
        <v>238</v>
      </c>
      <c r="B389" s="135" t="s">
        <v>239</v>
      </c>
      <c r="C389" s="116" t="s">
        <v>241</v>
      </c>
      <c r="D389" s="135" t="s">
        <v>240</v>
      </c>
      <c r="E389" s="8">
        <v>4.0</v>
      </c>
      <c r="F389" s="183">
        <f t="shared" si="1"/>
        <v>1</v>
      </c>
      <c r="G389" s="171" t="s">
        <v>236</v>
      </c>
      <c r="H389" s="137">
        <v>12.5180977</v>
      </c>
      <c r="I389" s="137">
        <v>0.26075209</v>
      </c>
      <c r="J389" s="137">
        <v>9.63986819</v>
      </c>
      <c r="K389" s="120">
        <f t="shared" si="2"/>
        <v>48.00766007</v>
      </c>
      <c r="L389" s="121">
        <v>-0.361</v>
      </c>
      <c r="M389" s="121">
        <v>-0.727</v>
      </c>
      <c r="N389" s="122">
        <f t="shared" si="20"/>
        <v>0.366</v>
      </c>
      <c r="O389" s="120">
        <v>39.4</v>
      </c>
      <c r="P389" s="120">
        <v>26.33843767759563</v>
      </c>
      <c r="Q389" s="123">
        <v>25.405185181521617</v>
      </c>
      <c r="R389" s="120">
        <v>0.4</v>
      </c>
      <c r="S389" s="120">
        <v>0.9645669000000001</v>
      </c>
      <c r="T389" s="15"/>
      <c r="U389" s="161"/>
      <c r="AE389" s="15"/>
      <c r="AF389" s="15"/>
    </row>
    <row r="390" ht="15.0" customHeight="1">
      <c r="A390" s="134" t="s">
        <v>238</v>
      </c>
      <c r="B390" s="135" t="s">
        <v>239</v>
      </c>
      <c r="C390" s="116" t="s">
        <v>241</v>
      </c>
      <c r="D390" s="135" t="s">
        <v>240</v>
      </c>
      <c r="E390" s="8">
        <v>5.0</v>
      </c>
      <c r="F390" s="183">
        <f t="shared" si="1"/>
        <v>1</v>
      </c>
      <c r="G390" s="171" t="s">
        <v>236</v>
      </c>
      <c r="H390" s="137">
        <v>9.37210234</v>
      </c>
      <c r="I390" s="137">
        <v>0.22884103</v>
      </c>
      <c r="J390" s="137">
        <v>8.5191611</v>
      </c>
      <c r="K390" s="120">
        <f t="shared" si="2"/>
        <v>40.95464148</v>
      </c>
      <c r="L390" s="121">
        <v>-0.45</v>
      </c>
      <c r="M390" s="121">
        <v>-0.896</v>
      </c>
      <c r="N390" s="122">
        <f t="shared" si="20"/>
        <v>0.446</v>
      </c>
      <c r="O390" s="120">
        <v>43.5</v>
      </c>
      <c r="P390" s="120">
        <v>19.101258071748877</v>
      </c>
      <c r="Q390" s="123">
        <v>18.703599485645086</v>
      </c>
      <c r="R390" s="120">
        <v>0.7</v>
      </c>
      <c r="S390" s="120">
        <v>0.9791815500000003</v>
      </c>
      <c r="T390" s="15"/>
      <c r="U390" s="161"/>
      <c r="AE390" s="15"/>
      <c r="AF390" s="15"/>
    </row>
    <row r="391" ht="15.0" customHeight="1">
      <c r="A391" s="134" t="s">
        <v>238</v>
      </c>
      <c r="B391" s="135" t="s">
        <v>239</v>
      </c>
      <c r="C391" s="116" t="s">
        <v>241</v>
      </c>
      <c r="D391" s="135" t="s">
        <v>240</v>
      </c>
      <c r="E391" s="8">
        <v>6.0</v>
      </c>
      <c r="F391" s="183">
        <f t="shared" si="1"/>
        <v>1</v>
      </c>
      <c r="G391" s="171" t="s">
        <v>236</v>
      </c>
      <c r="H391" s="137">
        <v>2.64151583</v>
      </c>
      <c r="I391" s="137">
        <v>0.10284928</v>
      </c>
      <c r="J391" s="137">
        <v>4.71377678</v>
      </c>
      <c r="K391" s="120">
        <f t="shared" si="2"/>
        <v>25.68336725</v>
      </c>
      <c r="L391" s="121">
        <v>-0.385</v>
      </c>
      <c r="M391" s="121">
        <v>-0.887</v>
      </c>
      <c r="N391" s="122">
        <f t="shared" si="20"/>
        <v>0.502</v>
      </c>
      <c r="O391" s="120">
        <v>25.3</v>
      </c>
      <c r="P391" s="120">
        <v>9.38999358565737</v>
      </c>
      <c r="Q391" s="123">
        <v>9.4689714132073</v>
      </c>
      <c r="R391" s="120">
        <v>0.0</v>
      </c>
      <c r="S391" s="120">
        <v>1.0084108500000002</v>
      </c>
      <c r="T391" s="15"/>
      <c r="U391" s="161"/>
      <c r="AE391" s="15"/>
      <c r="AF391" s="15"/>
    </row>
    <row r="392" ht="15.0" customHeight="1">
      <c r="A392" s="134" t="s">
        <v>244</v>
      </c>
      <c r="B392" s="3" t="s">
        <v>239</v>
      </c>
      <c r="C392" s="3" t="s">
        <v>30</v>
      </c>
      <c r="D392" s="135" t="s">
        <v>240</v>
      </c>
      <c r="E392" s="8">
        <v>1.0</v>
      </c>
      <c r="F392" s="183">
        <f t="shared" si="1"/>
        <v>2</v>
      </c>
      <c r="G392" s="171" t="s">
        <v>236</v>
      </c>
      <c r="H392" s="137">
        <v>15.8518801</v>
      </c>
      <c r="I392" s="137">
        <v>0.26821953</v>
      </c>
      <c r="J392" s="137">
        <v>6.45437293</v>
      </c>
      <c r="K392" s="120">
        <f t="shared" si="2"/>
        <v>59.10039474</v>
      </c>
      <c r="L392" s="121">
        <v>-0.24</v>
      </c>
      <c r="M392" s="121">
        <v>-0.706</v>
      </c>
      <c r="N392" s="122">
        <f t="shared" si="20"/>
        <v>0.466</v>
      </c>
      <c r="O392" s="120">
        <v>51.0</v>
      </c>
      <c r="P392" s="120">
        <v>13.850585686695279</v>
      </c>
      <c r="Q392" s="123">
        <v>15.181609657954592</v>
      </c>
      <c r="R392" s="120">
        <v>1.9</v>
      </c>
      <c r="S392" s="120">
        <v>1.0960987500000003</v>
      </c>
      <c r="T392" s="15"/>
      <c r="U392" s="161"/>
      <c r="AE392" s="15"/>
      <c r="AF392" s="15"/>
    </row>
    <row r="393" ht="15.0" customHeight="1">
      <c r="A393" s="134" t="s">
        <v>244</v>
      </c>
      <c r="B393" s="3" t="s">
        <v>239</v>
      </c>
      <c r="C393" s="3" t="s">
        <v>30</v>
      </c>
      <c r="D393" s="135" t="s">
        <v>240</v>
      </c>
      <c r="E393" s="8">
        <v>2.0</v>
      </c>
      <c r="F393" s="183">
        <f t="shared" si="1"/>
        <v>2</v>
      </c>
      <c r="G393" s="171" t="s">
        <v>236</v>
      </c>
      <c r="H393" s="137">
        <v>15.6200479</v>
      </c>
      <c r="I393" s="137">
        <v>0.33657086</v>
      </c>
      <c r="J393" s="137">
        <v>9.7406259</v>
      </c>
      <c r="K393" s="120">
        <f t="shared" si="2"/>
        <v>46.4093888</v>
      </c>
      <c r="L393" s="121">
        <v>-0.42</v>
      </c>
      <c r="M393" s="121">
        <v>-0.716</v>
      </c>
      <c r="N393" s="122">
        <f t="shared" si="20"/>
        <v>0.296</v>
      </c>
      <c r="O393" s="120">
        <v>37.9</v>
      </c>
      <c r="P393" s="120">
        <v>32.907519932432436</v>
      </c>
      <c r="Q393" s="123">
        <v>34.14616391881718</v>
      </c>
      <c r="R393" s="120">
        <v>0.2</v>
      </c>
      <c r="S393" s="120">
        <v>1.03764015</v>
      </c>
      <c r="T393" s="15"/>
      <c r="U393" s="161"/>
      <c r="AE393" s="15"/>
      <c r="AF393" s="15"/>
    </row>
    <row r="394" ht="15.0" customHeight="1">
      <c r="A394" s="134" t="s">
        <v>244</v>
      </c>
      <c r="B394" s="3" t="s">
        <v>239</v>
      </c>
      <c r="C394" s="3" t="s">
        <v>30</v>
      </c>
      <c r="D394" s="135" t="s">
        <v>240</v>
      </c>
      <c r="E394" s="8">
        <v>3.0</v>
      </c>
      <c r="F394" s="183">
        <f t="shared" si="1"/>
        <v>2</v>
      </c>
      <c r="G394" s="171" t="s">
        <v>236</v>
      </c>
      <c r="H394" s="137">
        <v>15.5422087</v>
      </c>
      <c r="I394" s="137">
        <v>0.31037439</v>
      </c>
      <c r="J394" s="137">
        <v>10.241571</v>
      </c>
      <c r="K394" s="120">
        <f t="shared" si="2"/>
        <v>50.07568021</v>
      </c>
      <c r="L394" s="121">
        <v>-0.355</v>
      </c>
      <c r="M394" s="121">
        <v>-0.84</v>
      </c>
      <c r="N394" s="122">
        <f t="shared" si="20"/>
        <v>0.485</v>
      </c>
      <c r="O394" s="120">
        <v>39.0</v>
      </c>
      <c r="P394" s="120">
        <v>21.116641237113402</v>
      </c>
      <c r="Q394" s="123">
        <v>20.059800855638667</v>
      </c>
      <c r="R394" s="120">
        <v>0.0</v>
      </c>
      <c r="S394" s="120">
        <v>0.9499522500000003</v>
      </c>
      <c r="T394" s="15"/>
      <c r="U394" s="161"/>
      <c r="AE394" s="15"/>
      <c r="AF394" s="15"/>
    </row>
    <row r="395" ht="15.0" customHeight="1">
      <c r="A395" s="134" t="s">
        <v>244</v>
      </c>
      <c r="B395" s="3" t="s">
        <v>239</v>
      </c>
      <c r="C395" s="3" t="s">
        <v>30</v>
      </c>
      <c r="D395" s="135" t="s">
        <v>240</v>
      </c>
      <c r="E395" s="8">
        <v>4.0</v>
      </c>
      <c r="F395" s="183">
        <f t="shared" si="1"/>
        <v>2</v>
      </c>
      <c r="G395" s="171" t="s">
        <v>236</v>
      </c>
      <c r="H395" s="137">
        <v>14.3782403</v>
      </c>
      <c r="I395" s="137">
        <v>0.30586368</v>
      </c>
      <c r="J395" s="137">
        <v>10.8987719</v>
      </c>
      <c r="K395" s="120">
        <f t="shared" si="2"/>
        <v>47.00865529</v>
      </c>
      <c r="L395" s="121">
        <v>-0.261</v>
      </c>
      <c r="M395" s="121">
        <v>-0.62</v>
      </c>
      <c r="N395" s="122">
        <f t="shared" si="20"/>
        <v>0.359</v>
      </c>
      <c r="O395" s="120">
        <v>46.7</v>
      </c>
      <c r="P395" s="120">
        <v>30.358696100278554</v>
      </c>
      <c r="Q395" s="123">
        <v>27.064584795678098</v>
      </c>
      <c r="R395" s="120">
        <v>0.4</v>
      </c>
      <c r="S395" s="120">
        <v>0.8914936500000001</v>
      </c>
      <c r="T395" s="15"/>
      <c r="U395" s="161"/>
      <c r="AE395" s="15"/>
      <c r="AF395" s="15"/>
    </row>
    <row r="396" ht="15.0" customHeight="1">
      <c r="A396" s="134" t="s">
        <v>244</v>
      </c>
      <c r="B396" s="3" t="s">
        <v>239</v>
      </c>
      <c r="C396" s="3" t="s">
        <v>30</v>
      </c>
      <c r="D396" s="135" t="s">
        <v>240</v>
      </c>
      <c r="E396" s="8">
        <v>5.0</v>
      </c>
      <c r="F396" s="183">
        <f t="shared" si="1"/>
        <v>2</v>
      </c>
      <c r="G396" s="171" t="s">
        <v>236</v>
      </c>
      <c r="H396" s="137">
        <v>12.675784</v>
      </c>
      <c r="I396" s="137">
        <v>0.27022632</v>
      </c>
      <c r="J396" s="137">
        <v>9.93268645</v>
      </c>
      <c r="K396" s="120">
        <f t="shared" si="2"/>
        <v>46.9080288</v>
      </c>
      <c r="L396" s="121">
        <v>-0.387</v>
      </c>
      <c r="M396" s="121">
        <v>-0.83</v>
      </c>
      <c r="N396" s="122">
        <f t="shared" si="20"/>
        <v>0.443</v>
      </c>
      <c r="O396" s="120">
        <v>38.8</v>
      </c>
      <c r="P396" s="120">
        <v>22.42141410835215</v>
      </c>
      <c r="Q396" s="123">
        <v>24.24840285769853</v>
      </c>
      <c r="R396" s="120">
        <v>0.3</v>
      </c>
      <c r="S396" s="120">
        <v>1.0814841000000002</v>
      </c>
      <c r="T396" s="15"/>
      <c r="U396" s="161"/>
      <c r="AE396" s="15"/>
      <c r="AF396" s="15"/>
    </row>
    <row r="397" ht="15.0" customHeight="1">
      <c r="A397" s="134" t="s">
        <v>244</v>
      </c>
      <c r="B397" s="3" t="s">
        <v>239</v>
      </c>
      <c r="C397" s="3" t="s">
        <v>30</v>
      </c>
      <c r="D397" s="135" t="s">
        <v>240</v>
      </c>
      <c r="E397" s="8">
        <v>6.0</v>
      </c>
      <c r="F397" s="183">
        <f t="shared" si="1"/>
        <v>2</v>
      </c>
      <c r="G397" s="171" t="s">
        <v>236</v>
      </c>
      <c r="H397" s="137">
        <v>17.3548808</v>
      </c>
      <c r="I397" s="137">
        <v>0.30781141</v>
      </c>
      <c r="J397" s="137">
        <v>10.8475061</v>
      </c>
      <c r="K397" s="120">
        <f t="shared" si="2"/>
        <v>56.38153829</v>
      </c>
      <c r="L397" s="121">
        <v>-0.41</v>
      </c>
      <c r="M397" s="121">
        <v>-0.855</v>
      </c>
      <c r="N397" s="122">
        <f t="shared" si="20"/>
        <v>0.445</v>
      </c>
      <c r="O397" s="120">
        <v>38.3</v>
      </c>
      <c r="P397" s="120">
        <v>24.37641820224719</v>
      </c>
      <c r="Q397" s="123">
        <v>29.568984083196177</v>
      </c>
      <c r="R397" s="120">
        <v>0.5</v>
      </c>
      <c r="S397" s="120">
        <v>1.2130159500000004</v>
      </c>
      <c r="T397" s="15"/>
      <c r="U397" s="161"/>
      <c r="AE397" s="15"/>
      <c r="AF397" s="15"/>
    </row>
    <row r="398" ht="15.0" customHeight="1">
      <c r="A398" s="134" t="s">
        <v>249</v>
      </c>
      <c r="B398" s="3" t="s">
        <v>250</v>
      </c>
      <c r="C398" s="3" t="s">
        <v>42</v>
      </c>
      <c r="D398" s="3" t="s">
        <v>251</v>
      </c>
      <c r="E398" s="8">
        <v>1.0</v>
      </c>
      <c r="F398" s="183">
        <f t="shared" si="1"/>
        <v>3</v>
      </c>
      <c r="G398" s="171" t="s">
        <v>236</v>
      </c>
      <c r="H398" s="137">
        <v>15.5159098</v>
      </c>
      <c r="I398" s="137">
        <v>0.30482115</v>
      </c>
      <c r="J398" s="137">
        <v>7.42670604</v>
      </c>
      <c r="K398" s="120">
        <f t="shared" si="2"/>
        <v>50.90168382</v>
      </c>
      <c r="L398" s="121">
        <v>-0.255</v>
      </c>
      <c r="M398" s="121">
        <v>-0.82</v>
      </c>
      <c r="N398" s="122">
        <f t="shared" si="20"/>
        <v>0.565</v>
      </c>
      <c r="O398" s="120">
        <v>31.0</v>
      </c>
      <c r="P398" s="120">
        <v>13.144612460176992</v>
      </c>
      <c r="Q398" s="123">
        <v>16.32883239174569</v>
      </c>
      <c r="R398" s="120">
        <v>0.6</v>
      </c>
      <c r="S398" s="120">
        <v>1.2422452500000003</v>
      </c>
      <c r="T398" s="15"/>
      <c r="U398" s="161"/>
      <c r="AE398" s="15"/>
      <c r="AF398" s="15"/>
    </row>
    <row r="399" ht="15.0" customHeight="1">
      <c r="A399" s="134" t="s">
        <v>249</v>
      </c>
      <c r="B399" s="3" t="s">
        <v>250</v>
      </c>
      <c r="C399" s="3" t="s">
        <v>42</v>
      </c>
      <c r="D399" s="3" t="s">
        <v>251</v>
      </c>
      <c r="E399" s="8">
        <v>2.0</v>
      </c>
      <c r="F399" s="183">
        <f t="shared" si="1"/>
        <v>3</v>
      </c>
      <c r="G399" s="171" t="s">
        <v>236</v>
      </c>
      <c r="H399" s="137">
        <v>19.3848092</v>
      </c>
      <c r="I399" s="137">
        <v>0.37295951</v>
      </c>
      <c r="J399" s="137">
        <v>10.391039</v>
      </c>
      <c r="K399" s="120">
        <f t="shared" si="2"/>
        <v>51.97563993</v>
      </c>
      <c r="L399" s="121">
        <v>-0.244</v>
      </c>
      <c r="M399" s="121">
        <v>-0.62</v>
      </c>
      <c r="N399" s="122">
        <f t="shared" si="20"/>
        <v>0.376</v>
      </c>
      <c r="O399" s="120">
        <v>43.9</v>
      </c>
      <c r="P399" s="120">
        <v>27.635742021276595</v>
      </c>
      <c r="Q399" s="123">
        <v>30.29150228484376</v>
      </c>
      <c r="R399" s="120">
        <v>0.5</v>
      </c>
      <c r="S399" s="120">
        <v>1.0960987500000003</v>
      </c>
      <c r="T399" s="15"/>
      <c r="U399" s="161"/>
      <c r="AE399" s="15"/>
      <c r="AF399" s="15"/>
    </row>
    <row r="400" ht="15.0" customHeight="1">
      <c r="A400" s="134" t="s">
        <v>249</v>
      </c>
      <c r="B400" s="3" t="s">
        <v>250</v>
      </c>
      <c r="C400" s="3" t="s">
        <v>42</v>
      </c>
      <c r="D400" s="3" t="s">
        <v>251</v>
      </c>
      <c r="E400" s="8">
        <v>3.0</v>
      </c>
      <c r="F400" s="183">
        <f t="shared" si="1"/>
        <v>3</v>
      </c>
      <c r="G400" s="171" t="s">
        <v>236</v>
      </c>
      <c r="H400" s="137">
        <v>13.6242321</v>
      </c>
      <c r="I400" s="137">
        <v>0.28867024</v>
      </c>
      <c r="J400" s="137">
        <v>9.84464659</v>
      </c>
      <c r="K400" s="120">
        <f t="shared" si="2"/>
        <v>47.19652466</v>
      </c>
      <c r="L400" s="121">
        <v>-0.23</v>
      </c>
      <c r="M400" s="121">
        <v>-0.65</v>
      </c>
      <c r="N400" s="122">
        <f t="shared" si="20"/>
        <v>0.42</v>
      </c>
      <c r="O400" s="120">
        <v>37.4</v>
      </c>
      <c r="P400" s="120">
        <v>23.439634738095236</v>
      </c>
      <c r="Q400" s="123">
        <v>26.719840510358086</v>
      </c>
      <c r="R400" s="120">
        <v>0.4</v>
      </c>
      <c r="S400" s="120">
        <v>1.1399427000000004</v>
      </c>
      <c r="T400" s="15"/>
      <c r="U400" s="161"/>
      <c r="AE400" s="15"/>
      <c r="AF400" s="15"/>
    </row>
    <row r="401" ht="15.0" customHeight="1">
      <c r="A401" s="134" t="s">
        <v>249</v>
      </c>
      <c r="B401" s="3" t="s">
        <v>250</v>
      </c>
      <c r="C401" s="3" t="s">
        <v>42</v>
      </c>
      <c r="D401" s="3" t="s">
        <v>251</v>
      </c>
      <c r="E401" s="8">
        <v>4.0</v>
      </c>
      <c r="F401" s="183">
        <f t="shared" si="1"/>
        <v>3</v>
      </c>
      <c r="G401" s="171" t="s">
        <v>236</v>
      </c>
      <c r="H401" s="137">
        <v>10.7955491</v>
      </c>
      <c r="I401" s="137">
        <v>0.21027429</v>
      </c>
      <c r="J401" s="137">
        <v>8.0897524</v>
      </c>
      <c r="K401" s="120">
        <f t="shared" si="2"/>
        <v>51.34031888</v>
      </c>
      <c r="L401" s="121">
        <v>-0.157</v>
      </c>
      <c r="M401" s="121">
        <v>-0.68</v>
      </c>
      <c r="N401" s="122">
        <f t="shared" si="20"/>
        <v>0.523</v>
      </c>
      <c r="O401" s="120">
        <v>36.7</v>
      </c>
      <c r="P401" s="120">
        <v>15.467977820267686</v>
      </c>
      <c r="Q401" s="123">
        <v>18.31078564612899</v>
      </c>
      <c r="R401" s="120">
        <v>1.0</v>
      </c>
      <c r="S401" s="120">
        <v>1.1837866500000003</v>
      </c>
      <c r="T401" s="15"/>
      <c r="U401" s="161"/>
      <c r="AE401" s="15"/>
      <c r="AF401" s="15"/>
    </row>
    <row r="402" ht="15.0" customHeight="1">
      <c r="A402" s="134" t="s">
        <v>249</v>
      </c>
      <c r="B402" s="3" t="s">
        <v>250</v>
      </c>
      <c r="C402" s="3" t="s">
        <v>42</v>
      </c>
      <c r="D402" s="3" t="s">
        <v>251</v>
      </c>
      <c r="E402" s="8">
        <v>5.0</v>
      </c>
      <c r="F402" s="183">
        <f t="shared" si="1"/>
        <v>3</v>
      </c>
      <c r="G402" s="171" t="s">
        <v>236</v>
      </c>
      <c r="H402" s="137">
        <v>14.6168297</v>
      </c>
      <c r="I402" s="137">
        <v>0.28226735</v>
      </c>
      <c r="J402" s="137">
        <v>10.2188846</v>
      </c>
      <c r="K402" s="120">
        <f t="shared" si="2"/>
        <v>51.78363597</v>
      </c>
      <c r="L402" s="121">
        <v>-0.364</v>
      </c>
      <c r="M402" s="121">
        <v>-0.73</v>
      </c>
      <c r="N402" s="122">
        <f t="shared" si="20"/>
        <v>0.366</v>
      </c>
      <c r="O402" s="120">
        <v>42.4</v>
      </c>
      <c r="P402" s="120">
        <v>27.92044972677596</v>
      </c>
      <c r="Q402" s="123">
        <v>35.908188852749525</v>
      </c>
      <c r="R402" s="120">
        <v>0.6</v>
      </c>
      <c r="S402" s="120">
        <v>1.2860892000000004</v>
      </c>
      <c r="T402" s="15"/>
      <c r="U402" s="161"/>
      <c r="AE402" s="15"/>
      <c r="AF402" s="15"/>
    </row>
    <row r="403" ht="15.0" customHeight="1">
      <c r="A403" s="134" t="s">
        <v>249</v>
      </c>
      <c r="B403" s="3" t="s">
        <v>250</v>
      </c>
      <c r="C403" s="3" t="s">
        <v>42</v>
      </c>
      <c r="D403" s="3" t="s">
        <v>251</v>
      </c>
      <c r="E403" s="8">
        <v>6.0</v>
      </c>
      <c r="F403" s="183">
        <f t="shared" si="1"/>
        <v>3</v>
      </c>
      <c r="G403" s="171" t="s">
        <v>236</v>
      </c>
      <c r="H403" s="137">
        <v>13.4182311</v>
      </c>
      <c r="I403" s="137">
        <v>0.27352574</v>
      </c>
      <c r="J403" s="137">
        <v>9.79379558</v>
      </c>
      <c r="K403" s="120">
        <f t="shared" si="2"/>
        <v>49.05655716</v>
      </c>
      <c r="L403" s="121">
        <v>-0.383</v>
      </c>
      <c r="M403" s="121">
        <v>-0.737</v>
      </c>
      <c r="N403" s="122">
        <f t="shared" si="20"/>
        <v>0.354</v>
      </c>
      <c r="O403" s="120">
        <v>36.6</v>
      </c>
      <c r="P403" s="120">
        <v>27.666089209039548</v>
      </c>
      <c r="Q403" s="123">
        <v>34.77239811666453</v>
      </c>
      <c r="R403" s="120">
        <v>0.4</v>
      </c>
      <c r="S403" s="120">
        <v>1.2568599000000003</v>
      </c>
      <c r="T403" s="15"/>
      <c r="U403" s="161"/>
      <c r="AE403" s="15"/>
      <c r="AF403" s="15"/>
    </row>
    <row r="404" ht="15.0" customHeight="1">
      <c r="A404" s="134" t="s">
        <v>256</v>
      </c>
      <c r="B404" s="3" t="s">
        <v>257</v>
      </c>
      <c r="C404" s="3" t="s">
        <v>242</v>
      </c>
      <c r="D404" s="135" t="s">
        <v>240</v>
      </c>
      <c r="E404" s="8">
        <v>1.0</v>
      </c>
      <c r="F404" s="183">
        <f t="shared" si="1"/>
        <v>4</v>
      </c>
      <c r="G404" s="171" t="s">
        <v>236</v>
      </c>
      <c r="H404" s="137">
        <v>15.5121329</v>
      </c>
      <c r="I404" s="137">
        <v>0.19666855</v>
      </c>
      <c r="J404" s="137">
        <v>5.83259494</v>
      </c>
      <c r="K404" s="120">
        <f t="shared" si="2"/>
        <v>78.87449671</v>
      </c>
      <c r="L404" s="121">
        <v>-0.37</v>
      </c>
      <c r="M404" s="121">
        <v>-0.718</v>
      </c>
      <c r="N404" s="122">
        <f t="shared" si="20"/>
        <v>0.348</v>
      </c>
      <c r="O404" s="120">
        <v>54.1</v>
      </c>
      <c r="P404" s="120">
        <v>16.76033028735632</v>
      </c>
      <c r="Q404" s="123">
        <v>17.881084355490184</v>
      </c>
      <c r="R404" s="120">
        <v>0.7</v>
      </c>
      <c r="S404" s="120">
        <v>1.0668694500000002</v>
      </c>
      <c r="T404" s="15"/>
      <c r="U404" s="161"/>
      <c r="AE404" s="15"/>
      <c r="AF404" s="15"/>
    </row>
    <row r="405" ht="15.0" customHeight="1">
      <c r="A405" s="134" t="s">
        <v>256</v>
      </c>
      <c r="B405" s="3" t="s">
        <v>257</v>
      </c>
      <c r="C405" s="3" t="s">
        <v>242</v>
      </c>
      <c r="D405" s="135" t="s">
        <v>240</v>
      </c>
      <c r="E405" s="8">
        <v>2.0</v>
      </c>
      <c r="F405" s="183">
        <f t="shared" si="1"/>
        <v>4</v>
      </c>
      <c r="G405" s="171" t="s">
        <v>236</v>
      </c>
      <c r="H405" s="137">
        <v>16.4547738</v>
      </c>
      <c r="I405" s="137">
        <v>0.34653088</v>
      </c>
      <c r="J405" s="137">
        <v>10.1183738</v>
      </c>
      <c r="K405" s="120">
        <f t="shared" si="2"/>
        <v>47.48429289</v>
      </c>
      <c r="L405" s="121">
        <v>-0.364</v>
      </c>
      <c r="M405" s="121">
        <v>-0.64</v>
      </c>
      <c r="N405" s="122">
        <f t="shared" si="20"/>
        <v>0.276</v>
      </c>
      <c r="O405" s="120">
        <v>40.2</v>
      </c>
      <c r="P405" s="120">
        <v>36.66077463768116</v>
      </c>
      <c r="Q405" s="123">
        <v>38.57647608421827</v>
      </c>
      <c r="R405" s="120">
        <v>0.5</v>
      </c>
      <c r="S405" s="120">
        <v>1.0522548000000003</v>
      </c>
      <c r="T405" s="15"/>
      <c r="U405" s="161"/>
      <c r="AE405" s="15"/>
      <c r="AF405" s="15"/>
    </row>
    <row r="406" ht="15.0" customHeight="1">
      <c r="A406" s="134" t="s">
        <v>256</v>
      </c>
      <c r="B406" s="3" t="s">
        <v>257</v>
      </c>
      <c r="C406" s="3" t="s">
        <v>242</v>
      </c>
      <c r="D406" s="135" t="s">
        <v>240</v>
      </c>
      <c r="E406" s="8">
        <v>3.0</v>
      </c>
      <c r="F406" s="183">
        <f t="shared" si="1"/>
        <v>4</v>
      </c>
      <c r="G406" s="171" t="s">
        <v>236</v>
      </c>
      <c r="H406" s="137">
        <v>16.3934725</v>
      </c>
      <c r="I406" s="137">
        <v>0.29508484</v>
      </c>
      <c r="J406" s="137">
        <v>9.98975729</v>
      </c>
      <c r="K406" s="120">
        <f t="shared" si="2"/>
        <v>55.55511595</v>
      </c>
      <c r="L406" s="121">
        <v>-0.341</v>
      </c>
      <c r="M406" s="121">
        <v>-0.663</v>
      </c>
      <c r="N406" s="122">
        <f t="shared" si="20"/>
        <v>0.322</v>
      </c>
      <c r="O406" s="120">
        <v>45.0</v>
      </c>
      <c r="P406" s="120">
        <v>31.02409096273292</v>
      </c>
      <c r="Q406" s="123">
        <v>33.09865486216085</v>
      </c>
      <c r="R406" s="120">
        <v>0.4</v>
      </c>
      <c r="S406" s="120">
        <v>1.0668694500000002</v>
      </c>
      <c r="T406" s="15"/>
      <c r="U406" s="161"/>
      <c r="AE406" s="15"/>
      <c r="AF406" s="15"/>
    </row>
    <row r="407" ht="15.0" customHeight="1">
      <c r="A407" s="134" t="s">
        <v>256</v>
      </c>
      <c r="B407" s="3" t="s">
        <v>257</v>
      </c>
      <c r="C407" s="3" t="s">
        <v>242</v>
      </c>
      <c r="D407" s="135" t="s">
        <v>240</v>
      </c>
      <c r="E407" s="8">
        <v>4.0</v>
      </c>
      <c r="F407" s="183">
        <f t="shared" si="1"/>
        <v>4</v>
      </c>
      <c r="G407" s="171" t="s">
        <v>236</v>
      </c>
      <c r="H407" s="137">
        <v>8.86524014</v>
      </c>
      <c r="I407" s="137">
        <v>0.14415177</v>
      </c>
      <c r="J407" s="137">
        <v>6.285157</v>
      </c>
      <c r="K407" s="120">
        <f t="shared" si="2"/>
        <v>61.49934989</v>
      </c>
      <c r="L407" s="121">
        <v>-0.302</v>
      </c>
      <c r="M407" s="121">
        <v>-0.672</v>
      </c>
      <c r="N407" s="122">
        <f t="shared" si="20"/>
        <v>0.37</v>
      </c>
      <c r="O407" s="120">
        <v>44.2</v>
      </c>
      <c r="P407" s="120">
        <v>16.98691081081081</v>
      </c>
      <c r="Q407" s="123">
        <v>16.38501190136027</v>
      </c>
      <c r="R407" s="120">
        <v>0.2</v>
      </c>
      <c r="S407" s="120">
        <v>0.9645669000000001</v>
      </c>
      <c r="T407" s="15"/>
      <c r="U407" s="161"/>
      <c r="AE407" s="15"/>
      <c r="AF407" s="15"/>
    </row>
    <row r="408" ht="15.0" customHeight="1">
      <c r="A408" s="134" t="s">
        <v>256</v>
      </c>
      <c r="B408" s="3" t="s">
        <v>257</v>
      </c>
      <c r="C408" s="3" t="s">
        <v>242</v>
      </c>
      <c r="D408" s="135" t="s">
        <v>240</v>
      </c>
      <c r="E408" s="8">
        <v>5.0</v>
      </c>
      <c r="F408" s="183">
        <f t="shared" si="1"/>
        <v>4</v>
      </c>
      <c r="G408" s="171" t="s">
        <v>236</v>
      </c>
      <c r="H408" s="137">
        <v>11.6248113</v>
      </c>
      <c r="I408" s="137">
        <v>0.17729729</v>
      </c>
      <c r="J408" s="137">
        <v>7.68075121</v>
      </c>
      <c r="K408" s="120">
        <f t="shared" si="2"/>
        <v>65.56677375</v>
      </c>
      <c r="L408" s="121">
        <v>-0.43</v>
      </c>
      <c r="M408" s="121">
        <v>-0.685</v>
      </c>
      <c r="N408" s="122">
        <f t="shared" si="20"/>
        <v>0.255</v>
      </c>
      <c r="O408" s="120">
        <v>45.9</v>
      </c>
      <c r="P408" s="120">
        <v>30.12059298039215</v>
      </c>
      <c r="Q408" s="123">
        <v>32.13474046666484</v>
      </c>
      <c r="R408" s="120">
        <v>0.3</v>
      </c>
      <c r="S408" s="120">
        <v>1.0668694500000002</v>
      </c>
      <c r="T408" s="15"/>
      <c r="U408" s="161"/>
      <c r="AE408" s="15"/>
      <c r="AF408" s="15"/>
    </row>
    <row r="409" ht="15.0" customHeight="1">
      <c r="A409" s="134" t="s">
        <v>256</v>
      </c>
      <c r="B409" s="3" t="s">
        <v>257</v>
      </c>
      <c r="C409" s="3" t="s">
        <v>242</v>
      </c>
      <c r="D409" s="135" t="s">
        <v>240</v>
      </c>
      <c r="E409" s="8">
        <v>6.0</v>
      </c>
      <c r="F409" s="183">
        <f t="shared" si="1"/>
        <v>4</v>
      </c>
      <c r="G409" s="171" t="s">
        <v>236</v>
      </c>
      <c r="H409" s="137">
        <v>9.47976695</v>
      </c>
      <c r="I409" s="137">
        <v>0.13586879</v>
      </c>
      <c r="J409" s="137">
        <v>6.36052029</v>
      </c>
      <c r="K409" s="120">
        <f t="shared" si="2"/>
        <v>69.77148284</v>
      </c>
      <c r="L409" s="121">
        <v>-0.296</v>
      </c>
      <c r="M409" s="121">
        <v>-0.736</v>
      </c>
      <c r="N409" s="122">
        <f t="shared" si="20"/>
        <v>0.44</v>
      </c>
      <c r="O409" s="120">
        <v>53.3</v>
      </c>
      <c r="P409" s="120">
        <v>14.455727931818183</v>
      </c>
      <c r="Q409" s="123">
        <v>17.535028550155975</v>
      </c>
      <c r="R409" s="120">
        <v>0.9</v>
      </c>
      <c r="S409" s="120">
        <v>1.2130159500000004</v>
      </c>
      <c r="T409" s="15"/>
      <c r="U409" s="161"/>
      <c r="AE409" s="15"/>
      <c r="AF409" s="15"/>
    </row>
    <row r="410" ht="15.0" customHeight="1">
      <c r="A410" s="134" t="s">
        <v>249</v>
      </c>
      <c r="B410" s="3" t="s">
        <v>258</v>
      </c>
      <c r="C410" s="3" t="s">
        <v>65</v>
      </c>
      <c r="D410" s="3" t="s">
        <v>251</v>
      </c>
      <c r="E410" s="8">
        <v>1.0</v>
      </c>
      <c r="F410" s="183">
        <f t="shared" si="1"/>
        <v>5</v>
      </c>
      <c r="G410" s="171" t="s">
        <v>236</v>
      </c>
      <c r="H410" s="137">
        <v>17.7268713</v>
      </c>
      <c r="I410" s="137">
        <v>0.45409322</v>
      </c>
      <c r="J410" s="137">
        <v>9.50648339</v>
      </c>
      <c r="K410" s="120">
        <f t="shared" si="2"/>
        <v>39.03795635</v>
      </c>
      <c r="L410" s="121">
        <v>-0.41</v>
      </c>
      <c r="M410" s="121">
        <v>-0.668</v>
      </c>
      <c r="N410" s="122">
        <f t="shared" si="20"/>
        <v>0.258</v>
      </c>
      <c r="O410" s="120">
        <v>43.5</v>
      </c>
      <c r="P410" s="120">
        <v>36.84683484496123</v>
      </c>
      <c r="Q410" s="123">
        <v>45.772805563687584</v>
      </c>
      <c r="R410" s="120">
        <v>0.7</v>
      </c>
      <c r="S410" s="120">
        <v>1.2422452500000003</v>
      </c>
      <c r="T410" s="15"/>
      <c r="U410" s="161"/>
      <c r="AE410" s="15"/>
      <c r="AF410" s="15"/>
    </row>
    <row r="411" ht="15.0" customHeight="1">
      <c r="A411" s="134" t="s">
        <v>249</v>
      </c>
      <c r="B411" s="3" t="s">
        <v>258</v>
      </c>
      <c r="C411" s="3" t="s">
        <v>65</v>
      </c>
      <c r="D411" s="3" t="s">
        <v>251</v>
      </c>
      <c r="E411" s="8">
        <v>2.0</v>
      </c>
      <c r="F411" s="183">
        <f t="shared" si="1"/>
        <v>5</v>
      </c>
      <c r="G411" s="171" t="s">
        <v>236</v>
      </c>
      <c r="H411" s="137">
        <v>14.8833806</v>
      </c>
      <c r="I411" s="137">
        <v>0.29670139</v>
      </c>
      <c r="J411" s="137">
        <v>9.48603239</v>
      </c>
      <c r="K411" s="120">
        <f t="shared" si="2"/>
        <v>50.16282735</v>
      </c>
      <c r="L411" s="121">
        <v>-0.292</v>
      </c>
      <c r="M411" s="121">
        <v>-0.62</v>
      </c>
      <c r="N411" s="122">
        <f t="shared" si="20"/>
        <v>0.328</v>
      </c>
      <c r="O411" s="120">
        <v>43.3</v>
      </c>
      <c r="P411" s="120">
        <v>28.920830457317074</v>
      </c>
      <c r="Q411" s="123">
        <v>29.164079224169</v>
      </c>
      <c r="R411" s="120">
        <v>0.3</v>
      </c>
      <c r="S411" s="120">
        <v>1.0084108500000002</v>
      </c>
      <c r="T411" s="15"/>
      <c r="U411" s="161"/>
      <c r="AE411" s="15"/>
      <c r="AF411" s="15"/>
    </row>
    <row r="412" ht="15.0" customHeight="1">
      <c r="A412" s="134" t="s">
        <v>249</v>
      </c>
      <c r="B412" s="3" t="s">
        <v>258</v>
      </c>
      <c r="C412" s="3" t="s">
        <v>65</v>
      </c>
      <c r="D412" s="3" t="s">
        <v>251</v>
      </c>
      <c r="E412" s="8">
        <v>3.0</v>
      </c>
      <c r="F412" s="183">
        <f t="shared" si="1"/>
        <v>5</v>
      </c>
      <c r="G412" s="171" t="s">
        <v>236</v>
      </c>
      <c r="H412" s="137">
        <v>14.6833211</v>
      </c>
      <c r="I412" s="137">
        <v>0.2344852</v>
      </c>
      <c r="J412" s="137">
        <v>8.73644519</v>
      </c>
      <c r="K412" s="120">
        <f t="shared" si="2"/>
        <v>62.61939389</v>
      </c>
      <c r="L412" s="121">
        <v>-0.208</v>
      </c>
      <c r="M412" s="121">
        <v>-0.738</v>
      </c>
      <c r="N412" s="122">
        <f t="shared" si="20"/>
        <v>0.53</v>
      </c>
      <c r="O412" s="120">
        <v>39.7</v>
      </c>
      <c r="P412" s="120">
        <v>16.483858849056602</v>
      </c>
      <c r="Q412" s="123">
        <v>22.404241978737957</v>
      </c>
      <c r="R412" s="120">
        <v>0.7</v>
      </c>
      <c r="S412" s="120">
        <v>1.3591624500000004</v>
      </c>
      <c r="T412" s="15"/>
      <c r="U412" s="161"/>
      <c r="AE412" s="15"/>
      <c r="AF412" s="15"/>
    </row>
    <row r="413" ht="15.0" customHeight="1">
      <c r="A413" s="134" t="s">
        <v>249</v>
      </c>
      <c r="B413" s="3" t="s">
        <v>258</v>
      </c>
      <c r="C413" s="3" t="s">
        <v>65</v>
      </c>
      <c r="D413" s="3" t="s">
        <v>251</v>
      </c>
      <c r="E413" s="8">
        <v>4.0</v>
      </c>
      <c r="F413" s="183">
        <f t="shared" si="1"/>
        <v>5</v>
      </c>
      <c r="G413" s="171" t="s">
        <v>236</v>
      </c>
      <c r="H413" s="137">
        <v>12.5394259</v>
      </c>
      <c r="I413" s="137">
        <v>0.21878955</v>
      </c>
      <c r="J413" s="137">
        <v>8.81302757</v>
      </c>
      <c r="K413" s="120">
        <f t="shared" si="2"/>
        <v>57.31272769</v>
      </c>
      <c r="L413" s="121">
        <v>-0.232</v>
      </c>
      <c r="M413" s="121">
        <v>-0.645</v>
      </c>
      <c r="N413" s="122">
        <f t="shared" si="20"/>
        <v>0.413</v>
      </c>
      <c r="O413" s="120">
        <v>43.4</v>
      </c>
      <c r="P413" s="120">
        <v>21.339049806295396</v>
      </c>
      <c r="Q413" s="123">
        <v>26.820196005635456</v>
      </c>
      <c r="R413" s="120">
        <v>0.9</v>
      </c>
      <c r="S413" s="120">
        <v>1.2568599000000003</v>
      </c>
      <c r="T413" s="15"/>
      <c r="U413" s="161"/>
      <c r="AE413" s="15"/>
      <c r="AF413" s="15"/>
    </row>
    <row r="414" ht="15.0" customHeight="1">
      <c r="A414" s="134" t="s">
        <v>249</v>
      </c>
      <c r="B414" s="3" t="s">
        <v>258</v>
      </c>
      <c r="C414" s="3" t="s">
        <v>65</v>
      </c>
      <c r="D414" s="3" t="s">
        <v>251</v>
      </c>
      <c r="E414" s="8">
        <v>5.0</v>
      </c>
      <c r="F414" s="183">
        <f t="shared" si="1"/>
        <v>5</v>
      </c>
      <c r="G414" s="171" t="s">
        <v>236</v>
      </c>
      <c r="H414" s="137">
        <v>15.1449841</v>
      </c>
      <c r="I414" s="137">
        <v>0.24893441</v>
      </c>
      <c r="J414" s="137">
        <v>9.48350585</v>
      </c>
      <c r="K414" s="120">
        <f t="shared" si="2"/>
        <v>60.83925521</v>
      </c>
      <c r="L414" s="121">
        <v>-0.321</v>
      </c>
      <c r="M414" s="121">
        <v>-0.763</v>
      </c>
      <c r="N414" s="122">
        <f t="shared" si="20"/>
        <v>0.442</v>
      </c>
      <c r="O414" s="120">
        <v>33.1</v>
      </c>
      <c r="P414" s="120">
        <v>21.455895588235293</v>
      </c>
      <c r="Q414" s="123">
        <v>26.339913974522652</v>
      </c>
      <c r="R414" s="120">
        <v>0.9</v>
      </c>
      <c r="S414" s="120">
        <v>1.2276306000000001</v>
      </c>
      <c r="T414" s="15"/>
      <c r="U414" s="161"/>
      <c r="AE414" s="15"/>
      <c r="AF414" s="15"/>
    </row>
    <row r="415" ht="15.0" customHeight="1">
      <c r="A415" s="134" t="s">
        <v>249</v>
      </c>
      <c r="B415" s="3" t="s">
        <v>258</v>
      </c>
      <c r="C415" s="3" t="s">
        <v>65</v>
      </c>
      <c r="D415" s="3" t="s">
        <v>251</v>
      </c>
      <c r="E415" s="8">
        <v>6.0</v>
      </c>
      <c r="F415" s="183">
        <f t="shared" si="1"/>
        <v>5</v>
      </c>
      <c r="G415" s="171" t="s">
        <v>236</v>
      </c>
      <c r="H415" s="137">
        <v>16.5644632</v>
      </c>
      <c r="I415" s="137">
        <v>0.36018425</v>
      </c>
      <c r="J415" s="137">
        <v>11.3804802</v>
      </c>
      <c r="K415" s="120">
        <f t="shared" si="2"/>
        <v>45.98886042</v>
      </c>
      <c r="L415" s="121">
        <v>-0.227</v>
      </c>
      <c r="M415" s="121">
        <v>-0.832</v>
      </c>
      <c r="N415" s="122">
        <f t="shared" si="20"/>
        <v>0.605</v>
      </c>
      <c r="O415" s="120">
        <v>39.2</v>
      </c>
      <c r="P415" s="120">
        <v>18.810711074380166</v>
      </c>
      <c r="Q415" s="123">
        <v>24.192252357080733</v>
      </c>
      <c r="R415" s="120">
        <v>0.4</v>
      </c>
      <c r="S415" s="120">
        <v>1.2860892000000004</v>
      </c>
      <c r="T415" s="15"/>
      <c r="U415" s="161"/>
      <c r="AE415" s="15"/>
      <c r="AF415" s="15"/>
    </row>
    <row r="416" ht="15.0" customHeight="1">
      <c r="A416" s="134" t="s">
        <v>256</v>
      </c>
      <c r="B416" s="3" t="s">
        <v>239</v>
      </c>
      <c r="C416" s="3" t="s">
        <v>243</v>
      </c>
      <c r="D416" s="135" t="s">
        <v>240</v>
      </c>
      <c r="E416" s="8">
        <v>1.0</v>
      </c>
      <c r="F416" s="183">
        <f t="shared" si="1"/>
        <v>6</v>
      </c>
      <c r="G416" s="171" t="s">
        <v>236</v>
      </c>
      <c r="H416" s="137">
        <v>14.3419854</v>
      </c>
      <c r="I416" s="137">
        <v>0.269947</v>
      </c>
      <c r="J416" s="137">
        <v>7.20306233</v>
      </c>
      <c r="K416" s="120">
        <f t="shared" si="2"/>
        <v>53.12889345</v>
      </c>
      <c r="L416" s="121">
        <v>-0.42</v>
      </c>
      <c r="M416" s="121">
        <v>-0.667</v>
      </c>
      <c r="N416" s="122">
        <f t="shared" si="20"/>
        <v>0.247</v>
      </c>
      <c r="O416" s="120">
        <v>41.3</v>
      </c>
      <c r="P416" s="120">
        <v>29.16219566801619</v>
      </c>
      <c r="Q416" s="123">
        <v>34.09562263356583</v>
      </c>
      <c r="R416" s="120">
        <v>0.9</v>
      </c>
      <c r="S416" s="120">
        <v>1.1691720000000003</v>
      </c>
      <c r="T416" s="15"/>
      <c r="U416" s="161"/>
      <c r="AE416" s="15"/>
      <c r="AF416" s="15"/>
    </row>
    <row r="417" ht="15.0" customHeight="1">
      <c r="A417" s="134" t="s">
        <v>256</v>
      </c>
      <c r="B417" s="3" t="s">
        <v>239</v>
      </c>
      <c r="C417" s="3" t="s">
        <v>243</v>
      </c>
      <c r="D417" s="135" t="s">
        <v>240</v>
      </c>
      <c r="E417" s="8">
        <v>2.0</v>
      </c>
      <c r="F417" s="183">
        <f t="shared" si="1"/>
        <v>6</v>
      </c>
      <c r="G417" s="171" t="s">
        <v>236</v>
      </c>
      <c r="H417" s="137">
        <v>11.8122112</v>
      </c>
      <c r="I417" s="137">
        <v>0.24879915</v>
      </c>
      <c r="J417" s="137">
        <v>8.16453916</v>
      </c>
      <c r="K417" s="120">
        <f t="shared" si="2"/>
        <v>47.47689532</v>
      </c>
      <c r="L417" s="121">
        <v>-0.36</v>
      </c>
      <c r="M417" s="121">
        <v>-0.592</v>
      </c>
      <c r="N417" s="122">
        <f t="shared" si="20"/>
        <v>0.232</v>
      </c>
      <c r="O417" s="120">
        <v>32.2</v>
      </c>
      <c r="P417" s="120">
        <v>35.191979137931035</v>
      </c>
      <c r="Q417" s="123">
        <v>42.68843200637762</v>
      </c>
      <c r="R417" s="120">
        <v>0.6</v>
      </c>
      <c r="S417" s="120">
        <v>1.2130159500000004</v>
      </c>
      <c r="T417" s="15"/>
      <c r="U417" s="161"/>
      <c r="AE417" s="15"/>
      <c r="AF417" s="15"/>
    </row>
    <row r="418" ht="15.0" customHeight="1">
      <c r="A418" s="134" t="s">
        <v>256</v>
      </c>
      <c r="B418" s="3" t="s">
        <v>239</v>
      </c>
      <c r="C418" s="3" t="s">
        <v>243</v>
      </c>
      <c r="D418" s="135" t="s">
        <v>240</v>
      </c>
      <c r="E418" s="8">
        <v>3.0</v>
      </c>
      <c r="F418" s="183">
        <f t="shared" si="1"/>
        <v>6</v>
      </c>
      <c r="G418" s="171" t="s">
        <v>236</v>
      </c>
      <c r="H418" s="137">
        <v>11.1803627</v>
      </c>
      <c r="I418" s="137">
        <v>0.1691674</v>
      </c>
      <c r="J418" s="137">
        <v>7.08313071</v>
      </c>
      <c r="K418" s="120">
        <f t="shared" si="2"/>
        <v>66.09052749</v>
      </c>
      <c r="L418" s="121">
        <v>-0.313</v>
      </c>
      <c r="M418" s="121">
        <v>-0.77</v>
      </c>
      <c r="N418" s="122">
        <f t="shared" si="20"/>
        <v>0.457</v>
      </c>
      <c r="O418" s="120">
        <v>48.9</v>
      </c>
      <c r="P418" s="120">
        <v>15.49919192560175</v>
      </c>
      <c r="Q418" s="123">
        <v>17.215160160937668</v>
      </c>
      <c r="R418" s="120">
        <v>0.5</v>
      </c>
      <c r="S418" s="120">
        <v>1.1107134</v>
      </c>
      <c r="T418" s="15"/>
      <c r="U418" s="161"/>
      <c r="AE418" s="15"/>
      <c r="AF418" s="15"/>
    </row>
    <row r="419" ht="15.0" customHeight="1">
      <c r="A419" s="134" t="s">
        <v>256</v>
      </c>
      <c r="B419" s="3" t="s">
        <v>239</v>
      </c>
      <c r="C419" s="3" t="s">
        <v>243</v>
      </c>
      <c r="D419" s="135" t="s">
        <v>240</v>
      </c>
      <c r="E419" s="8">
        <v>4.0</v>
      </c>
      <c r="F419" s="183">
        <f t="shared" si="1"/>
        <v>6</v>
      </c>
      <c r="G419" s="171" t="s">
        <v>236</v>
      </c>
      <c r="H419" s="137">
        <v>14.5180843</v>
      </c>
      <c r="I419" s="137">
        <v>0.23261308</v>
      </c>
      <c r="J419" s="137">
        <v>8.81460344</v>
      </c>
      <c r="K419" s="120">
        <f t="shared" si="2"/>
        <v>62.41301779</v>
      </c>
      <c r="L419" s="121">
        <v>-0.384</v>
      </c>
      <c r="M419" s="121">
        <v>-0.658</v>
      </c>
      <c r="N419" s="122">
        <f t="shared" si="20"/>
        <v>0.274</v>
      </c>
      <c r="O419" s="120">
        <v>35.0</v>
      </c>
      <c r="P419" s="120">
        <v>32.170085547445254</v>
      </c>
      <c r="Q419" s="123">
        <v>32.440663311471994</v>
      </c>
      <c r="R419" s="120">
        <v>0.4</v>
      </c>
      <c r="S419" s="120">
        <v>1.0084108500000002</v>
      </c>
      <c r="T419" s="15"/>
      <c r="U419" s="161"/>
      <c r="AE419" s="15"/>
      <c r="AF419" s="15"/>
    </row>
    <row r="420" ht="15.0" customHeight="1">
      <c r="A420" s="134" t="s">
        <v>256</v>
      </c>
      <c r="B420" s="3" t="s">
        <v>239</v>
      </c>
      <c r="C420" s="3" t="s">
        <v>243</v>
      </c>
      <c r="D420" s="135" t="s">
        <v>240</v>
      </c>
      <c r="E420" s="8">
        <v>5.0</v>
      </c>
      <c r="F420" s="183">
        <f t="shared" si="1"/>
        <v>6</v>
      </c>
      <c r="G420" s="171" t="s">
        <v>236</v>
      </c>
      <c r="H420" s="137">
        <v>14.0521791</v>
      </c>
      <c r="I420" s="137">
        <v>0.27438515</v>
      </c>
      <c r="J420" s="137">
        <v>10.2218772</v>
      </c>
      <c r="K420" s="120">
        <f t="shared" si="2"/>
        <v>51.2133368</v>
      </c>
      <c r="L420" s="121">
        <v>-0.41</v>
      </c>
      <c r="M420" s="121">
        <v>-0.804</v>
      </c>
      <c r="N420" s="122">
        <f t="shared" si="20"/>
        <v>0.394</v>
      </c>
      <c r="O420" s="120">
        <v>35.3</v>
      </c>
      <c r="P420" s="120">
        <v>25.943850761421313</v>
      </c>
      <c r="Q420" s="123">
        <v>25.40374000153721</v>
      </c>
      <c r="R420" s="120">
        <v>0.0</v>
      </c>
      <c r="S420" s="120">
        <v>0.9791815500000003</v>
      </c>
      <c r="T420" s="15"/>
      <c r="U420" s="161"/>
      <c r="AE420" s="15"/>
      <c r="AF420" s="15"/>
    </row>
    <row r="421" ht="15.0" customHeight="1">
      <c r="A421" s="134" t="s">
        <v>256</v>
      </c>
      <c r="B421" s="3" t="s">
        <v>239</v>
      </c>
      <c r="C421" s="3" t="s">
        <v>243</v>
      </c>
      <c r="D421" s="135" t="s">
        <v>240</v>
      </c>
      <c r="E421" s="8">
        <v>6.0</v>
      </c>
      <c r="F421" s="183">
        <f t="shared" si="1"/>
        <v>6</v>
      </c>
      <c r="G421" s="171" t="s">
        <v>236</v>
      </c>
      <c r="H421" s="137">
        <v>15.7497549</v>
      </c>
      <c r="I421" s="137">
        <v>0.29334108</v>
      </c>
      <c r="J421" s="137">
        <v>10.5879783</v>
      </c>
      <c r="K421" s="120">
        <f t="shared" si="2"/>
        <v>53.69092832</v>
      </c>
      <c r="L421" s="121">
        <v>-0.277</v>
      </c>
      <c r="M421" s="121">
        <v>-0.845</v>
      </c>
      <c r="N421" s="122">
        <f t="shared" si="20"/>
        <v>0.568</v>
      </c>
      <c r="O421" s="120">
        <v>43.1</v>
      </c>
      <c r="P421" s="120">
        <v>18.640806866197185</v>
      </c>
      <c r="Q421" s="123">
        <v>22.06673831343257</v>
      </c>
      <c r="R421" s="120">
        <v>0.2</v>
      </c>
      <c r="S421" s="120">
        <v>1.1837866500000003</v>
      </c>
      <c r="T421" s="15"/>
      <c r="U421" s="161"/>
      <c r="AE421" s="15"/>
      <c r="AF421" s="15"/>
    </row>
    <row r="422" ht="15.0" customHeight="1">
      <c r="A422" s="134" t="s">
        <v>244</v>
      </c>
      <c r="B422" s="3" t="s">
        <v>258</v>
      </c>
      <c r="C422" s="3" t="s">
        <v>245</v>
      </c>
      <c r="D422" s="3" t="s">
        <v>251</v>
      </c>
      <c r="E422" s="8">
        <v>1.0</v>
      </c>
      <c r="F422" s="183">
        <f t="shared" si="1"/>
        <v>7</v>
      </c>
      <c r="G422" s="171" t="s">
        <v>236</v>
      </c>
      <c r="H422" s="137">
        <v>20.2775506</v>
      </c>
      <c r="I422" s="137">
        <v>0.37393421</v>
      </c>
      <c r="J422" s="137">
        <v>8.97911391</v>
      </c>
      <c r="K422" s="120">
        <f t="shared" si="2"/>
        <v>54.22758886</v>
      </c>
      <c r="L422" s="121">
        <v>-0.38</v>
      </c>
      <c r="M422" s="121">
        <v>-0.68</v>
      </c>
      <c r="N422" s="122">
        <f t="shared" si="20"/>
        <v>0.3</v>
      </c>
      <c r="O422" s="120">
        <v>48.0</v>
      </c>
      <c r="P422" s="120">
        <v>29.930379699999996</v>
      </c>
      <c r="Q422" s="123">
        <v>38.493138084069244</v>
      </c>
      <c r="R422" s="120">
        <v>0.6</v>
      </c>
      <c r="S422" s="120">
        <v>1.2860892000000004</v>
      </c>
      <c r="T422" s="15"/>
      <c r="U422" s="161"/>
      <c r="AE422" s="15"/>
      <c r="AF422" s="15"/>
    </row>
    <row r="423" ht="15.0" customHeight="1">
      <c r="A423" s="134" t="s">
        <v>244</v>
      </c>
      <c r="B423" s="3" t="s">
        <v>258</v>
      </c>
      <c r="C423" s="3" t="s">
        <v>245</v>
      </c>
      <c r="D423" s="3" t="s">
        <v>251</v>
      </c>
      <c r="E423" s="8">
        <v>2.0</v>
      </c>
      <c r="F423" s="183">
        <f t="shared" si="1"/>
        <v>7</v>
      </c>
      <c r="G423" s="171" t="s">
        <v>236</v>
      </c>
      <c r="H423" s="137">
        <v>12.7565946</v>
      </c>
      <c r="I423" s="137">
        <v>0.24251617</v>
      </c>
      <c r="J423" s="137">
        <v>8.12432002</v>
      </c>
      <c r="K423" s="120">
        <f t="shared" si="2"/>
        <v>52.60100636</v>
      </c>
      <c r="L423" s="121">
        <v>-0.292</v>
      </c>
      <c r="M423" s="121">
        <v>-0.732</v>
      </c>
      <c r="N423" s="122">
        <f t="shared" si="20"/>
        <v>0.44</v>
      </c>
      <c r="O423" s="120">
        <v>44.9</v>
      </c>
      <c r="P423" s="120">
        <v>18.464363681818185</v>
      </c>
      <c r="Q423" s="123">
        <v>20.238765951186313</v>
      </c>
      <c r="R423" s="120">
        <v>0.8</v>
      </c>
      <c r="S423" s="120">
        <v>1.0960987500000003</v>
      </c>
      <c r="T423" s="15"/>
      <c r="U423" s="161"/>
      <c r="AE423" s="15"/>
      <c r="AF423" s="15"/>
    </row>
    <row r="424" ht="15.0" customHeight="1">
      <c r="A424" s="134" t="s">
        <v>244</v>
      </c>
      <c r="B424" s="3" t="s">
        <v>258</v>
      </c>
      <c r="C424" s="3" t="s">
        <v>245</v>
      </c>
      <c r="D424" s="3" t="s">
        <v>251</v>
      </c>
      <c r="E424" s="8">
        <v>3.0</v>
      </c>
      <c r="F424" s="183">
        <f t="shared" si="1"/>
        <v>7</v>
      </c>
      <c r="G424" s="171" t="s">
        <v>236</v>
      </c>
      <c r="H424" s="137">
        <v>20.0060046</v>
      </c>
      <c r="I424" s="137">
        <v>0.33327812</v>
      </c>
      <c r="J424" s="137">
        <v>10.9470341</v>
      </c>
      <c r="K424" s="120">
        <f t="shared" si="2"/>
        <v>60.02795683</v>
      </c>
      <c r="L424" s="121">
        <v>-0.364</v>
      </c>
      <c r="M424" s="121">
        <v>-0.542</v>
      </c>
      <c r="N424" s="122">
        <f t="shared" si="20"/>
        <v>0.178</v>
      </c>
      <c r="O424" s="120">
        <v>39.4</v>
      </c>
      <c r="P424" s="120">
        <v>61.50019157303369</v>
      </c>
      <c r="Q424" s="123">
        <v>80.89233972955533</v>
      </c>
      <c r="R424" s="120">
        <v>0.6</v>
      </c>
      <c r="S424" s="120">
        <v>1.3153185000000003</v>
      </c>
      <c r="T424" s="15"/>
      <c r="U424" s="161"/>
      <c r="AE424" s="15"/>
      <c r="AF424" s="15"/>
    </row>
    <row r="425" ht="15.0" customHeight="1">
      <c r="A425" s="134" t="s">
        <v>244</v>
      </c>
      <c r="B425" s="3" t="s">
        <v>258</v>
      </c>
      <c r="C425" s="3" t="s">
        <v>245</v>
      </c>
      <c r="D425" s="3" t="s">
        <v>251</v>
      </c>
      <c r="E425" s="8">
        <v>4.0</v>
      </c>
      <c r="F425" s="183">
        <f t="shared" si="1"/>
        <v>7</v>
      </c>
      <c r="G425" s="171" t="s">
        <v>236</v>
      </c>
      <c r="H425" s="137">
        <v>17.6690978</v>
      </c>
      <c r="I425" s="137">
        <v>0.33379635</v>
      </c>
      <c r="J425" s="137">
        <v>11.2552945</v>
      </c>
      <c r="K425" s="120">
        <f t="shared" si="2"/>
        <v>52.93376575</v>
      </c>
      <c r="L425" s="121">
        <v>-0.396</v>
      </c>
      <c r="M425" s="121">
        <v>-0.72</v>
      </c>
      <c r="N425" s="122">
        <f t="shared" si="20"/>
        <v>0.324</v>
      </c>
      <c r="O425" s="120">
        <v>44.6</v>
      </c>
      <c r="P425" s="120">
        <v>34.738563271604946</v>
      </c>
      <c r="Q425" s="123">
        <v>42.64612327225834</v>
      </c>
      <c r="R425" s="120">
        <v>0.5</v>
      </c>
      <c r="S425" s="120">
        <v>1.2276306000000001</v>
      </c>
      <c r="T425" s="15"/>
      <c r="U425" s="161"/>
      <c r="AE425" s="15"/>
      <c r="AF425" s="15"/>
    </row>
    <row r="426" ht="15.0" customHeight="1">
      <c r="A426" s="134" t="s">
        <v>244</v>
      </c>
      <c r="B426" s="3" t="s">
        <v>258</v>
      </c>
      <c r="C426" s="3" t="s">
        <v>245</v>
      </c>
      <c r="D426" s="3" t="s">
        <v>251</v>
      </c>
      <c r="E426" s="8">
        <v>5.0</v>
      </c>
      <c r="F426" s="183">
        <f t="shared" si="1"/>
        <v>7</v>
      </c>
      <c r="G426" s="171" t="s">
        <v>236</v>
      </c>
      <c r="H426" s="137">
        <v>11.1769003</v>
      </c>
      <c r="I426" s="137">
        <v>0.26204745</v>
      </c>
      <c r="J426" s="137">
        <v>9.74737509</v>
      </c>
      <c r="K426" s="120">
        <f t="shared" si="2"/>
        <v>42.6522002</v>
      </c>
      <c r="L426" s="121">
        <v>-0.14</v>
      </c>
      <c r="M426" s="121">
        <v>-0.767</v>
      </c>
      <c r="N426" s="122">
        <f t="shared" si="20"/>
        <v>0.627</v>
      </c>
      <c r="O426" s="120">
        <v>42.3</v>
      </c>
      <c r="P426" s="120">
        <v>15.546052775119618</v>
      </c>
      <c r="Q426" s="123">
        <v>15.904008413293141</v>
      </c>
      <c r="R426" s="120">
        <v>0.4</v>
      </c>
      <c r="S426" s="120">
        <v>1.0230255000000004</v>
      </c>
      <c r="T426" s="15"/>
      <c r="U426" s="161"/>
      <c r="AE426" s="15"/>
      <c r="AF426" s="15"/>
    </row>
    <row r="427" ht="15.0" customHeight="1">
      <c r="A427" s="134" t="s">
        <v>244</v>
      </c>
      <c r="B427" s="3" t="s">
        <v>258</v>
      </c>
      <c r="C427" s="3" t="s">
        <v>245</v>
      </c>
      <c r="D427" s="3" t="s">
        <v>251</v>
      </c>
      <c r="E427" s="8">
        <v>6.0</v>
      </c>
      <c r="F427" s="183">
        <f t="shared" si="1"/>
        <v>7</v>
      </c>
      <c r="G427" s="171" t="s">
        <v>236</v>
      </c>
      <c r="H427" s="137">
        <v>17.3978875</v>
      </c>
      <c r="I427" s="137">
        <v>0.3034519</v>
      </c>
      <c r="J427" s="137">
        <v>10.681379</v>
      </c>
      <c r="K427" s="120">
        <f t="shared" si="2"/>
        <v>57.3332627</v>
      </c>
      <c r="L427" s="121">
        <v>-0.368</v>
      </c>
      <c r="M427" s="121">
        <v>-0.826</v>
      </c>
      <c r="N427" s="122">
        <f t="shared" si="20"/>
        <v>0.458</v>
      </c>
      <c r="O427" s="120">
        <v>37.5</v>
      </c>
      <c r="P427" s="120">
        <v>23.32178820960699</v>
      </c>
      <c r="Q427" s="123">
        <v>27.948861308717692</v>
      </c>
      <c r="R427" s="120">
        <v>0.7</v>
      </c>
      <c r="S427" s="120">
        <v>1.1984013000000002</v>
      </c>
      <c r="T427" s="15"/>
      <c r="U427" s="161"/>
      <c r="AE427" s="15"/>
      <c r="AF427" s="15"/>
    </row>
    <row r="428" ht="15.0" customHeight="1">
      <c r="A428" s="134" t="s">
        <v>256</v>
      </c>
      <c r="B428" s="3" t="s">
        <v>250</v>
      </c>
      <c r="C428" s="3" t="s">
        <v>94</v>
      </c>
      <c r="D428" s="3" t="s">
        <v>251</v>
      </c>
      <c r="E428" s="8">
        <v>1.0</v>
      </c>
      <c r="F428" s="183">
        <f t="shared" si="1"/>
        <v>8</v>
      </c>
      <c r="G428" s="171" t="s">
        <v>236</v>
      </c>
      <c r="H428" s="137">
        <v>15.4355611</v>
      </c>
      <c r="I428" s="137">
        <v>0.27646813</v>
      </c>
      <c r="J428" s="137">
        <v>8.04265447</v>
      </c>
      <c r="K428" s="120">
        <f t="shared" si="2"/>
        <v>55.83124934</v>
      </c>
      <c r="L428" s="121">
        <v>-0.36</v>
      </c>
      <c r="M428" s="121">
        <v>-0.736</v>
      </c>
      <c r="N428" s="122">
        <f t="shared" si="20"/>
        <v>0.376</v>
      </c>
      <c r="O428" s="120">
        <v>37.3</v>
      </c>
      <c r="P428" s="120">
        <v>21.390038484042556</v>
      </c>
      <c r="Q428" s="123">
        <v>26.25906577818825</v>
      </c>
      <c r="R428" s="120">
        <v>0.7</v>
      </c>
      <c r="S428" s="120">
        <v>1.2276306000000001</v>
      </c>
      <c r="T428" s="15"/>
      <c r="U428" s="161"/>
      <c r="AE428" s="15"/>
      <c r="AF428" s="15"/>
    </row>
    <row r="429" ht="15.0" customHeight="1">
      <c r="A429" s="134" t="s">
        <v>256</v>
      </c>
      <c r="B429" s="3" t="s">
        <v>250</v>
      </c>
      <c r="C429" s="3" t="s">
        <v>94</v>
      </c>
      <c r="D429" s="3" t="s">
        <v>251</v>
      </c>
      <c r="E429" s="8">
        <v>2.0</v>
      </c>
      <c r="F429" s="183">
        <f t="shared" si="1"/>
        <v>8</v>
      </c>
      <c r="G429" s="171" t="s">
        <v>236</v>
      </c>
      <c r="H429" s="137">
        <v>17.3216876</v>
      </c>
      <c r="I429" s="137">
        <v>0.30330139</v>
      </c>
      <c r="J429" s="137">
        <v>9.57201453</v>
      </c>
      <c r="K429" s="120">
        <f t="shared" si="2"/>
        <v>57.11047879</v>
      </c>
      <c r="L429" s="121">
        <v>-0.337</v>
      </c>
      <c r="M429" s="121">
        <v>-0.747</v>
      </c>
      <c r="N429" s="122">
        <f t="shared" si="20"/>
        <v>0.41</v>
      </c>
      <c r="O429" s="120">
        <v>41.6</v>
      </c>
      <c r="P429" s="120">
        <v>23.346376902439026</v>
      </c>
      <c r="Q429" s="123">
        <v>23.883938903806143</v>
      </c>
      <c r="R429" s="120">
        <v>0.2</v>
      </c>
      <c r="S429" s="120">
        <v>1.0230255000000004</v>
      </c>
      <c r="T429" s="15"/>
      <c r="U429" s="161"/>
      <c r="AE429" s="15"/>
      <c r="AF429" s="15"/>
    </row>
    <row r="430" ht="15.0" customHeight="1">
      <c r="A430" s="134" t="s">
        <v>256</v>
      </c>
      <c r="B430" s="3" t="s">
        <v>250</v>
      </c>
      <c r="C430" s="3" t="s">
        <v>94</v>
      </c>
      <c r="D430" s="3" t="s">
        <v>251</v>
      </c>
      <c r="E430" s="8">
        <v>3.0</v>
      </c>
      <c r="F430" s="183">
        <f t="shared" si="1"/>
        <v>8</v>
      </c>
      <c r="G430" s="171" t="s">
        <v>236</v>
      </c>
      <c r="H430" s="137">
        <v>17.9879604</v>
      </c>
      <c r="I430" s="137">
        <v>0.25787092</v>
      </c>
      <c r="J430" s="137">
        <v>9.24934738</v>
      </c>
      <c r="K430" s="120">
        <f t="shared" si="2"/>
        <v>69.75567621</v>
      </c>
      <c r="L430" s="121">
        <v>-0.23</v>
      </c>
      <c r="M430" s="121">
        <v>-0.533</v>
      </c>
      <c r="N430" s="122">
        <f t="shared" si="20"/>
        <v>0.303</v>
      </c>
      <c r="O430" s="120">
        <v>43.0</v>
      </c>
      <c r="P430" s="120">
        <v>30.525898943894383</v>
      </c>
      <c r="Q430" s="123">
        <v>33.013274346028574</v>
      </c>
      <c r="R430" s="120">
        <v>0.0</v>
      </c>
      <c r="S430" s="120">
        <v>1.0814841000000002</v>
      </c>
      <c r="T430" s="15"/>
      <c r="U430" s="161"/>
      <c r="AE430" s="15"/>
      <c r="AF430" s="15"/>
    </row>
    <row r="431" ht="15.0" customHeight="1">
      <c r="A431" s="134" t="s">
        <v>256</v>
      </c>
      <c r="B431" s="3" t="s">
        <v>250</v>
      </c>
      <c r="C431" s="3" t="s">
        <v>94</v>
      </c>
      <c r="D431" s="3" t="s">
        <v>251</v>
      </c>
      <c r="E431" s="8">
        <v>4.0</v>
      </c>
      <c r="F431" s="183">
        <f t="shared" si="1"/>
        <v>8</v>
      </c>
      <c r="G431" s="171" t="s">
        <v>236</v>
      </c>
      <c r="H431" s="137">
        <v>10.7716639</v>
      </c>
      <c r="I431" s="137">
        <v>0.1758464</v>
      </c>
      <c r="J431" s="137">
        <v>7.36892637</v>
      </c>
      <c r="K431" s="120">
        <f t="shared" si="2"/>
        <v>61.25609566</v>
      </c>
      <c r="L431" s="121">
        <v>-0.305</v>
      </c>
      <c r="M431" s="121">
        <v>-0.663</v>
      </c>
      <c r="N431" s="122">
        <f t="shared" si="20"/>
        <v>0.358</v>
      </c>
      <c r="O431" s="120">
        <v>40.9</v>
      </c>
      <c r="P431" s="120">
        <v>20.5835932122905</v>
      </c>
      <c r="Q431" s="123">
        <v>22.561650790500106</v>
      </c>
      <c r="R431" s="120">
        <v>0.3</v>
      </c>
      <c r="S431" s="120">
        <v>1.0960987500000003</v>
      </c>
      <c r="T431" s="15"/>
      <c r="U431" s="161"/>
      <c r="AE431" s="15"/>
      <c r="AF431" s="15"/>
    </row>
    <row r="432" ht="15.0" customHeight="1">
      <c r="A432" s="134" t="s">
        <v>256</v>
      </c>
      <c r="B432" s="3" t="s">
        <v>250</v>
      </c>
      <c r="C432" s="3" t="s">
        <v>94</v>
      </c>
      <c r="D432" s="3" t="s">
        <v>251</v>
      </c>
      <c r="E432" s="8">
        <v>5.0</v>
      </c>
      <c r="F432" s="183">
        <f t="shared" si="1"/>
        <v>8</v>
      </c>
      <c r="G432" s="171" t="s">
        <v>236</v>
      </c>
      <c r="H432" s="137">
        <v>13.8642243</v>
      </c>
      <c r="I432" s="137">
        <v>0.19512391</v>
      </c>
      <c r="J432" s="137">
        <v>8.20815759</v>
      </c>
      <c r="K432" s="120">
        <f t="shared" si="2"/>
        <v>71.05343625</v>
      </c>
      <c r="L432" s="121">
        <v>-0.38</v>
      </c>
      <c r="M432" s="121">
        <v>-0.735</v>
      </c>
      <c r="N432" s="122">
        <f t="shared" si="20"/>
        <v>0.355</v>
      </c>
      <c r="O432" s="120">
        <v>33.8</v>
      </c>
      <c r="P432" s="120">
        <v>23.12157067605634</v>
      </c>
      <c r="Q432" s="123">
        <v>21.96438808725375</v>
      </c>
      <c r="R432" s="120">
        <v>0.4</v>
      </c>
      <c r="S432" s="120">
        <v>0.9499522500000003</v>
      </c>
      <c r="T432" s="15"/>
      <c r="U432" s="161"/>
      <c r="AE432" s="15"/>
      <c r="AF432" s="15"/>
    </row>
    <row r="433" ht="15.0" customHeight="1">
      <c r="A433" s="134" t="s">
        <v>256</v>
      </c>
      <c r="B433" s="3" t="s">
        <v>250</v>
      </c>
      <c r="C433" s="3" t="s">
        <v>94</v>
      </c>
      <c r="D433" s="3" t="s">
        <v>251</v>
      </c>
      <c r="E433" s="8">
        <v>6.0</v>
      </c>
      <c r="F433" s="183">
        <f t="shared" si="1"/>
        <v>8</v>
      </c>
      <c r="G433" s="171" t="s">
        <v>236</v>
      </c>
      <c r="H433" s="137">
        <v>15.0208759</v>
      </c>
      <c r="I433" s="137">
        <v>0.25221555</v>
      </c>
      <c r="J433" s="137">
        <v>9.73279237</v>
      </c>
      <c r="K433" s="120">
        <f t="shared" si="2"/>
        <v>59.555709</v>
      </c>
      <c r="L433" s="121">
        <v>-0.23</v>
      </c>
      <c r="M433" s="121">
        <v>-0.675</v>
      </c>
      <c r="N433" s="122">
        <f t="shared" si="20"/>
        <v>0.445</v>
      </c>
      <c r="O433" s="120">
        <v>44.5</v>
      </c>
      <c r="P433" s="120">
        <v>21.871443528089884</v>
      </c>
      <c r="Q433" s="123">
        <v>29.0875577863597</v>
      </c>
      <c r="R433" s="120">
        <v>1.6</v>
      </c>
      <c r="S433" s="120">
        <v>1.3299331500000002</v>
      </c>
      <c r="T433" s="15"/>
      <c r="U433" s="161"/>
      <c r="AE433" s="15"/>
      <c r="AF433" s="15"/>
    </row>
    <row r="434" ht="15.0" customHeight="1">
      <c r="A434" s="134" t="s">
        <v>249</v>
      </c>
      <c r="B434" s="3" t="s">
        <v>239</v>
      </c>
      <c r="C434" s="3" t="s">
        <v>101</v>
      </c>
      <c r="D434" s="135" t="s">
        <v>240</v>
      </c>
      <c r="E434" s="8">
        <v>1.0</v>
      </c>
      <c r="F434" s="183">
        <f t="shared" si="1"/>
        <v>9</v>
      </c>
      <c r="G434" s="171" t="s">
        <v>236</v>
      </c>
      <c r="H434" s="137">
        <v>18.3084639</v>
      </c>
      <c r="I434" s="137">
        <v>0.29689924</v>
      </c>
      <c r="J434" s="137">
        <v>8.24881202</v>
      </c>
      <c r="K434" s="120">
        <f t="shared" si="2"/>
        <v>61.66558022</v>
      </c>
      <c r="L434" s="121">
        <v>-0.36</v>
      </c>
      <c r="M434" s="121">
        <v>-0.652</v>
      </c>
      <c r="N434" s="122">
        <f t="shared" si="20"/>
        <v>0.292</v>
      </c>
      <c r="O434" s="120">
        <v>38.4</v>
      </c>
      <c r="P434" s="120">
        <v>28.24935623287671</v>
      </c>
      <c r="Q434" s="123">
        <v>24.35841279005989</v>
      </c>
      <c r="R434" s="120">
        <v>0.7</v>
      </c>
      <c r="S434" s="120">
        <v>0.8622643500000002</v>
      </c>
      <c r="T434" s="15"/>
      <c r="U434" s="161"/>
      <c r="AE434" s="15"/>
      <c r="AF434" s="15"/>
    </row>
    <row r="435" ht="15.0" customHeight="1">
      <c r="A435" s="134" t="s">
        <v>249</v>
      </c>
      <c r="B435" s="3" t="s">
        <v>239</v>
      </c>
      <c r="C435" s="3" t="s">
        <v>101</v>
      </c>
      <c r="D435" s="135" t="s">
        <v>240</v>
      </c>
      <c r="E435" s="8">
        <v>2.0</v>
      </c>
      <c r="F435" s="183">
        <f t="shared" si="1"/>
        <v>9</v>
      </c>
      <c r="G435" s="171" t="s">
        <v>236</v>
      </c>
      <c r="H435" s="137">
        <v>17.4896251</v>
      </c>
      <c r="I435" s="137">
        <v>0.33530813</v>
      </c>
      <c r="J435" s="137">
        <v>10.1380604</v>
      </c>
      <c r="K435" s="120">
        <f t="shared" si="2"/>
        <v>52.15985995</v>
      </c>
      <c r="L435" s="121">
        <v>-0.318</v>
      </c>
      <c r="M435" s="121">
        <v>-0.599</v>
      </c>
      <c r="N435" s="122">
        <f t="shared" si="20"/>
        <v>0.281</v>
      </c>
      <c r="O435" s="120">
        <v>44.8</v>
      </c>
      <c r="P435" s="120">
        <v>36.07850676156584</v>
      </c>
      <c r="Q435" s="123">
        <v>40.07288091206179</v>
      </c>
      <c r="R435" s="120">
        <v>1.0</v>
      </c>
      <c r="S435" s="120">
        <v>1.1107134</v>
      </c>
      <c r="T435" s="15"/>
      <c r="U435" s="161"/>
      <c r="AE435" s="15"/>
      <c r="AF435" s="15"/>
    </row>
    <row r="436" ht="15.0" customHeight="1">
      <c r="A436" s="134" t="s">
        <v>249</v>
      </c>
      <c r="B436" s="3" t="s">
        <v>239</v>
      </c>
      <c r="C436" s="3" t="s">
        <v>101</v>
      </c>
      <c r="D436" s="135" t="s">
        <v>240</v>
      </c>
      <c r="E436" s="8">
        <v>3.0</v>
      </c>
      <c r="F436" s="183">
        <f t="shared" si="1"/>
        <v>9</v>
      </c>
      <c r="G436" s="171" t="s">
        <v>236</v>
      </c>
      <c r="H436" s="137">
        <v>9.96591278</v>
      </c>
      <c r="I436" s="137">
        <v>0.18408943</v>
      </c>
      <c r="J436" s="137">
        <v>7.97038863</v>
      </c>
      <c r="K436" s="120">
        <f t="shared" si="2"/>
        <v>54.13625747</v>
      </c>
      <c r="L436" s="121">
        <v>-0.302</v>
      </c>
      <c r="M436" s="121">
        <v>-0.532</v>
      </c>
      <c r="N436" s="122">
        <f t="shared" si="20"/>
        <v>0.23</v>
      </c>
      <c r="O436" s="120">
        <v>38.2</v>
      </c>
      <c r="P436" s="120">
        <v>34.65386360869565</v>
      </c>
      <c r="Q436" s="123">
        <v>38.49051067195061</v>
      </c>
      <c r="R436" s="120">
        <v>0.6</v>
      </c>
      <c r="S436" s="120">
        <v>1.1107134</v>
      </c>
      <c r="T436" s="15"/>
      <c r="U436" s="161"/>
      <c r="AE436" s="15"/>
      <c r="AF436" s="15"/>
    </row>
    <row r="437" ht="15.0" customHeight="1">
      <c r="A437" s="134" t="s">
        <v>249</v>
      </c>
      <c r="B437" s="3" t="s">
        <v>239</v>
      </c>
      <c r="C437" s="3" t="s">
        <v>101</v>
      </c>
      <c r="D437" s="135" t="s">
        <v>240</v>
      </c>
      <c r="E437" s="8">
        <v>4.0</v>
      </c>
      <c r="F437" s="183">
        <f t="shared" si="1"/>
        <v>9</v>
      </c>
      <c r="G437" s="171" t="s">
        <v>236</v>
      </c>
      <c r="H437" s="137">
        <v>16.0945907</v>
      </c>
      <c r="I437" s="137">
        <v>0.33033058</v>
      </c>
      <c r="J437" s="137">
        <v>10.8862706</v>
      </c>
      <c r="K437" s="120">
        <f t="shared" si="2"/>
        <v>48.72267866</v>
      </c>
      <c r="L437" s="121">
        <v>-0.249</v>
      </c>
      <c r="M437" s="121">
        <v>-0.694</v>
      </c>
      <c r="N437" s="122">
        <f t="shared" si="20"/>
        <v>0.445</v>
      </c>
      <c r="O437" s="120">
        <v>39.6</v>
      </c>
      <c r="P437" s="120">
        <v>24.463529438202247</v>
      </c>
      <c r="Q437" s="123">
        <v>25.741866276289624</v>
      </c>
      <c r="R437" s="120">
        <v>0.2</v>
      </c>
      <c r="S437" s="120">
        <v>1.0522548000000003</v>
      </c>
      <c r="T437" s="15"/>
      <c r="U437" s="161"/>
      <c r="AE437" s="15"/>
      <c r="AF437" s="15"/>
    </row>
    <row r="438" ht="15.0" customHeight="1">
      <c r="A438" s="134" t="s">
        <v>249</v>
      </c>
      <c r="B438" s="3" t="s">
        <v>239</v>
      </c>
      <c r="C438" s="3" t="s">
        <v>101</v>
      </c>
      <c r="D438" s="135" t="s">
        <v>240</v>
      </c>
      <c r="E438" s="8">
        <v>5.0</v>
      </c>
      <c r="F438" s="183">
        <f t="shared" si="1"/>
        <v>9</v>
      </c>
      <c r="G438" s="171" t="s">
        <v>236</v>
      </c>
      <c r="H438" s="137">
        <v>10.565341</v>
      </c>
      <c r="I438" s="137">
        <v>0.24936846</v>
      </c>
      <c r="J438" s="137">
        <v>9.7864281</v>
      </c>
      <c r="K438" s="120">
        <f t="shared" si="2"/>
        <v>42.36839334</v>
      </c>
      <c r="L438" s="121">
        <v>-0.394</v>
      </c>
      <c r="M438" s="121">
        <v>-0.684</v>
      </c>
      <c r="N438" s="122">
        <f t="shared" si="20"/>
        <v>0.29</v>
      </c>
      <c r="O438" s="120">
        <v>47.9</v>
      </c>
      <c r="P438" s="120">
        <v>33.74630379310344</v>
      </c>
      <c r="Q438" s="123">
        <v>43.400756848229385</v>
      </c>
      <c r="R438" s="120">
        <v>0.7</v>
      </c>
      <c r="S438" s="120">
        <v>1.2860892000000004</v>
      </c>
      <c r="T438" s="15"/>
      <c r="U438" s="161"/>
      <c r="AE438" s="15"/>
      <c r="AF438" s="15"/>
    </row>
    <row r="439" ht="15.0" customHeight="1">
      <c r="A439" s="134" t="s">
        <v>249</v>
      </c>
      <c r="B439" s="3" t="s">
        <v>239</v>
      </c>
      <c r="C439" s="3" t="s">
        <v>101</v>
      </c>
      <c r="D439" s="135" t="s">
        <v>240</v>
      </c>
      <c r="E439" s="8">
        <v>6.0</v>
      </c>
      <c r="F439" s="183">
        <f t="shared" si="1"/>
        <v>9</v>
      </c>
      <c r="G439" s="171" t="s">
        <v>236</v>
      </c>
      <c r="H439" s="137">
        <v>12.9476952</v>
      </c>
      <c r="I439" s="137">
        <v>0.31498204</v>
      </c>
      <c r="J439" s="137">
        <v>10.8429336</v>
      </c>
      <c r="K439" s="120">
        <f t="shared" si="2"/>
        <v>41.10613799</v>
      </c>
      <c r="L439" s="121">
        <v>-0.16</v>
      </c>
      <c r="M439" s="121">
        <v>-0.75</v>
      </c>
      <c r="N439" s="122">
        <f t="shared" si="20"/>
        <v>0.59</v>
      </c>
      <c r="O439" s="120">
        <v>34.3</v>
      </c>
      <c r="P439" s="120">
        <v>18.377853559322034</v>
      </c>
      <c r="Q439" s="123">
        <v>20.94970000661818</v>
      </c>
      <c r="R439" s="120">
        <v>0.4</v>
      </c>
      <c r="S439" s="120">
        <v>1.1399427000000004</v>
      </c>
      <c r="T439" s="15"/>
      <c r="U439" s="161"/>
      <c r="AE439" s="15"/>
      <c r="AF439" s="15"/>
    </row>
    <row r="440" ht="15.0" customHeight="1">
      <c r="A440" s="134" t="s">
        <v>256</v>
      </c>
      <c r="B440" s="3" t="s">
        <v>258</v>
      </c>
      <c r="C440" s="3" t="s">
        <v>246</v>
      </c>
      <c r="D440" s="3" t="s">
        <v>251</v>
      </c>
      <c r="E440" s="8">
        <v>1.0</v>
      </c>
      <c r="F440" s="183">
        <f t="shared" si="1"/>
        <v>10</v>
      </c>
      <c r="G440" s="171" t="s">
        <v>236</v>
      </c>
      <c r="H440" s="137">
        <v>16.9413737</v>
      </c>
      <c r="I440" s="137">
        <v>0.2939286</v>
      </c>
      <c r="J440" s="137">
        <v>8.18348581</v>
      </c>
      <c r="K440" s="120">
        <f t="shared" si="2"/>
        <v>57.6377178</v>
      </c>
      <c r="L440" s="121">
        <v>-0.302</v>
      </c>
      <c r="M440" s="121">
        <v>-0.667</v>
      </c>
      <c r="N440" s="122">
        <f t="shared" si="20"/>
        <v>0.365</v>
      </c>
      <c r="O440" s="120">
        <v>38.9</v>
      </c>
      <c r="P440" s="120">
        <v>22.42050906849315</v>
      </c>
      <c r="Q440" s="123">
        <v>23.264420392907596</v>
      </c>
      <c r="R440" s="120">
        <v>0.4</v>
      </c>
      <c r="S440" s="120">
        <v>1.03764015</v>
      </c>
      <c r="T440" s="15"/>
      <c r="U440" s="161"/>
      <c r="AE440" s="15"/>
      <c r="AF440" s="15"/>
    </row>
    <row r="441" ht="15.0" customHeight="1">
      <c r="A441" s="134" t="s">
        <v>256</v>
      </c>
      <c r="B441" s="3" t="s">
        <v>258</v>
      </c>
      <c r="C441" s="3" t="s">
        <v>246</v>
      </c>
      <c r="D441" s="3" t="s">
        <v>251</v>
      </c>
      <c r="E441" s="8">
        <v>2.0</v>
      </c>
      <c r="F441" s="183">
        <f t="shared" si="1"/>
        <v>10</v>
      </c>
      <c r="G441" s="171" t="s">
        <v>236</v>
      </c>
      <c r="H441" s="137">
        <v>15.8302887</v>
      </c>
      <c r="I441" s="137">
        <v>0.30546801</v>
      </c>
      <c r="J441" s="137">
        <v>9.25179529</v>
      </c>
      <c r="K441" s="120">
        <f t="shared" si="2"/>
        <v>51.82306553</v>
      </c>
      <c r="L441" s="121">
        <v>-0.222</v>
      </c>
      <c r="M441" s="121">
        <v>-0.519</v>
      </c>
      <c r="N441" s="122">
        <f t="shared" si="20"/>
        <v>0.297</v>
      </c>
      <c r="O441" s="120">
        <v>42.7</v>
      </c>
      <c r="P441" s="120">
        <v>31.150825892255888</v>
      </c>
      <c r="Q441" s="123">
        <v>29.136538728080485</v>
      </c>
      <c r="R441" s="120">
        <v>0.7</v>
      </c>
      <c r="S441" s="120">
        <v>0.9353376000000002</v>
      </c>
      <c r="T441" s="15"/>
      <c r="U441" s="161"/>
      <c r="AE441" s="15"/>
      <c r="AF441" s="15"/>
    </row>
    <row r="442" ht="15.0" customHeight="1">
      <c r="A442" s="134" t="s">
        <v>256</v>
      </c>
      <c r="B442" s="3" t="s">
        <v>258</v>
      </c>
      <c r="C442" s="3" t="s">
        <v>246</v>
      </c>
      <c r="D442" s="3" t="s">
        <v>251</v>
      </c>
      <c r="E442" s="8">
        <v>3.0</v>
      </c>
      <c r="F442" s="183">
        <f t="shared" si="1"/>
        <v>10</v>
      </c>
      <c r="G442" s="171" t="s">
        <v>236</v>
      </c>
      <c r="H442" s="137">
        <v>17.2637698</v>
      </c>
      <c r="I442" s="137">
        <v>0.24403711</v>
      </c>
      <c r="J442" s="137">
        <v>9.06794523</v>
      </c>
      <c r="K442" s="120">
        <f t="shared" si="2"/>
        <v>70.7423957</v>
      </c>
      <c r="L442" s="121">
        <v>-0.12</v>
      </c>
      <c r="M442" s="121">
        <v>-0.685</v>
      </c>
      <c r="N442" s="122">
        <f t="shared" si="20"/>
        <v>0.565</v>
      </c>
      <c r="O442" s="120">
        <v>41.3</v>
      </c>
      <c r="P442" s="120">
        <v>16.049460584070793</v>
      </c>
      <c r="Q442" s="123">
        <v>20.875595172124136</v>
      </c>
      <c r="R442" s="120">
        <v>0.5</v>
      </c>
      <c r="S442" s="120">
        <v>1.3007038500000003</v>
      </c>
      <c r="T442" s="15"/>
      <c r="U442" s="161"/>
      <c r="AE442" s="15"/>
      <c r="AF442" s="15"/>
    </row>
    <row r="443" ht="15.0" customHeight="1">
      <c r="A443" s="134" t="s">
        <v>256</v>
      </c>
      <c r="B443" s="3" t="s">
        <v>258</v>
      </c>
      <c r="C443" s="3" t="s">
        <v>246</v>
      </c>
      <c r="D443" s="3" t="s">
        <v>251</v>
      </c>
      <c r="E443" s="8">
        <v>4.0</v>
      </c>
      <c r="F443" s="183">
        <f t="shared" si="1"/>
        <v>10</v>
      </c>
      <c r="G443" s="171" t="s">
        <v>236</v>
      </c>
      <c r="H443" s="137">
        <v>13.9660725</v>
      </c>
      <c r="I443" s="137">
        <v>0.29246515</v>
      </c>
      <c r="J443" s="137">
        <v>10.6040984</v>
      </c>
      <c r="K443" s="120">
        <f t="shared" si="2"/>
        <v>47.75294595</v>
      </c>
      <c r="L443" s="121">
        <v>-0.257</v>
      </c>
      <c r="M443" s="121">
        <v>-0.63</v>
      </c>
      <c r="N443" s="122">
        <f t="shared" si="20"/>
        <v>0.373</v>
      </c>
      <c r="O443" s="120">
        <v>27.2</v>
      </c>
      <c r="P443" s="120">
        <v>28.429218230563002</v>
      </c>
      <c r="Q443" s="123">
        <v>36.5625105307702</v>
      </c>
      <c r="R443" s="120">
        <v>0.6</v>
      </c>
      <c r="S443" s="120">
        <v>1.2860892000000004</v>
      </c>
      <c r="T443" s="15"/>
      <c r="U443" s="161"/>
      <c r="AE443" s="15"/>
      <c r="AF443" s="15"/>
    </row>
    <row r="444" ht="15.0" customHeight="1">
      <c r="A444" s="134" t="s">
        <v>256</v>
      </c>
      <c r="B444" s="3" t="s">
        <v>258</v>
      </c>
      <c r="C444" s="3" t="s">
        <v>246</v>
      </c>
      <c r="D444" s="3" t="s">
        <v>251</v>
      </c>
      <c r="E444" s="8">
        <v>5.0</v>
      </c>
      <c r="F444" s="183">
        <f t="shared" si="1"/>
        <v>10</v>
      </c>
      <c r="G444" s="171" t="s">
        <v>236</v>
      </c>
      <c r="H444" s="137">
        <v>18.9455357</v>
      </c>
      <c r="I444" s="137">
        <v>0.36049236</v>
      </c>
      <c r="J444" s="137">
        <v>12.2621975</v>
      </c>
      <c r="K444" s="120">
        <f t="shared" si="2"/>
        <v>52.55461087</v>
      </c>
      <c r="L444" s="121">
        <v>-0.282</v>
      </c>
      <c r="M444" s="121">
        <v>-0.667</v>
      </c>
      <c r="N444" s="122">
        <f t="shared" si="20"/>
        <v>0.385</v>
      </c>
      <c r="O444" s="120">
        <v>23.9</v>
      </c>
      <c r="P444" s="120">
        <v>31.84986363636363</v>
      </c>
      <c r="Q444" s="123">
        <v>40.03081642501364</v>
      </c>
      <c r="R444" s="120">
        <v>1.1</v>
      </c>
      <c r="S444" s="120">
        <v>1.2568599000000003</v>
      </c>
      <c r="T444" s="15"/>
      <c r="U444" s="161"/>
      <c r="AE444" s="15"/>
      <c r="AF444" s="15"/>
    </row>
    <row r="445" ht="15.0" customHeight="1">
      <c r="A445" s="134" t="s">
        <v>256</v>
      </c>
      <c r="B445" s="3" t="s">
        <v>258</v>
      </c>
      <c r="C445" s="3" t="s">
        <v>246</v>
      </c>
      <c r="D445" s="3" t="s">
        <v>251</v>
      </c>
      <c r="E445" s="8">
        <v>6.0</v>
      </c>
      <c r="F445" s="183">
        <f t="shared" si="1"/>
        <v>10</v>
      </c>
      <c r="G445" s="171" t="s">
        <v>236</v>
      </c>
      <c r="H445" s="137">
        <v>13.3471469</v>
      </c>
      <c r="I445" s="137">
        <v>0.23712749</v>
      </c>
      <c r="J445" s="137">
        <v>9.61344951</v>
      </c>
      <c r="K445" s="120">
        <f t="shared" si="2"/>
        <v>56.28679703</v>
      </c>
      <c r="L445" s="121">
        <v>-0.302</v>
      </c>
      <c r="M445" s="121">
        <v>-0.796</v>
      </c>
      <c r="N445" s="122">
        <f t="shared" si="20"/>
        <v>0.494</v>
      </c>
      <c r="O445" s="120">
        <v>41.0</v>
      </c>
      <c r="P445" s="120">
        <v>19.46042410931174</v>
      </c>
      <c r="Q445" s="123">
        <v>23.605804838359692</v>
      </c>
      <c r="R445" s="120">
        <v>0.6</v>
      </c>
      <c r="S445" s="120">
        <v>1.2130159500000004</v>
      </c>
      <c r="T445" s="15"/>
      <c r="U445" s="161"/>
      <c r="AE445" s="15"/>
      <c r="AF445" s="15"/>
    </row>
    <row r="446" ht="15.0" customHeight="1">
      <c r="A446" s="134" t="s">
        <v>244</v>
      </c>
      <c r="B446" s="3" t="s">
        <v>257</v>
      </c>
      <c r="C446" s="3" t="s">
        <v>247</v>
      </c>
      <c r="D446" s="135" t="s">
        <v>240</v>
      </c>
      <c r="E446" s="48">
        <v>1.0</v>
      </c>
      <c r="F446" s="183">
        <f t="shared" si="1"/>
        <v>11</v>
      </c>
      <c r="G446" s="171" t="s">
        <v>236</v>
      </c>
      <c r="H446" s="137">
        <v>15.2080793</v>
      </c>
      <c r="I446" s="137">
        <v>0.26398813</v>
      </c>
      <c r="J446" s="137">
        <v>7.41324696</v>
      </c>
      <c r="K446" s="120">
        <f t="shared" si="2"/>
        <v>57.60895121</v>
      </c>
      <c r="L446" s="121">
        <v>-0.214</v>
      </c>
      <c r="M446" s="121">
        <v>-0.74</v>
      </c>
      <c r="N446" s="122">
        <f t="shared" si="20"/>
        <v>0.526</v>
      </c>
      <c r="O446" s="120">
        <v>42.2</v>
      </c>
      <c r="P446" s="120">
        <v>14.093625399239544</v>
      </c>
      <c r="Q446" s="123">
        <v>15.44800518307472</v>
      </c>
      <c r="R446" s="120">
        <v>0.7</v>
      </c>
      <c r="S446" s="120">
        <v>1.0960987500000003</v>
      </c>
      <c r="T446" s="15"/>
      <c r="U446" s="161"/>
      <c r="AE446" s="15"/>
      <c r="AF446" s="15"/>
    </row>
    <row r="447" ht="15.0" customHeight="1">
      <c r="A447" s="134" t="s">
        <v>244</v>
      </c>
      <c r="B447" s="3" t="s">
        <v>257</v>
      </c>
      <c r="C447" s="3" t="s">
        <v>247</v>
      </c>
      <c r="D447" s="135" t="s">
        <v>240</v>
      </c>
      <c r="E447" s="48">
        <v>2.0</v>
      </c>
      <c r="F447" s="183">
        <f t="shared" si="1"/>
        <v>11</v>
      </c>
      <c r="G447" s="171" t="s">
        <v>236</v>
      </c>
      <c r="H447" s="137">
        <v>13.2437941</v>
      </c>
      <c r="I447" s="137">
        <v>0.30907499</v>
      </c>
      <c r="J447" s="137">
        <v>9.52471245</v>
      </c>
      <c r="K447" s="120">
        <f t="shared" si="2"/>
        <v>42.84977604</v>
      </c>
      <c r="L447" s="121">
        <v>-0.382</v>
      </c>
      <c r="M447" s="121">
        <v>-0.662</v>
      </c>
      <c r="N447" s="122">
        <f t="shared" si="20"/>
        <v>0.28</v>
      </c>
      <c r="O447" s="120">
        <v>49.0</v>
      </c>
      <c r="P447" s="120">
        <v>34.01683017857143</v>
      </c>
      <c r="Q447" s="123">
        <v>27.342923694309246</v>
      </c>
      <c r="R447" s="120">
        <v>0.0</v>
      </c>
      <c r="S447" s="120">
        <v>0.8038057500000002</v>
      </c>
      <c r="T447" s="15"/>
      <c r="U447" s="161"/>
      <c r="AE447" s="15"/>
      <c r="AF447" s="15"/>
    </row>
    <row r="448" ht="15.0" customHeight="1">
      <c r="A448" s="134" t="s">
        <v>244</v>
      </c>
      <c r="B448" s="3" t="s">
        <v>257</v>
      </c>
      <c r="C448" s="3" t="s">
        <v>247</v>
      </c>
      <c r="D448" s="135" t="s">
        <v>240</v>
      </c>
      <c r="E448" s="48">
        <v>3.0</v>
      </c>
      <c r="F448" s="183">
        <f t="shared" si="1"/>
        <v>11</v>
      </c>
      <c r="G448" s="171" t="s">
        <v>236</v>
      </c>
      <c r="H448" s="137">
        <v>11.5142824</v>
      </c>
      <c r="I448" s="137">
        <v>0.19160385</v>
      </c>
      <c r="J448" s="137">
        <v>7.60650281</v>
      </c>
      <c r="K448" s="120">
        <f t="shared" si="2"/>
        <v>60.09421209</v>
      </c>
      <c r="L448" s="121">
        <v>-0.36</v>
      </c>
      <c r="M448" s="121">
        <v>-0.73</v>
      </c>
      <c r="N448" s="122">
        <f t="shared" si="20"/>
        <v>0.37</v>
      </c>
      <c r="O448" s="120">
        <v>39.2</v>
      </c>
      <c r="P448" s="120">
        <v>20.558115702702704</v>
      </c>
      <c r="Q448" s="123">
        <v>20.731026930160784</v>
      </c>
      <c r="R448" s="120">
        <v>1.0</v>
      </c>
      <c r="S448" s="120">
        <v>1.0084108500000002</v>
      </c>
      <c r="T448" s="15"/>
      <c r="U448" s="161"/>
      <c r="AE448" s="15"/>
      <c r="AF448" s="15"/>
    </row>
    <row r="449" ht="15.0" customHeight="1">
      <c r="A449" s="134" t="s">
        <v>244</v>
      </c>
      <c r="B449" s="3" t="s">
        <v>257</v>
      </c>
      <c r="C449" s="3" t="s">
        <v>247</v>
      </c>
      <c r="D449" s="135" t="s">
        <v>240</v>
      </c>
      <c r="E449" s="48">
        <v>4.0</v>
      </c>
      <c r="F449" s="183">
        <f t="shared" si="1"/>
        <v>11</v>
      </c>
      <c r="G449" s="171" t="s">
        <v>236</v>
      </c>
      <c r="H449" s="137">
        <v>15.0423302</v>
      </c>
      <c r="I449" s="137">
        <v>0.31339436</v>
      </c>
      <c r="J449" s="137">
        <v>11.2401757</v>
      </c>
      <c r="K449" s="120">
        <f t="shared" si="2"/>
        <v>47.99808841</v>
      </c>
      <c r="L449" s="121">
        <v>-0.381</v>
      </c>
      <c r="M449" s="121">
        <v>-0.708</v>
      </c>
      <c r="N449" s="122">
        <f t="shared" si="20"/>
        <v>0.327</v>
      </c>
      <c r="O449" s="120">
        <v>29.9</v>
      </c>
      <c r="P449" s="120">
        <v>34.3736259938838</v>
      </c>
      <c r="Q449" s="123">
        <v>42.700473616178684</v>
      </c>
      <c r="R449" s="120">
        <v>1.0</v>
      </c>
      <c r="S449" s="120">
        <v>1.2422452500000003</v>
      </c>
      <c r="T449" s="15"/>
      <c r="U449" s="161"/>
      <c r="AE449" s="15"/>
      <c r="AF449" s="15"/>
    </row>
    <row r="450" ht="15.0" customHeight="1">
      <c r="A450" s="134" t="s">
        <v>244</v>
      </c>
      <c r="B450" s="3" t="s">
        <v>257</v>
      </c>
      <c r="C450" s="3" t="s">
        <v>247</v>
      </c>
      <c r="D450" s="135" t="s">
        <v>240</v>
      </c>
      <c r="E450" s="48">
        <v>5.0</v>
      </c>
      <c r="F450" s="183">
        <f t="shared" si="1"/>
        <v>11</v>
      </c>
      <c r="G450" s="171" t="s">
        <v>236</v>
      </c>
      <c r="H450" s="137">
        <v>14.9781192</v>
      </c>
      <c r="I450" s="137">
        <v>0.29594837</v>
      </c>
      <c r="J450" s="137">
        <v>11.0476872</v>
      </c>
      <c r="K450" s="120">
        <f t="shared" si="2"/>
        <v>50.61058184</v>
      </c>
      <c r="L450" s="121">
        <v>-0.382</v>
      </c>
      <c r="M450" s="121">
        <v>-0.65</v>
      </c>
      <c r="N450" s="122">
        <f t="shared" si="20"/>
        <v>0.268</v>
      </c>
      <c r="O450" s="120">
        <v>37.7</v>
      </c>
      <c r="P450" s="120">
        <v>41.22271343283582</v>
      </c>
      <c r="Q450" s="123">
        <v>48.79889783856673</v>
      </c>
      <c r="R450" s="120">
        <v>0.8</v>
      </c>
      <c r="S450" s="120">
        <v>1.1837866500000003</v>
      </c>
      <c r="T450" s="15"/>
      <c r="U450" s="161"/>
      <c r="AE450" s="15"/>
      <c r="AF450" s="15"/>
    </row>
    <row r="451" ht="15.0" customHeight="1">
      <c r="A451" s="134" t="s">
        <v>244</v>
      </c>
      <c r="B451" s="3" t="s">
        <v>257</v>
      </c>
      <c r="C451" s="3" t="s">
        <v>247</v>
      </c>
      <c r="D451" s="135" t="s">
        <v>240</v>
      </c>
      <c r="E451" s="48">
        <v>6.0</v>
      </c>
      <c r="F451" s="183">
        <f t="shared" si="1"/>
        <v>11</v>
      </c>
      <c r="G451" s="171" t="s">
        <v>236</v>
      </c>
      <c r="H451" s="137">
        <v>11.3826272</v>
      </c>
      <c r="I451" s="137">
        <v>0.26648078</v>
      </c>
      <c r="J451" s="137">
        <v>9.71348484</v>
      </c>
      <c r="K451" s="120">
        <f t="shared" si="2"/>
        <v>42.7146273</v>
      </c>
      <c r="L451" s="121">
        <v>-0.387</v>
      </c>
      <c r="M451" s="121">
        <v>-0.683</v>
      </c>
      <c r="N451" s="122">
        <f t="shared" si="20"/>
        <v>0.296</v>
      </c>
      <c r="O451" s="120">
        <v>48.0</v>
      </c>
      <c r="P451" s="120">
        <v>32.81582716216216</v>
      </c>
      <c r="Q451" s="123">
        <v>42.20408090232341</v>
      </c>
      <c r="R451" s="120">
        <v>0.6</v>
      </c>
      <c r="S451" s="120">
        <v>1.2860892000000004</v>
      </c>
      <c r="T451" s="15"/>
      <c r="U451" s="161"/>
      <c r="AE451" s="15"/>
      <c r="AF451" s="15"/>
    </row>
    <row r="452" ht="15.0" customHeight="1">
      <c r="A452" s="134" t="s">
        <v>238</v>
      </c>
      <c r="B452" s="3" t="s">
        <v>250</v>
      </c>
      <c r="C452" s="3" t="s">
        <v>248</v>
      </c>
      <c r="D452" s="3" t="s">
        <v>251</v>
      </c>
      <c r="E452" s="48">
        <v>1.0</v>
      </c>
      <c r="F452" s="183">
        <f t="shared" si="1"/>
        <v>12</v>
      </c>
      <c r="G452" s="171" t="s">
        <v>236</v>
      </c>
      <c r="H452" s="137">
        <v>15.1001064</v>
      </c>
      <c r="I452" s="137">
        <v>0.26346049</v>
      </c>
      <c r="J452" s="137">
        <v>7.42028818</v>
      </c>
      <c r="K452" s="120">
        <f t="shared" si="2"/>
        <v>57.31450055</v>
      </c>
      <c r="L452" s="121">
        <v>-0.384</v>
      </c>
      <c r="M452" s="121">
        <v>-0.73</v>
      </c>
      <c r="N452" s="122">
        <f t="shared" si="20"/>
        <v>0.346</v>
      </c>
      <c r="O452" s="120">
        <v>25.0</v>
      </c>
      <c r="P452" s="120">
        <v>21.445919595375724</v>
      </c>
      <c r="Q452" s="123">
        <v>18.17862731124436</v>
      </c>
      <c r="R452" s="120">
        <v>0.0</v>
      </c>
      <c r="S452" s="120">
        <v>0.8476497000000002</v>
      </c>
      <c r="T452" s="15"/>
      <c r="U452" s="161"/>
      <c r="AE452" s="15"/>
      <c r="AF452" s="15"/>
    </row>
    <row r="453" ht="15.0" customHeight="1">
      <c r="A453" s="134" t="s">
        <v>238</v>
      </c>
      <c r="B453" s="3" t="s">
        <v>250</v>
      </c>
      <c r="C453" s="3" t="s">
        <v>248</v>
      </c>
      <c r="D453" s="3" t="s">
        <v>251</v>
      </c>
      <c r="E453" s="48">
        <v>2.0</v>
      </c>
      <c r="F453" s="183">
        <f t="shared" si="1"/>
        <v>12</v>
      </c>
      <c r="G453" s="171" t="s">
        <v>236</v>
      </c>
      <c r="H453" s="137">
        <v>6.52841539</v>
      </c>
      <c r="I453" s="137">
        <v>0.07336439</v>
      </c>
      <c r="J453" s="137">
        <v>3.24386085</v>
      </c>
      <c r="K453" s="120">
        <f t="shared" si="2"/>
        <v>88.98616059</v>
      </c>
      <c r="L453" s="121">
        <v>-0.298</v>
      </c>
      <c r="M453" s="121">
        <v>-0.64</v>
      </c>
      <c r="N453" s="122">
        <f t="shared" si="20"/>
        <v>0.342</v>
      </c>
      <c r="O453" s="120">
        <v>40.4</v>
      </c>
      <c r="P453" s="120">
        <v>9.484973245614034</v>
      </c>
      <c r="Q453" s="123">
        <v>8.31717385464079</v>
      </c>
      <c r="R453" s="120">
        <v>0.7</v>
      </c>
      <c r="S453" s="120">
        <v>0.8768790000000003</v>
      </c>
      <c r="T453" s="15"/>
      <c r="U453" s="161"/>
      <c r="AE453" s="15"/>
      <c r="AF453" s="15"/>
    </row>
    <row r="454" ht="15.0" customHeight="1">
      <c r="A454" s="134" t="s">
        <v>238</v>
      </c>
      <c r="B454" s="3" t="s">
        <v>250</v>
      </c>
      <c r="C454" s="3" t="s">
        <v>248</v>
      </c>
      <c r="D454" s="3" t="s">
        <v>251</v>
      </c>
      <c r="E454" s="48">
        <v>3.0</v>
      </c>
      <c r="F454" s="183">
        <f t="shared" si="1"/>
        <v>12</v>
      </c>
      <c r="G454" s="171" t="s">
        <v>236</v>
      </c>
      <c r="H454" s="137">
        <v>16.6041347</v>
      </c>
      <c r="I454" s="137">
        <v>0.28368499</v>
      </c>
      <c r="J454" s="137">
        <v>10.1148315</v>
      </c>
      <c r="K454" s="120">
        <f t="shared" si="2"/>
        <v>58.53018413</v>
      </c>
      <c r="L454" s="121">
        <v>-0.31</v>
      </c>
      <c r="M454" s="121">
        <v>-0.87</v>
      </c>
      <c r="N454" s="122">
        <f t="shared" si="20"/>
        <v>0.56</v>
      </c>
      <c r="O454" s="120">
        <v>29.2</v>
      </c>
      <c r="P454" s="120">
        <v>18.062199107142852</v>
      </c>
      <c r="Q454" s="123">
        <v>19.797953863590404</v>
      </c>
      <c r="R454" s="120">
        <v>0.0</v>
      </c>
      <c r="S454" s="120">
        <v>1.0960987500000003</v>
      </c>
      <c r="T454" s="15"/>
      <c r="U454" s="161"/>
      <c r="AE454" s="15"/>
      <c r="AF454" s="15"/>
    </row>
    <row r="455" ht="15.0" customHeight="1">
      <c r="A455" s="134" t="s">
        <v>238</v>
      </c>
      <c r="B455" s="3" t="s">
        <v>250</v>
      </c>
      <c r="C455" s="3" t="s">
        <v>248</v>
      </c>
      <c r="D455" s="3" t="s">
        <v>251</v>
      </c>
      <c r="E455" s="48">
        <v>4.0</v>
      </c>
      <c r="F455" s="183">
        <f t="shared" si="1"/>
        <v>12</v>
      </c>
      <c r="G455" s="171" t="s">
        <v>236</v>
      </c>
      <c r="H455" s="137">
        <v>11.9463223</v>
      </c>
      <c r="I455" s="137">
        <v>0.21083301</v>
      </c>
      <c r="J455" s="137">
        <v>8.46638737</v>
      </c>
      <c r="K455" s="120">
        <f t="shared" si="2"/>
        <v>56.66248516</v>
      </c>
      <c r="L455" s="121">
        <v>-0.287</v>
      </c>
      <c r="M455" s="121">
        <v>-0.675</v>
      </c>
      <c r="N455" s="122">
        <f t="shared" si="20"/>
        <v>0.388</v>
      </c>
      <c r="O455" s="120">
        <v>28.1</v>
      </c>
      <c r="P455" s="120">
        <v>21.820586005154635</v>
      </c>
      <c r="Q455" s="123">
        <v>23.59861681725726</v>
      </c>
      <c r="R455" s="120">
        <v>0.7</v>
      </c>
      <c r="S455" s="120">
        <v>1.0814841000000002</v>
      </c>
      <c r="T455" s="15"/>
      <c r="U455" s="161"/>
      <c r="AE455" s="15"/>
      <c r="AF455" s="15"/>
    </row>
    <row r="456" ht="15.0" customHeight="1">
      <c r="A456" s="134" t="s">
        <v>238</v>
      </c>
      <c r="B456" s="3" t="s">
        <v>250</v>
      </c>
      <c r="C456" s="3" t="s">
        <v>248</v>
      </c>
      <c r="D456" s="3" t="s">
        <v>251</v>
      </c>
      <c r="E456" s="48">
        <v>5.0</v>
      </c>
      <c r="F456" s="183">
        <f t="shared" si="1"/>
        <v>12</v>
      </c>
      <c r="G456" s="171" t="s">
        <v>236</v>
      </c>
      <c r="H456" s="137">
        <v>13.0993082</v>
      </c>
      <c r="I456" s="137">
        <v>0.24579853</v>
      </c>
      <c r="J456" s="137">
        <v>9.76596645</v>
      </c>
      <c r="K456" s="120">
        <f t="shared" si="2"/>
        <v>53.29286632</v>
      </c>
      <c r="L456" s="121">
        <v>-0.312</v>
      </c>
      <c r="M456" s="121">
        <v>-0.665</v>
      </c>
      <c r="N456" s="122">
        <f t="shared" si="20"/>
        <v>0.353</v>
      </c>
      <c r="O456" s="120">
        <v>38.8</v>
      </c>
      <c r="P456" s="120">
        <v>27.66562733711048</v>
      </c>
      <c r="Q456" s="123">
        <v>33.963170687233344</v>
      </c>
      <c r="R456" s="120">
        <v>0.7</v>
      </c>
      <c r="S456" s="120">
        <v>1.2276306000000001</v>
      </c>
      <c r="T456" s="15"/>
      <c r="U456" s="161"/>
      <c r="AE456" s="15"/>
      <c r="AF456" s="15"/>
    </row>
    <row r="457" ht="15.0" customHeight="1">
      <c r="A457" s="134" t="s">
        <v>238</v>
      </c>
      <c r="B457" s="3" t="s">
        <v>250</v>
      </c>
      <c r="C457" s="3" t="s">
        <v>248</v>
      </c>
      <c r="D457" s="3" t="s">
        <v>251</v>
      </c>
      <c r="E457" s="48">
        <v>6.0</v>
      </c>
      <c r="F457" s="183">
        <f t="shared" si="1"/>
        <v>12</v>
      </c>
      <c r="G457" s="171" t="s">
        <v>236</v>
      </c>
      <c r="H457" s="137">
        <v>14.2638715</v>
      </c>
      <c r="I457" s="137">
        <v>0.32547136</v>
      </c>
      <c r="J457" s="137">
        <v>11.2222845</v>
      </c>
      <c r="K457" s="120">
        <f t="shared" si="2"/>
        <v>43.8252739</v>
      </c>
      <c r="L457" s="121">
        <v>-0.202</v>
      </c>
      <c r="M457" s="121">
        <v>-0.675</v>
      </c>
      <c r="N457" s="122">
        <f t="shared" si="20"/>
        <v>0.473</v>
      </c>
      <c r="O457" s="120">
        <v>36.5</v>
      </c>
      <c r="P457" s="120">
        <v>23.725760042283298</v>
      </c>
      <c r="Q457" s="123">
        <v>30.860187431174054</v>
      </c>
      <c r="R457" s="120">
        <v>0.4</v>
      </c>
      <c r="S457" s="120">
        <v>1.3007038500000003</v>
      </c>
      <c r="T457" s="15"/>
      <c r="U457" s="161"/>
      <c r="AE457" s="15"/>
      <c r="AF457" s="15"/>
    </row>
    <row r="458" ht="15.0" customHeight="1">
      <c r="A458" s="134" t="s">
        <v>238</v>
      </c>
      <c r="B458" s="3" t="s">
        <v>257</v>
      </c>
      <c r="C458" s="3" t="s">
        <v>252</v>
      </c>
      <c r="D458" s="135" t="s">
        <v>240</v>
      </c>
      <c r="E458" s="48">
        <v>1.0</v>
      </c>
      <c r="F458" s="183">
        <f t="shared" si="1"/>
        <v>13</v>
      </c>
      <c r="G458" s="171" t="s">
        <v>236</v>
      </c>
      <c r="H458" s="137">
        <v>21.0989219</v>
      </c>
      <c r="I458" s="137">
        <v>0.47337559</v>
      </c>
      <c r="J458" s="137">
        <v>10.8215192</v>
      </c>
      <c r="K458" s="120">
        <f t="shared" si="2"/>
        <v>44.57120803</v>
      </c>
      <c r="L458" s="121">
        <v>-0.372</v>
      </c>
      <c r="M458" s="121">
        <v>-0.78</v>
      </c>
      <c r="N458" s="122">
        <f t="shared" si="20"/>
        <v>0.408</v>
      </c>
      <c r="O458" s="120">
        <v>44.5</v>
      </c>
      <c r="P458" s="120">
        <v>26.523331372549016</v>
      </c>
      <c r="Q458" s="123">
        <v>20.93197706156647</v>
      </c>
      <c r="R458" s="120">
        <v>0.0</v>
      </c>
      <c r="S458" s="120">
        <v>0.7891911000000001</v>
      </c>
      <c r="T458" s="15"/>
      <c r="U458" s="161"/>
      <c r="AE458" s="15"/>
      <c r="AF458" s="15"/>
    </row>
    <row r="459" ht="15.0" customHeight="1">
      <c r="A459" s="134" t="s">
        <v>238</v>
      </c>
      <c r="B459" s="3" t="s">
        <v>257</v>
      </c>
      <c r="C459" s="3" t="s">
        <v>252</v>
      </c>
      <c r="D459" s="135" t="s">
        <v>240</v>
      </c>
      <c r="E459" s="48">
        <v>2.0</v>
      </c>
      <c r="F459" s="183">
        <f t="shared" si="1"/>
        <v>13</v>
      </c>
      <c r="G459" s="171" t="s">
        <v>236</v>
      </c>
      <c r="H459" s="137">
        <v>15.7026961</v>
      </c>
      <c r="I459" s="137">
        <v>0.36711276</v>
      </c>
      <c r="J459" s="137">
        <v>11.001869</v>
      </c>
      <c r="K459" s="120">
        <f t="shared" si="2"/>
        <v>42.77349581</v>
      </c>
      <c r="L459" s="121">
        <v>-0.343</v>
      </c>
      <c r="M459" s="121">
        <v>-0.787</v>
      </c>
      <c r="N459" s="122">
        <f t="shared" si="20"/>
        <v>0.444</v>
      </c>
      <c r="O459" s="120">
        <v>56.9</v>
      </c>
      <c r="P459" s="120">
        <v>24.778984234234233</v>
      </c>
      <c r="Q459" s="123">
        <v>27.88448600929156</v>
      </c>
      <c r="R459" s="120">
        <v>0.8</v>
      </c>
      <c r="S459" s="120">
        <v>1.1253280500000002</v>
      </c>
      <c r="T459" s="15"/>
      <c r="U459" s="161"/>
      <c r="AE459" s="15"/>
      <c r="AF459" s="15"/>
    </row>
    <row r="460" ht="15.0" customHeight="1">
      <c r="A460" s="134" t="s">
        <v>238</v>
      </c>
      <c r="B460" s="3" t="s">
        <v>257</v>
      </c>
      <c r="C460" s="3" t="s">
        <v>252</v>
      </c>
      <c r="D460" s="135" t="s">
        <v>240</v>
      </c>
      <c r="E460" s="48">
        <v>3.0</v>
      </c>
      <c r="F460" s="183">
        <f t="shared" si="1"/>
        <v>13</v>
      </c>
      <c r="G460" s="171" t="s">
        <v>236</v>
      </c>
      <c r="H460" s="137">
        <v>15.919822</v>
      </c>
      <c r="I460" s="137">
        <v>0.31629043</v>
      </c>
      <c r="J460" s="137">
        <v>10.2797864</v>
      </c>
      <c r="K460" s="120">
        <f t="shared" si="2"/>
        <v>50.33292345</v>
      </c>
      <c r="L460" s="121">
        <v>-0.273</v>
      </c>
      <c r="M460" s="121">
        <v>-0.868</v>
      </c>
      <c r="N460" s="122">
        <f t="shared" si="20"/>
        <v>0.595</v>
      </c>
      <c r="O460" s="120">
        <v>48.9</v>
      </c>
      <c r="P460" s="120">
        <v>17.276951932773112</v>
      </c>
      <c r="Q460" s="123">
        <v>19.4422386284513</v>
      </c>
      <c r="R460" s="120">
        <v>0.7</v>
      </c>
      <c r="S460" s="120">
        <v>1.1253280500000002</v>
      </c>
      <c r="T460" s="15"/>
      <c r="U460" s="161"/>
      <c r="AE460" s="15"/>
      <c r="AF460" s="15"/>
    </row>
    <row r="461" ht="15.0" customHeight="1">
      <c r="A461" s="134" t="s">
        <v>238</v>
      </c>
      <c r="B461" s="3" t="s">
        <v>257</v>
      </c>
      <c r="C461" s="3" t="s">
        <v>252</v>
      </c>
      <c r="D461" s="135" t="s">
        <v>240</v>
      </c>
      <c r="E461" s="48">
        <v>4.0</v>
      </c>
      <c r="F461" s="183">
        <f t="shared" si="1"/>
        <v>13</v>
      </c>
      <c r="G461" s="171" t="s">
        <v>236</v>
      </c>
      <c r="H461" s="137">
        <v>6.53689928</v>
      </c>
      <c r="I461" s="137">
        <v>0.12490424</v>
      </c>
      <c r="J461" s="137">
        <v>6.35941339</v>
      </c>
      <c r="K461" s="120">
        <f t="shared" si="2"/>
        <v>52.33528726</v>
      </c>
      <c r="L461" s="121">
        <v>-0.378</v>
      </c>
      <c r="M461" s="121">
        <v>-0.747</v>
      </c>
      <c r="N461" s="122">
        <f t="shared" si="20"/>
        <v>0.369</v>
      </c>
      <c r="O461" s="120">
        <v>43.9</v>
      </c>
      <c r="P461" s="120">
        <v>17.234182628726288</v>
      </c>
      <c r="Q461" s="123">
        <v>18.386622942308772</v>
      </c>
      <c r="R461" s="120">
        <v>0.7</v>
      </c>
      <c r="S461" s="120">
        <v>1.0668694500000002</v>
      </c>
      <c r="T461" s="15"/>
      <c r="U461" s="161"/>
      <c r="AE461" s="15"/>
      <c r="AF461" s="15"/>
    </row>
    <row r="462" ht="15.0" customHeight="1">
      <c r="A462" s="134" t="s">
        <v>238</v>
      </c>
      <c r="B462" s="3" t="s">
        <v>257</v>
      </c>
      <c r="C462" s="3" t="s">
        <v>252</v>
      </c>
      <c r="D462" s="135" t="s">
        <v>240</v>
      </c>
      <c r="E462" s="48">
        <v>5.0</v>
      </c>
      <c r="F462" s="183">
        <f t="shared" si="1"/>
        <v>13</v>
      </c>
      <c r="G462" s="171" t="s">
        <v>236</v>
      </c>
      <c r="H462" s="137">
        <v>13.4795973</v>
      </c>
      <c r="I462" s="137">
        <v>0.22297149</v>
      </c>
      <c r="J462" s="137">
        <v>9.25137017</v>
      </c>
      <c r="K462" s="120">
        <f t="shared" si="2"/>
        <v>60.4543536</v>
      </c>
      <c r="L462" s="121">
        <v>-0.42</v>
      </c>
      <c r="M462" s="121">
        <v>-0.75</v>
      </c>
      <c r="N462" s="122">
        <f t="shared" si="20"/>
        <v>0.33</v>
      </c>
      <c r="O462" s="120">
        <v>42.4</v>
      </c>
      <c r="P462" s="120">
        <v>28.034455060606057</v>
      </c>
      <c r="Q462" s="123">
        <v>29.909103651558507</v>
      </c>
      <c r="R462" s="120">
        <v>0.6</v>
      </c>
      <c r="S462" s="120">
        <v>1.0668694500000002</v>
      </c>
      <c r="T462" s="15"/>
      <c r="U462" s="161"/>
      <c r="AE462" s="15"/>
      <c r="AF462" s="15"/>
    </row>
    <row r="463" ht="15.0" customHeight="1">
      <c r="A463" s="134" t="s">
        <v>238</v>
      </c>
      <c r="B463" s="3" t="s">
        <v>257</v>
      </c>
      <c r="C463" s="3" t="s">
        <v>252</v>
      </c>
      <c r="D463" s="135" t="s">
        <v>240</v>
      </c>
      <c r="E463" s="48">
        <v>6.0</v>
      </c>
      <c r="F463" s="183">
        <f t="shared" si="1"/>
        <v>13</v>
      </c>
      <c r="G463" s="171" t="s">
        <v>236</v>
      </c>
      <c r="H463" s="137">
        <v>6.71925151</v>
      </c>
      <c r="I463" s="137">
        <v>0.15091416</v>
      </c>
      <c r="J463" s="137">
        <v>6.993014</v>
      </c>
      <c r="K463" s="120">
        <f t="shared" si="2"/>
        <v>44.52366504</v>
      </c>
      <c r="L463" s="121">
        <v>-0.344</v>
      </c>
      <c r="M463" s="121">
        <v>-0.85</v>
      </c>
      <c r="N463" s="122">
        <f t="shared" si="20"/>
        <v>0.506</v>
      </c>
      <c r="O463" s="120">
        <v>32.9</v>
      </c>
      <c r="P463" s="120">
        <v>13.820185770750987</v>
      </c>
      <c r="Q463" s="123">
        <v>18.98585472960356</v>
      </c>
      <c r="R463" s="120">
        <v>1.0</v>
      </c>
      <c r="S463" s="120">
        <v>1.3737771000000003</v>
      </c>
      <c r="T463" s="15"/>
      <c r="U463" s="161"/>
      <c r="AE463" s="15"/>
      <c r="AF463" s="15"/>
    </row>
    <row r="464" ht="15.0" customHeight="1">
      <c r="A464" s="134" t="s">
        <v>238</v>
      </c>
      <c r="B464" s="3" t="s">
        <v>258</v>
      </c>
      <c r="C464" s="3" t="s">
        <v>253</v>
      </c>
      <c r="D464" s="3" t="s">
        <v>251</v>
      </c>
      <c r="E464" s="48">
        <v>1.0</v>
      </c>
      <c r="F464" s="183">
        <f t="shared" si="1"/>
        <v>14</v>
      </c>
      <c r="G464" s="171" t="s">
        <v>236</v>
      </c>
      <c r="H464" s="137">
        <v>19.9363775</v>
      </c>
      <c r="I464" s="137">
        <v>0.34824689</v>
      </c>
      <c r="J464" s="137">
        <v>9.49644198</v>
      </c>
      <c r="K464" s="120">
        <f t="shared" si="2"/>
        <v>57.24782639</v>
      </c>
      <c r="L464" s="121">
        <v>-0.45</v>
      </c>
      <c r="M464" s="121">
        <v>-0.79</v>
      </c>
      <c r="N464" s="122">
        <f t="shared" si="20"/>
        <v>0.34</v>
      </c>
      <c r="O464" s="120">
        <v>42.2</v>
      </c>
      <c r="P464" s="120">
        <v>27.930711705882352</v>
      </c>
      <c r="Q464" s="123">
        <v>27.34923758076903</v>
      </c>
      <c r="R464" s="120">
        <v>1.1</v>
      </c>
      <c r="S464" s="120">
        <v>0.9791815500000003</v>
      </c>
      <c r="T464" s="15"/>
      <c r="U464" s="161"/>
      <c r="AE464" s="15"/>
      <c r="AF464" s="15"/>
    </row>
    <row r="465" ht="15.0" customHeight="1">
      <c r="A465" s="134" t="s">
        <v>238</v>
      </c>
      <c r="B465" s="3" t="s">
        <v>258</v>
      </c>
      <c r="C465" s="3" t="s">
        <v>253</v>
      </c>
      <c r="D465" s="3" t="s">
        <v>251</v>
      </c>
      <c r="E465" s="48">
        <v>2.0</v>
      </c>
      <c r="F465" s="183">
        <f t="shared" si="1"/>
        <v>14</v>
      </c>
      <c r="G465" s="171" t="s">
        <v>236</v>
      </c>
      <c r="H465" s="137">
        <v>15.3138177</v>
      </c>
      <c r="I465" s="137">
        <v>0.25928466</v>
      </c>
      <c r="J465" s="137">
        <v>8.95349226</v>
      </c>
      <c r="K465" s="120">
        <f t="shared" si="2"/>
        <v>59.06179602</v>
      </c>
      <c r="L465" s="121">
        <v>-0.317</v>
      </c>
      <c r="M465" s="121">
        <v>-0.78</v>
      </c>
      <c r="N465" s="122">
        <f t="shared" si="20"/>
        <v>0.463</v>
      </c>
      <c r="O465" s="120">
        <v>29.1</v>
      </c>
      <c r="P465" s="120">
        <v>19.337996241900647</v>
      </c>
      <c r="Q465" s="123">
        <v>15.261374525941443</v>
      </c>
      <c r="R465" s="120">
        <v>0.2</v>
      </c>
      <c r="S465" s="120">
        <v>0.7891911000000001</v>
      </c>
      <c r="T465" s="15"/>
      <c r="U465" s="161"/>
      <c r="AE465" s="15"/>
      <c r="AF465" s="15"/>
    </row>
    <row r="466" ht="15.0" customHeight="1">
      <c r="A466" s="134" t="s">
        <v>238</v>
      </c>
      <c r="B466" s="3" t="s">
        <v>258</v>
      </c>
      <c r="C466" s="3" t="s">
        <v>253</v>
      </c>
      <c r="D466" s="3" t="s">
        <v>251</v>
      </c>
      <c r="E466" s="48">
        <v>3.0</v>
      </c>
      <c r="F466" s="183">
        <f t="shared" si="1"/>
        <v>14</v>
      </c>
      <c r="G466" s="171" t="s">
        <v>236</v>
      </c>
      <c r="H466" s="137">
        <v>18.7178275</v>
      </c>
      <c r="I466" s="137">
        <v>0.35674056</v>
      </c>
      <c r="J466" s="137">
        <v>10.9917075</v>
      </c>
      <c r="K466" s="120">
        <f t="shared" si="2"/>
        <v>52.46901978</v>
      </c>
      <c r="L466" s="121">
        <v>-0.205</v>
      </c>
      <c r="M466" s="121">
        <v>-0.665</v>
      </c>
      <c r="N466" s="122">
        <f t="shared" si="20"/>
        <v>0.46</v>
      </c>
      <c r="O466" s="120">
        <v>41.5</v>
      </c>
      <c r="P466" s="120">
        <v>23.895016304347823</v>
      </c>
      <c r="Q466" s="123">
        <v>30.03268780278098</v>
      </c>
      <c r="R466" s="120">
        <v>0.9</v>
      </c>
      <c r="S466" s="120">
        <v>1.2568599000000003</v>
      </c>
      <c r="T466" s="15"/>
      <c r="U466" s="161"/>
      <c r="AE466" s="15"/>
      <c r="AF466" s="15"/>
    </row>
    <row r="467" ht="15.0" customHeight="1">
      <c r="A467" s="134" t="s">
        <v>238</v>
      </c>
      <c r="B467" s="3" t="s">
        <v>258</v>
      </c>
      <c r="C467" s="3" t="s">
        <v>253</v>
      </c>
      <c r="D467" s="3" t="s">
        <v>251</v>
      </c>
      <c r="E467" s="48">
        <v>4.0</v>
      </c>
      <c r="F467" s="183">
        <f t="shared" si="1"/>
        <v>14</v>
      </c>
      <c r="G467" s="171" t="s">
        <v>236</v>
      </c>
      <c r="H467" s="137">
        <v>15.8806168</v>
      </c>
      <c r="I467" s="137">
        <v>0.32147368</v>
      </c>
      <c r="J467" s="137">
        <v>11.1168949</v>
      </c>
      <c r="K467" s="120">
        <f t="shared" si="2"/>
        <v>49.39943077</v>
      </c>
      <c r="L467" s="121">
        <v>-0.225</v>
      </c>
      <c r="M467" s="121">
        <v>-0.782</v>
      </c>
      <c r="N467" s="122">
        <f t="shared" si="20"/>
        <v>0.557</v>
      </c>
      <c r="O467" s="120">
        <v>37.0</v>
      </c>
      <c r="P467" s="120">
        <v>19.958518671454218</v>
      </c>
      <c r="Q467" s="123">
        <v>21.876507367632637</v>
      </c>
      <c r="R467" s="120">
        <v>0.7</v>
      </c>
      <c r="S467" s="120">
        <v>1.0960987500000003</v>
      </c>
      <c r="T467" s="15"/>
      <c r="U467" s="161"/>
      <c r="AE467" s="15"/>
      <c r="AF467" s="15"/>
    </row>
    <row r="468" ht="15.0" customHeight="1">
      <c r="A468" s="134" t="s">
        <v>238</v>
      </c>
      <c r="B468" s="3" t="s">
        <v>258</v>
      </c>
      <c r="C468" s="3" t="s">
        <v>253</v>
      </c>
      <c r="D468" s="3" t="s">
        <v>251</v>
      </c>
      <c r="E468" s="48">
        <v>5.0</v>
      </c>
      <c r="F468" s="183">
        <f t="shared" si="1"/>
        <v>14</v>
      </c>
      <c r="G468" s="171" t="s">
        <v>236</v>
      </c>
      <c r="H468" s="137">
        <v>16.0351481</v>
      </c>
      <c r="I468" s="137">
        <v>0.36887997</v>
      </c>
      <c r="J468" s="137">
        <v>11.2366826</v>
      </c>
      <c r="K468" s="120">
        <f t="shared" si="2"/>
        <v>43.46982597</v>
      </c>
      <c r="L468" s="121">
        <v>-0.358</v>
      </c>
      <c r="M468" s="121">
        <v>-0.752</v>
      </c>
      <c r="N468" s="122">
        <f t="shared" si="20"/>
        <v>0.394</v>
      </c>
      <c r="O468" s="120">
        <v>31.3</v>
      </c>
      <c r="P468" s="120">
        <v>28.519498984771573</v>
      </c>
      <c r="Q468" s="123">
        <v>34.17780465869894</v>
      </c>
      <c r="R468" s="120">
        <v>0.7</v>
      </c>
      <c r="S468" s="120">
        <v>1.1984013000000002</v>
      </c>
      <c r="T468" s="15"/>
      <c r="U468" s="161"/>
      <c r="AE468" s="15"/>
      <c r="AF468" s="15"/>
    </row>
    <row r="469" ht="15.0" customHeight="1">
      <c r="A469" s="134" t="s">
        <v>238</v>
      </c>
      <c r="B469" s="3" t="s">
        <v>258</v>
      </c>
      <c r="C469" s="3" t="s">
        <v>253</v>
      </c>
      <c r="D469" s="3" t="s">
        <v>251</v>
      </c>
      <c r="E469" s="48">
        <v>6.0</v>
      </c>
      <c r="F469" s="183">
        <f t="shared" si="1"/>
        <v>14</v>
      </c>
      <c r="G469" s="171" t="s">
        <v>236</v>
      </c>
      <c r="H469" s="137">
        <v>12.8433225</v>
      </c>
      <c r="I469" s="137">
        <v>0.2776197</v>
      </c>
      <c r="J469" s="137">
        <v>10.3347024</v>
      </c>
      <c r="K469" s="120">
        <f t="shared" si="2"/>
        <v>46.26228794</v>
      </c>
      <c r="L469" s="121">
        <v>-0.316</v>
      </c>
      <c r="M469" s="121">
        <v>-0.875</v>
      </c>
      <c r="N469" s="122">
        <f t="shared" si="20"/>
        <v>0.559</v>
      </c>
      <c r="O469" s="120">
        <v>36.7</v>
      </c>
      <c r="P469" s="120">
        <v>18.487839713774598</v>
      </c>
      <c r="Q469" s="123">
        <v>21.885657840506195</v>
      </c>
      <c r="R469" s="120">
        <v>0.2</v>
      </c>
      <c r="S469" s="120">
        <v>1.1837866500000003</v>
      </c>
      <c r="T469" s="15"/>
      <c r="U469" s="161"/>
      <c r="AE469" s="15"/>
      <c r="AF469" s="15"/>
    </row>
    <row r="470" ht="15.0" customHeight="1">
      <c r="A470" s="134" t="s">
        <v>249</v>
      </c>
      <c r="B470" s="3" t="s">
        <v>257</v>
      </c>
      <c r="C470" s="3" t="s">
        <v>254</v>
      </c>
      <c r="D470" s="135" t="s">
        <v>240</v>
      </c>
      <c r="E470" s="48">
        <v>1.0</v>
      </c>
      <c r="F470" s="183">
        <f t="shared" si="1"/>
        <v>15</v>
      </c>
      <c r="G470" s="171" t="s">
        <v>236</v>
      </c>
      <c r="H470" s="137">
        <v>19.0003593</v>
      </c>
      <c r="I470" s="137">
        <v>0.33621733</v>
      </c>
      <c r="J470" s="137">
        <v>9.54826754</v>
      </c>
      <c r="K470" s="120">
        <f t="shared" si="2"/>
        <v>56.51213547</v>
      </c>
      <c r="L470" s="121">
        <v>-0.218</v>
      </c>
      <c r="M470" s="121">
        <v>-0.6</v>
      </c>
      <c r="N470" s="122">
        <f t="shared" si="20"/>
        <v>0.382</v>
      </c>
      <c r="O470" s="120">
        <v>38.0</v>
      </c>
      <c r="P470" s="120">
        <v>24.995464764397905</v>
      </c>
      <c r="Q470" s="123">
        <v>24.840397900092537</v>
      </c>
      <c r="R470" s="120">
        <v>0.3</v>
      </c>
      <c r="S470" s="120">
        <v>0.9937962000000001</v>
      </c>
      <c r="T470" s="15"/>
      <c r="U470" s="161"/>
      <c r="AE470" s="15"/>
      <c r="AF470" s="15"/>
    </row>
    <row r="471" ht="15.0" customHeight="1">
      <c r="A471" s="134" t="s">
        <v>249</v>
      </c>
      <c r="B471" s="3" t="s">
        <v>257</v>
      </c>
      <c r="C471" s="3" t="s">
        <v>254</v>
      </c>
      <c r="D471" s="135" t="s">
        <v>240</v>
      </c>
      <c r="E471" s="48">
        <v>2.0</v>
      </c>
      <c r="F471" s="183">
        <f t="shared" si="1"/>
        <v>15</v>
      </c>
      <c r="G471" s="171" t="s">
        <v>236</v>
      </c>
      <c r="H471" s="137">
        <v>17.1989098</v>
      </c>
      <c r="I471" s="137">
        <v>0.31013302</v>
      </c>
      <c r="J471" s="137">
        <v>10.1661562</v>
      </c>
      <c r="K471" s="120">
        <f t="shared" si="2"/>
        <v>55.45655796</v>
      </c>
      <c r="L471" s="121">
        <v>-0.387</v>
      </c>
      <c r="M471" s="121">
        <v>-0.65</v>
      </c>
      <c r="N471" s="122">
        <f t="shared" si="20"/>
        <v>0.263</v>
      </c>
      <c r="O471" s="120">
        <v>26.2</v>
      </c>
      <c r="P471" s="120">
        <v>38.65458631178707</v>
      </c>
      <c r="Q471" s="123">
        <v>39.544627488909136</v>
      </c>
      <c r="R471" s="120">
        <v>0.8</v>
      </c>
      <c r="S471" s="120">
        <v>1.0230255000000004</v>
      </c>
      <c r="T471" s="15"/>
      <c r="U471" s="161"/>
      <c r="AE471" s="15"/>
      <c r="AF471" s="15"/>
    </row>
    <row r="472" ht="15.0" customHeight="1">
      <c r="A472" s="134" t="s">
        <v>249</v>
      </c>
      <c r="B472" s="3" t="s">
        <v>257</v>
      </c>
      <c r="C472" s="3" t="s">
        <v>254</v>
      </c>
      <c r="D472" s="135" t="s">
        <v>240</v>
      </c>
      <c r="E472" s="48">
        <v>3.0</v>
      </c>
      <c r="F472" s="183">
        <f t="shared" si="1"/>
        <v>15</v>
      </c>
      <c r="G472" s="171" t="s">
        <v>236</v>
      </c>
      <c r="H472" s="137">
        <v>20.0367565</v>
      </c>
      <c r="I472" s="137">
        <v>0.37649583</v>
      </c>
      <c r="J472" s="137">
        <v>11.4504926</v>
      </c>
      <c r="K472" s="120">
        <f t="shared" si="2"/>
        <v>53.2190662</v>
      </c>
      <c r="L472" s="121">
        <v>-0.197</v>
      </c>
      <c r="M472" s="121">
        <v>-0.634</v>
      </c>
      <c r="N472" s="122">
        <f t="shared" si="20"/>
        <v>0.437</v>
      </c>
      <c r="O472" s="120">
        <v>35.5</v>
      </c>
      <c r="P472" s="120">
        <v>26.202500228832953</v>
      </c>
      <c r="Q472" s="123">
        <v>29.486408487637146</v>
      </c>
      <c r="R472" s="120">
        <v>0.6</v>
      </c>
      <c r="S472" s="120">
        <v>1.1253280500000002</v>
      </c>
      <c r="T472" s="15"/>
      <c r="U472" s="161"/>
      <c r="AE472" s="15"/>
      <c r="AF472" s="15"/>
    </row>
    <row r="473" ht="15.0" customHeight="1">
      <c r="A473" s="134" t="s">
        <v>249</v>
      </c>
      <c r="B473" s="3" t="s">
        <v>257</v>
      </c>
      <c r="C473" s="3" t="s">
        <v>254</v>
      </c>
      <c r="D473" s="135" t="s">
        <v>240</v>
      </c>
      <c r="E473" s="48">
        <v>4.0</v>
      </c>
      <c r="F473" s="183">
        <f t="shared" si="1"/>
        <v>15</v>
      </c>
      <c r="G473" s="171" t="s">
        <v>236</v>
      </c>
      <c r="H473" s="137">
        <v>13.9399947</v>
      </c>
      <c r="I473" s="137">
        <v>0.3273378</v>
      </c>
      <c r="J473" s="137">
        <v>11.2638442</v>
      </c>
      <c r="K473" s="120">
        <f t="shared" si="2"/>
        <v>42.58596074</v>
      </c>
      <c r="L473" s="121">
        <v>-0.392</v>
      </c>
      <c r="M473" s="121">
        <v>-0.688</v>
      </c>
      <c r="N473" s="122">
        <f t="shared" si="20"/>
        <v>0.296</v>
      </c>
      <c r="O473" s="120">
        <v>35.6</v>
      </c>
      <c r="P473" s="120">
        <v>38.05352770270271</v>
      </c>
      <c r="Q473" s="123">
        <v>41.710424148022824</v>
      </c>
      <c r="R473" s="120">
        <v>0.8</v>
      </c>
      <c r="S473" s="120">
        <v>1.0960987500000003</v>
      </c>
      <c r="T473" s="15"/>
      <c r="U473" s="161"/>
      <c r="AE473" s="15"/>
      <c r="AF473" s="15"/>
    </row>
    <row r="474" ht="15.0" customHeight="1">
      <c r="A474" s="134" t="s">
        <v>249</v>
      </c>
      <c r="B474" s="3" t="s">
        <v>257</v>
      </c>
      <c r="C474" s="3" t="s">
        <v>254</v>
      </c>
      <c r="D474" s="135" t="s">
        <v>240</v>
      </c>
      <c r="E474" s="48">
        <v>5.0</v>
      </c>
      <c r="F474" s="183">
        <f t="shared" si="1"/>
        <v>15</v>
      </c>
      <c r="G474" s="171" t="s">
        <v>236</v>
      </c>
      <c r="H474" s="137">
        <v>17.9051133</v>
      </c>
      <c r="I474" s="137">
        <v>0.42332518</v>
      </c>
      <c r="J474" s="137">
        <v>12.8647527</v>
      </c>
      <c r="K474" s="120">
        <f t="shared" si="2"/>
        <v>42.29635785</v>
      </c>
      <c r="L474" s="121">
        <v>-0.362</v>
      </c>
      <c r="M474" s="121">
        <v>-0.758</v>
      </c>
      <c r="N474" s="122">
        <f t="shared" si="20"/>
        <v>0.396</v>
      </c>
      <c r="O474" s="120">
        <v>38.8</v>
      </c>
      <c r="P474" s="120">
        <v>32.48674924242424</v>
      </c>
      <c r="Q474" s="123">
        <v>37.033032645632055</v>
      </c>
      <c r="R474" s="120">
        <v>0.4</v>
      </c>
      <c r="S474" s="120">
        <v>1.1399427000000004</v>
      </c>
      <c r="T474" s="15"/>
      <c r="U474" s="161"/>
      <c r="AE474" s="15"/>
      <c r="AF474" s="15"/>
    </row>
    <row r="475" ht="15.0" customHeight="1">
      <c r="A475" s="134" t="s">
        <v>249</v>
      </c>
      <c r="B475" s="3" t="s">
        <v>257</v>
      </c>
      <c r="C475" s="3" t="s">
        <v>254</v>
      </c>
      <c r="D475" s="135" t="s">
        <v>240</v>
      </c>
      <c r="E475" s="48">
        <v>6.0</v>
      </c>
      <c r="F475" s="183">
        <f t="shared" si="1"/>
        <v>15</v>
      </c>
      <c r="G475" s="171" t="s">
        <v>236</v>
      </c>
      <c r="H475" s="137">
        <v>17.2033539</v>
      </c>
      <c r="I475" s="137">
        <v>0.36717969</v>
      </c>
      <c r="J475" s="137">
        <v>11.7760525</v>
      </c>
      <c r="K475" s="120">
        <f t="shared" si="2"/>
        <v>46.85268376</v>
      </c>
      <c r="L475" s="121">
        <v>-0.307</v>
      </c>
      <c r="M475" s="121">
        <v>-0.763</v>
      </c>
      <c r="N475" s="122">
        <f t="shared" si="20"/>
        <v>0.456</v>
      </c>
      <c r="O475" s="120">
        <v>27.9</v>
      </c>
      <c r="P475" s="120">
        <v>25.82467653508772</v>
      </c>
      <c r="Q475" s="123">
        <v>27.928977060340465</v>
      </c>
      <c r="R475" s="120">
        <v>0.7</v>
      </c>
      <c r="S475" s="120">
        <v>1.0814841000000002</v>
      </c>
      <c r="T475" s="15"/>
      <c r="U475" s="161"/>
      <c r="AE475" s="15"/>
      <c r="AF475" s="15"/>
    </row>
    <row r="476" ht="15.0" customHeight="1">
      <c r="A476" s="134" t="s">
        <v>244</v>
      </c>
      <c r="B476" s="3" t="s">
        <v>250</v>
      </c>
      <c r="C476" s="3" t="s">
        <v>255</v>
      </c>
      <c r="D476" s="3" t="s">
        <v>251</v>
      </c>
      <c r="E476" s="48">
        <v>1.0</v>
      </c>
      <c r="F476" s="183">
        <f t="shared" si="1"/>
        <v>16</v>
      </c>
      <c r="G476" s="171" t="s">
        <v>236</v>
      </c>
      <c r="H476" s="137">
        <v>21.7784291</v>
      </c>
      <c r="I476" s="137">
        <v>0.38849756</v>
      </c>
      <c r="J476" s="137">
        <v>10.6317092</v>
      </c>
      <c r="K476" s="120">
        <f t="shared" si="2"/>
        <v>56.05808464</v>
      </c>
      <c r="L476" s="121">
        <v>-0.297</v>
      </c>
      <c r="M476" s="121">
        <v>-0.564</v>
      </c>
      <c r="N476" s="122">
        <f t="shared" si="20"/>
        <v>0.267</v>
      </c>
      <c r="O476" s="120">
        <v>42.5</v>
      </c>
      <c r="P476" s="120">
        <v>39.819135580524346</v>
      </c>
      <c r="Q476" s="123">
        <v>36.08044924833844</v>
      </c>
      <c r="R476" s="120">
        <v>0.5</v>
      </c>
      <c r="S476" s="120">
        <v>0.9061083000000002</v>
      </c>
      <c r="T476" s="15"/>
      <c r="U476" s="161"/>
      <c r="AE476" s="15"/>
      <c r="AF476" s="15"/>
    </row>
    <row r="477" ht="15.0" customHeight="1">
      <c r="A477" s="134" t="s">
        <v>244</v>
      </c>
      <c r="B477" s="3" t="s">
        <v>250</v>
      </c>
      <c r="C477" s="3" t="s">
        <v>255</v>
      </c>
      <c r="D477" s="3" t="s">
        <v>251</v>
      </c>
      <c r="E477" s="48">
        <v>2.0</v>
      </c>
      <c r="F477" s="183">
        <f t="shared" si="1"/>
        <v>16</v>
      </c>
      <c r="G477" s="171" t="s">
        <v>236</v>
      </c>
      <c r="H477" s="137">
        <v>12.6048321</v>
      </c>
      <c r="I477" s="137">
        <v>0.21038647</v>
      </c>
      <c r="J477" s="137">
        <v>7.80998943</v>
      </c>
      <c r="K477" s="120">
        <f t="shared" si="2"/>
        <v>59.91275057</v>
      </c>
      <c r="L477" s="121">
        <v>-0.4</v>
      </c>
      <c r="M477" s="121">
        <v>-0.645</v>
      </c>
      <c r="N477" s="122">
        <f t="shared" si="20"/>
        <v>0.245</v>
      </c>
      <c r="O477" s="120">
        <v>37.1</v>
      </c>
      <c r="P477" s="120">
        <v>31.87750787755102</v>
      </c>
      <c r="Q477" s="123">
        <v>38.66792550172004</v>
      </c>
      <c r="R477" s="120">
        <v>0.8</v>
      </c>
      <c r="S477" s="120">
        <v>1.2130159500000004</v>
      </c>
      <c r="T477" s="15"/>
      <c r="U477" s="161"/>
      <c r="AE477" s="15"/>
      <c r="AF477" s="15"/>
    </row>
    <row r="478" ht="15.0" customHeight="1">
      <c r="A478" s="134" t="s">
        <v>244</v>
      </c>
      <c r="B478" s="3" t="s">
        <v>250</v>
      </c>
      <c r="C478" s="3" t="s">
        <v>255</v>
      </c>
      <c r="D478" s="3" t="s">
        <v>251</v>
      </c>
      <c r="E478" s="48">
        <v>3.0</v>
      </c>
      <c r="F478" s="183">
        <f t="shared" si="1"/>
        <v>16</v>
      </c>
      <c r="G478" s="171" t="s">
        <v>236</v>
      </c>
      <c r="H478" s="137">
        <v>18.7451266</v>
      </c>
      <c r="I478" s="137">
        <v>0.32729687</v>
      </c>
      <c r="J478" s="137">
        <v>10.922653</v>
      </c>
      <c r="K478" s="120">
        <f t="shared" si="2"/>
        <v>57.27255076</v>
      </c>
      <c r="L478" s="121">
        <v>-0.185</v>
      </c>
      <c r="M478" s="121">
        <v>-0.8</v>
      </c>
      <c r="N478" s="122">
        <f t="shared" si="20"/>
        <v>0.615</v>
      </c>
      <c r="O478" s="120">
        <v>35.7</v>
      </c>
      <c r="P478" s="120">
        <v>17.760411382113823</v>
      </c>
      <c r="Q478" s="123">
        <v>19.46716471542074</v>
      </c>
      <c r="R478" s="120">
        <v>0.8</v>
      </c>
      <c r="S478" s="120">
        <v>1.0960987500000003</v>
      </c>
      <c r="T478" s="15"/>
      <c r="U478" s="161"/>
      <c r="AE478" s="15"/>
      <c r="AF478" s="15"/>
    </row>
    <row r="479" ht="15.0" customHeight="1">
      <c r="A479" s="134" t="s">
        <v>244</v>
      </c>
      <c r="B479" s="3" t="s">
        <v>250</v>
      </c>
      <c r="C479" s="3" t="s">
        <v>255</v>
      </c>
      <c r="D479" s="3" t="s">
        <v>251</v>
      </c>
      <c r="E479" s="48">
        <v>4.0</v>
      </c>
      <c r="F479" s="183">
        <f t="shared" si="1"/>
        <v>16</v>
      </c>
      <c r="G479" s="171" t="s">
        <v>236</v>
      </c>
      <c r="H479" s="137">
        <v>13.8472295</v>
      </c>
      <c r="I479" s="137">
        <v>0.27226567</v>
      </c>
      <c r="J479" s="137">
        <v>9.95903977</v>
      </c>
      <c r="K479" s="120">
        <f t="shared" si="2"/>
        <v>50.85925633</v>
      </c>
      <c r="L479" s="121">
        <v>-0.31</v>
      </c>
      <c r="M479" s="121">
        <v>-0.796</v>
      </c>
      <c r="N479" s="122">
        <f t="shared" si="20"/>
        <v>0.486</v>
      </c>
      <c r="O479" s="120">
        <v>39.4</v>
      </c>
      <c r="P479" s="120">
        <v>20.49185137860082</v>
      </c>
      <c r="Q479" s="123">
        <v>25.156423803022555</v>
      </c>
      <c r="R479" s="120">
        <v>1.0</v>
      </c>
      <c r="S479" s="120">
        <v>1.2276306000000001</v>
      </c>
      <c r="T479" s="15"/>
      <c r="U479" s="161"/>
      <c r="AE479" s="15"/>
      <c r="AF479" s="15"/>
    </row>
    <row r="480" ht="15.0" customHeight="1">
      <c r="A480" s="134" t="s">
        <v>244</v>
      </c>
      <c r="B480" s="3" t="s">
        <v>250</v>
      </c>
      <c r="C480" s="3" t="s">
        <v>255</v>
      </c>
      <c r="D480" s="3" t="s">
        <v>251</v>
      </c>
      <c r="E480" s="48">
        <v>5.0</v>
      </c>
      <c r="F480" s="183">
        <f t="shared" si="1"/>
        <v>16</v>
      </c>
      <c r="G480" s="171" t="s">
        <v>236</v>
      </c>
      <c r="H480" s="137">
        <v>15.3981034</v>
      </c>
      <c r="I480" s="137">
        <v>0.29552017</v>
      </c>
      <c r="J480" s="137">
        <v>11.0508511</v>
      </c>
      <c r="K480" s="120">
        <f t="shared" si="2"/>
        <v>52.1050844</v>
      </c>
      <c r="L480" s="121">
        <v>-0.312</v>
      </c>
      <c r="M480" s="121">
        <v>-0.745</v>
      </c>
      <c r="N480" s="122">
        <f t="shared" si="20"/>
        <v>0.433</v>
      </c>
      <c r="O480" s="120">
        <v>45.0</v>
      </c>
      <c r="P480" s="120">
        <v>25.521596073903</v>
      </c>
      <c r="Q480" s="123">
        <v>32.82304907740906</v>
      </c>
      <c r="R480" s="120">
        <v>1.1</v>
      </c>
      <c r="S480" s="120">
        <v>1.2860892000000004</v>
      </c>
      <c r="T480" s="15"/>
      <c r="U480" s="161"/>
      <c r="AE480" s="15"/>
      <c r="AF480" s="15"/>
    </row>
    <row r="481" ht="15.0" customHeight="1">
      <c r="A481" s="153" t="s">
        <v>244</v>
      </c>
      <c r="B481" s="154" t="s">
        <v>250</v>
      </c>
      <c r="C481" s="3" t="s">
        <v>255</v>
      </c>
      <c r="D481" s="154" t="s">
        <v>251</v>
      </c>
      <c r="E481" s="155">
        <v>6.0</v>
      </c>
      <c r="F481" s="183">
        <f t="shared" si="1"/>
        <v>16</v>
      </c>
      <c r="G481" s="172" t="s">
        <v>236</v>
      </c>
      <c r="H481" s="157">
        <v>16.8013592</v>
      </c>
      <c r="I481" s="157">
        <v>0.41425727</v>
      </c>
      <c r="J481" s="157">
        <v>12.2311215</v>
      </c>
      <c r="K481" s="145">
        <f t="shared" si="2"/>
        <v>40.55778961</v>
      </c>
      <c r="L481" s="158">
        <v>-0.42</v>
      </c>
      <c r="M481" s="158">
        <v>-0.76</v>
      </c>
      <c r="N481" s="159">
        <f t="shared" si="20"/>
        <v>0.34</v>
      </c>
      <c r="O481" s="145">
        <v>39.4</v>
      </c>
      <c r="P481" s="145">
        <v>35.97388676470588</v>
      </c>
      <c r="Q481" s="173">
        <v>42.58540690067052</v>
      </c>
      <c r="R481" s="145">
        <v>0.8</v>
      </c>
      <c r="S481" s="145">
        <v>1.1837866500000003</v>
      </c>
      <c r="T481" s="174"/>
      <c r="U481" s="175"/>
      <c r="AE481" s="15"/>
      <c r="AF481" s="15"/>
    </row>
    <row r="482" ht="15.0" customHeight="1">
      <c r="A482" s="176"/>
      <c r="F482" s="183" t="str">
        <f t="shared" si="1"/>
        <v/>
      </c>
      <c r="H482" s="5"/>
      <c r="I482" s="5"/>
      <c r="J482" s="5"/>
      <c r="N482" s="177"/>
      <c r="P482" s="15"/>
      <c r="Q482" s="178"/>
      <c r="R482" s="15"/>
      <c r="S482" s="15"/>
      <c r="T482" s="15"/>
      <c r="U482" s="161"/>
      <c r="AE482" s="15"/>
      <c r="AF482" s="15"/>
    </row>
    <row r="483" ht="15.0" customHeight="1">
      <c r="A483" s="176"/>
      <c r="F483" s="183" t="str">
        <f t="shared" si="1"/>
        <v/>
      </c>
      <c r="H483" s="5"/>
      <c r="J483" s="5"/>
      <c r="N483" s="177"/>
      <c r="P483" s="15"/>
      <c r="Q483" s="178"/>
      <c r="R483" s="15"/>
      <c r="S483" s="15"/>
      <c r="T483" s="15"/>
      <c r="U483" s="161"/>
      <c r="AE483" s="15"/>
      <c r="AF483" s="15"/>
    </row>
    <row r="484" ht="15.0" customHeight="1">
      <c r="A484" s="176"/>
      <c r="F484" s="183" t="str">
        <f t="shared" si="1"/>
        <v/>
      </c>
      <c r="H484" s="5"/>
      <c r="I484" s="5"/>
      <c r="J484" s="5"/>
      <c r="N484" s="177"/>
      <c r="P484" s="15"/>
      <c r="Q484" s="178"/>
      <c r="R484" s="15"/>
      <c r="S484" s="15"/>
      <c r="T484" s="15"/>
      <c r="U484" s="161"/>
      <c r="AE484" s="15"/>
      <c r="AF484" s="15"/>
    </row>
    <row r="485" ht="15.0" customHeight="1">
      <c r="A485" s="176"/>
      <c r="F485" s="183" t="str">
        <f t="shared" si="1"/>
        <v/>
      </c>
      <c r="H485" s="5"/>
      <c r="J485" s="5"/>
      <c r="N485" s="177"/>
      <c r="P485" s="15"/>
      <c r="Q485" s="178"/>
      <c r="R485" s="15"/>
      <c r="S485" s="15"/>
      <c r="T485" s="15"/>
      <c r="U485" s="161"/>
      <c r="AE485" s="15"/>
      <c r="AF485" s="15"/>
    </row>
    <row r="486" ht="15.0" customHeight="1">
      <c r="A486" s="176"/>
      <c r="F486" s="183" t="str">
        <f t="shared" si="1"/>
        <v/>
      </c>
      <c r="H486" s="5"/>
      <c r="I486" s="5"/>
      <c r="J486" s="5"/>
      <c r="N486" s="177"/>
      <c r="P486" s="15"/>
      <c r="Q486" s="178"/>
      <c r="R486" s="15"/>
      <c r="S486" s="15"/>
      <c r="T486" s="15"/>
      <c r="U486" s="161"/>
      <c r="AE486" s="15"/>
      <c r="AF486" s="15"/>
    </row>
    <row r="487" ht="15.0" customHeight="1">
      <c r="A487" s="176"/>
      <c r="F487" s="183" t="str">
        <f t="shared" si="1"/>
        <v/>
      </c>
      <c r="H487" s="5"/>
      <c r="I487" s="5"/>
      <c r="J487" s="5"/>
      <c r="N487" s="177"/>
      <c r="P487" s="15"/>
      <c r="Q487" s="178"/>
      <c r="R487" s="15"/>
      <c r="S487" s="15"/>
      <c r="T487" s="15"/>
      <c r="U487" s="161"/>
      <c r="AE487" s="15"/>
      <c r="AF487" s="15"/>
    </row>
    <row r="488" ht="15.0" customHeight="1">
      <c r="A488" s="176"/>
      <c r="F488" s="183" t="str">
        <f t="shared" si="1"/>
        <v/>
      </c>
      <c r="H488" s="5"/>
      <c r="I488" s="5"/>
      <c r="J488" s="5"/>
      <c r="N488" s="177"/>
      <c r="P488" s="15"/>
      <c r="Q488" s="178"/>
      <c r="R488" s="15"/>
      <c r="S488" s="15"/>
      <c r="T488" s="15"/>
      <c r="U488" s="161"/>
      <c r="AE488" s="15"/>
      <c r="AF488" s="15"/>
    </row>
    <row r="489" ht="15.0" customHeight="1">
      <c r="A489" s="176"/>
      <c r="F489" s="183" t="str">
        <f t="shared" si="1"/>
        <v/>
      </c>
      <c r="H489" s="5"/>
      <c r="I489" s="5"/>
      <c r="J489" s="5"/>
      <c r="N489" s="177"/>
      <c r="P489" s="15"/>
      <c r="Q489" s="178"/>
      <c r="R489" s="15"/>
      <c r="S489" s="15"/>
      <c r="T489" s="15"/>
      <c r="U489" s="161"/>
      <c r="AE489" s="15"/>
      <c r="AF489" s="15"/>
    </row>
    <row r="490" ht="15.0" customHeight="1">
      <c r="A490" s="176"/>
      <c r="F490" s="183" t="str">
        <f t="shared" si="1"/>
        <v/>
      </c>
      <c r="H490" s="5"/>
      <c r="I490" s="5"/>
      <c r="J490" s="5"/>
      <c r="N490" s="177"/>
      <c r="P490" s="15"/>
      <c r="Q490" s="178"/>
      <c r="R490" s="15"/>
      <c r="S490" s="15"/>
      <c r="T490" s="15"/>
      <c r="U490" s="161"/>
      <c r="AE490" s="15"/>
      <c r="AF490" s="15"/>
    </row>
    <row r="491" ht="15.0" customHeight="1">
      <c r="A491" s="176"/>
      <c r="F491" s="183" t="str">
        <f t="shared" si="1"/>
        <v/>
      </c>
      <c r="H491" s="5"/>
      <c r="I491" s="5"/>
      <c r="J491" s="5"/>
      <c r="N491" s="177"/>
      <c r="P491" s="15"/>
      <c r="Q491" s="178"/>
      <c r="R491" s="15"/>
      <c r="S491" s="15"/>
      <c r="T491" s="15"/>
      <c r="U491" s="161"/>
      <c r="AE491" s="15"/>
      <c r="AF491" s="15"/>
    </row>
    <row r="492" ht="15.0" customHeight="1">
      <c r="A492" s="176"/>
      <c r="F492" s="183" t="str">
        <f t="shared" si="1"/>
        <v/>
      </c>
      <c r="H492" s="5"/>
      <c r="I492" s="5"/>
      <c r="J492" s="5"/>
      <c r="N492" s="177"/>
      <c r="P492" s="15"/>
      <c r="Q492" s="178"/>
      <c r="R492" s="15"/>
      <c r="S492" s="15"/>
      <c r="T492" s="15"/>
      <c r="U492" s="161"/>
      <c r="AE492" s="15"/>
      <c r="AF492" s="15"/>
    </row>
    <row r="493" ht="15.0" customHeight="1">
      <c r="A493" s="176"/>
      <c r="F493" s="183" t="str">
        <f t="shared" si="1"/>
        <v/>
      </c>
      <c r="H493" s="5"/>
      <c r="I493" s="5"/>
      <c r="J493" s="5"/>
      <c r="N493" s="177"/>
      <c r="P493" s="15"/>
      <c r="Q493" s="178"/>
      <c r="R493" s="15"/>
      <c r="S493" s="15"/>
      <c r="T493" s="15"/>
      <c r="U493" s="161"/>
      <c r="AE493" s="15"/>
      <c r="AF493" s="15"/>
    </row>
    <row r="494" ht="15.0" customHeight="1">
      <c r="A494" s="176"/>
      <c r="F494" s="183" t="str">
        <f t="shared" si="1"/>
        <v/>
      </c>
      <c r="H494" s="5"/>
      <c r="I494" s="5"/>
      <c r="J494" s="5"/>
      <c r="N494" s="177"/>
      <c r="P494" s="15"/>
      <c r="Q494" s="178"/>
      <c r="R494" s="15"/>
      <c r="S494" s="15"/>
      <c r="T494" s="15"/>
      <c r="U494" s="161"/>
      <c r="AE494" s="15"/>
      <c r="AF494" s="15"/>
    </row>
    <row r="495" ht="15.0" customHeight="1">
      <c r="A495" s="176"/>
      <c r="F495" s="183" t="str">
        <f t="shared" si="1"/>
        <v/>
      </c>
      <c r="H495" s="5"/>
      <c r="I495" s="5"/>
      <c r="J495" s="5"/>
      <c r="N495" s="177"/>
      <c r="P495" s="15"/>
      <c r="Q495" s="178"/>
      <c r="R495" s="15"/>
      <c r="S495" s="15"/>
      <c r="T495" s="15"/>
      <c r="U495" s="161"/>
      <c r="AE495" s="15"/>
      <c r="AF495" s="15"/>
    </row>
    <row r="496" ht="15.0" customHeight="1">
      <c r="A496" s="176"/>
      <c r="F496" s="183" t="str">
        <f t="shared" si="1"/>
        <v/>
      </c>
      <c r="H496" s="5"/>
      <c r="I496" s="5"/>
      <c r="J496" s="5"/>
      <c r="N496" s="177"/>
      <c r="P496" s="15"/>
      <c r="Q496" s="178"/>
      <c r="R496" s="15"/>
      <c r="S496" s="15"/>
      <c r="T496" s="15"/>
      <c r="U496" s="161"/>
      <c r="AE496" s="15"/>
      <c r="AF496" s="15"/>
    </row>
    <row r="497" ht="15.0" customHeight="1">
      <c r="A497" s="176"/>
      <c r="F497" s="183" t="str">
        <f t="shared" si="1"/>
        <v/>
      </c>
      <c r="H497" s="5"/>
      <c r="I497" s="5"/>
      <c r="J497" s="5"/>
      <c r="N497" s="177"/>
      <c r="P497" s="15"/>
      <c r="Q497" s="178"/>
      <c r="R497" s="15"/>
      <c r="S497" s="15"/>
      <c r="T497" s="15"/>
      <c r="U497" s="161"/>
      <c r="AE497" s="15"/>
      <c r="AF497" s="15"/>
    </row>
    <row r="498" ht="15.0" customHeight="1">
      <c r="A498" s="176"/>
      <c r="F498" s="183" t="str">
        <f t="shared" si="1"/>
        <v/>
      </c>
      <c r="H498" s="5"/>
      <c r="I498" s="5"/>
      <c r="J498" s="5"/>
      <c r="N498" s="177"/>
      <c r="P498" s="15"/>
      <c r="Q498" s="178"/>
      <c r="R498" s="15"/>
      <c r="S498" s="15"/>
      <c r="T498" s="15"/>
      <c r="U498" s="161"/>
      <c r="AE498" s="15"/>
      <c r="AF498" s="15"/>
    </row>
    <row r="499" ht="15.0" customHeight="1">
      <c r="A499" s="176"/>
      <c r="F499" s="183" t="str">
        <f t="shared" si="1"/>
        <v/>
      </c>
      <c r="H499" s="5"/>
      <c r="I499" s="5"/>
      <c r="J499" s="5"/>
      <c r="N499" s="177"/>
      <c r="P499" s="15"/>
      <c r="Q499" s="178"/>
      <c r="R499" s="15"/>
      <c r="S499" s="15"/>
      <c r="T499" s="15"/>
      <c r="U499" s="161"/>
      <c r="AE499" s="15"/>
      <c r="AF499" s="15"/>
    </row>
    <row r="500" ht="15.0" customHeight="1">
      <c r="A500" s="176"/>
      <c r="F500" s="183" t="str">
        <f t="shared" si="1"/>
        <v/>
      </c>
      <c r="H500" s="5"/>
      <c r="I500" s="5"/>
      <c r="J500" s="5"/>
      <c r="N500" s="177"/>
      <c r="P500" s="15"/>
      <c r="Q500" s="178"/>
      <c r="R500" s="15"/>
      <c r="S500" s="15"/>
      <c r="T500" s="15"/>
      <c r="U500" s="161"/>
      <c r="AE500" s="15"/>
      <c r="AF500" s="15"/>
    </row>
    <row r="501" ht="15.0" customHeight="1">
      <c r="A501" s="176"/>
      <c r="F501" s="183" t="str">
        <f t="shared" si="1"/>
        <v/>
      </c>
      <c r="H501" s="5"/>
      <c r="I501" s="5"/>
      <c r="J501" s="5"/>
      <c r="N501" s="177"/>
      <c r="P501" s="15"/>
      <c r="Q501" s="178"/>
      <c r="R501" s="15"/>
      <c r="S501" s="15"/>
      <c r="T501" s="15"/>
      <c r="U501" s="161"/>
      <c r="AE501" s="15"/>
      <c r="AF501" s="15"/>
    </row>
    <row r="502" ht="15.0" customHeight="1">
      <c r="A502" s="176"/>
      <c r="F502" s="183" t="str">
        <f t="shared" si="1"/>
        <v/>
      </c>
      <c r="H502" s="5"/>
      <c r="I502" s="5"/>
      <c r="J502" s="5"/>
      <c r="N502" s="177"/>
      <c r="P502" s="15"/>
      <c r="Q502" s="178"/>
      <c r="R502" s="15"/>
      <c r="S502" s="15"/>
      <c r="T502" s="15"/>
      <c r="U502" s="161"/>
      <c r="AE502" s="15"/>
      <c r="AF502" s="15"/>
    </row>
    <row r="503" ht="15.0" customHeight="1">
      <c r="A503" s="176"/>
      <c r="F503" s="183" t="str">
        <f t="shared" si="1"/>
        <v/>
      </c>
      <c r="H503" s="5"/>
      <c r="I503" s="5"/>
      <c r="J503" s="5"/>
      <c r="N503" s="177"/>
      <c r="P503" s="15"/>
      <c r="Q503" s="178"/>
      <c r="R503" s="15"/>
      <c r="S503" s="15"/>
      <c r="T503" s="15"/>
      <c r="U503" s="161"/>
      <c r="AE503" s="15"/>
      <c r="AF503" s="15"/>
    </row>
    <row r="504" ht="15.0" customHeight="1">
      <c r="A504" s="176"/>
      <c r="F504" s="183" t="str">
        <f t="shared" si="1"/>
        <v/>
      </c>
      <c r="H504" s="5"/>
      <c r="I504" s="5"/>
      <c r="J504" s="5"/>
      <c r="N504" s="177"/>
      <c r="P504" s="15"/>
      <c r="Q504" s="178"/>
      <c r="R504" s="15"/>
      <c r="S504" s="15"/>
      <c r="T504" s="15"/>
      <c r="U504" s="161"/>
      <c r="AE504" s="15"/>
      <c r="AF504" s="15"/>
    </row>
    <row r="505" ht="15.0" customHeight="1">
      <c r="A505" s="176"/>
      <c r="F505" s="183" t="str">
        <f t="shared" si="1"/>
        <v/>
      </c>
      <c r="H505" s="5"/>
      <c r="I505" s="5"/>
      <c r="J505" s="5"/>
      <c r="N505" s="177"/>
      <c r="P505" s="15"/>
      <c r="Q505" s="178"/>
      <c r="R505" s="15"/>
      <c r="S505" s="15"/>
      <c r="T505" s="15"/>
      <c r="U505" s="161"/>
      <c r="AE505" s="15"/>
      <c r="AF505" s="15"/>
    </row>
    <row r="506" ht="15.0" customHeight="1">
      <c r="A506" s="176"/>
      <c r="F506" s="183" t="str">
        <f t="shared" si="1"/>
        <v/>
      </c>
      <c r="H506" s="5"/>
      <c r="I506" s="5"/>
      <c r="J506" s="5"/>
      <c r="N506" s="177"/>
      <c r="P506" s="15"/>
      <c r="Q506" s="178"/>
      <c r="R506" s="15"/>
      <c r="S506" s="15"/>
      <c r="T506" s="15"/>
      <c r="U506" s="161"/>
      <c r="AE506" s="15"/>
      <c r="AF506" s="15"/>
    </row>
    <row r="507" ht="15.0" customHeight="1">
      <c r="A507" s="176"/>
      <c r="F507" s="183" t="str">
        <f t="shared" si="1"/>
        <v/>
      </c>
      <c r="H507" s="5"/>
      <c r="I507" s="5"/>
      <c r="J507" s="5"/>
      <c r="N507" s="177"/>
      <c r="P507" s="15"/>
      <c r="Q507" s="178"/>
      <c r="R507" s="15"/>
      <c r="S507" s="15"/>
      <c r="T507" s="15"/>
      <c r="U507" s="161"/>
      <c r="AE507" s="15"/>
      <c r="AF507" s="15"/>
    </row>
    <row r="508" ht="15.0" customHeight="1">
      <c r="A508" s="176"/>
      <c r="F508" s="183" t="str">
        <f t="shared" si="1"/>
        <v/>
      </c>
      <c r="H508" s="5"/>
      <c r="I508" s="5"/>
      <c r="J508" s="5"/>
      <c r="N508" s="177"/>
      <c r="P508" s="15"/>
      <c r="Q508" s="178"/>
      <c r="R508" s="15"/>
      <c r="S508" s="15"/>
      <c r="T508" s="15"/>
      <c r="U508" s="161"/>
      <c r="AE508" s="15"/>
      <c r="AF508" s="15"/>
    </row>
    <row r="509" ht="15.0" customHeight="1">
      <c r="A509" s="176"/>
      <c r="F509" s="183" t="str">
        <f t="shared" si="1"/>
        <v/>
      </c>
      <c r="H509" s="5"/>
      <c r="I509" s="5"/>
      <c r="J509" s="5"/>
      <c r="N509" s="177"/>
      <c r="P509" s="15"/>
      <c r="Q509" s="178"/>
      <c r="R509" s="15"/>
      <c r="S509" s="15"/>
      <c r="T509" s="15"/>
      <c r="U509" s="161"/>
      <c r="AE509" s="15"/>
      <c r="AF509" s="15"/>
    </row>
    <row r="510" ht="15.0" customHeight="1">
      <c r="A510" s="176"/>
      <c r="F510" s="183" t="str">
        <f t="shared" si="1"/>
        <v/>
      </c>
      <c r="H510" s="5"/>
      <c r="I510" s="5"/>
      <c r="J510" s="5"/>
      <c r="N510" s="177"/>
      <c r="P510" s="15"/>
      <c r="Q510" s="178"/>
      <c r="R510" s="15"/>
      <c r="S510" s="15"/>
      <c r="T510" s="15"/>
      <c r="U510" s="161"/>
      <c r="AE510" s="15"/>
      <c r="AF510" s="15"/>
    </row>
    <row r="511" ht="15.0" customHeight="1">
      <c r="A511" s="176"/>
      <c r="F511" s="183" t="str">
        <f t="shared" si="1"/>
        <v/>
      </c>
      <c r="H511" s="5"/>
      <c r="I511" s="5"/>
      <c r="J511" s="5"/>
      <c r="N511" s="177"/>
      <c r="P511" s="15"/>
      <c r="Q511" s="178"/>
      <c r="R511" s="15"/>
      <c r="S511" s="15"/>
      <c r="T511" s="15"/>
      <c r="U511" s="161"/>
      <c r="AE511" s="15"/>
      <c r="AF511" s="15"/>
    </row>
    <row r="512" ht="15.0" customHeight="1">
      <c r="A512" s="176"/>
      <c r="H512" s="5"/>
      <c r="I512" s="5"/>
      <c r="J512" s="5"/>
      <c r="N512" s="177"/>
      <c r="P512" s="15"/>
      <c r="Q512" s="178"/>
      <c r="R512" s="15"/>
      <c r="S512" s="15"/>
      <c r="T512" s="15"/>
      <c r="U512" s="161"/>
      <c r="AE512" s="15"/>
      <c r="AF512" s="15"/>
    </row>
    <row r="513" ht="15.0" customHeight="1">
      <c r="A513" s="176"/>
      <c r="H513" s="5"/>
      <c r="I513" s="5"/>
      <c r="J513" s="5"/>
      <c r="N513" s="177"/>
      <c r="P513" s="15"/>
      <c r="Q513" s="178"/>
      <c r="R513" s="15"/>
      <c r="S513" s="15"/>
      <c r="T513" s="15"/>
      <c r="U513" s="161"/>
      <c r="AE513" s="15"/>
      <c r="AF513" s="15"/>
    </row>
    <row r="514" ht="15.0" customHeight="1">
      <c r="A514" s="176"/>
      <c r="H514" s="5"/>
      <c r="I514" s="5"/>
      <c r="J514" s="5"/>
      <c r="N514" s="177"/>
      <c r="P514" s="15"/>
      <c r="Q514" s="178"/>
      <c r="R514" s="15"/>
      <c r="S514" s="15"/>
      <c r="T514" s="15"/>
      <c r="U514" s="161"/>
      <c r="AE514" s="15"/>
      <c r="AF514" s="15"/>
    </row>
    <row r="515" ht="15.0" customHeight="1">
      <c r="A515" s="176"/>
      <c r="H515" s="5"/>
      <c r="I515" s="5"/>
      <c r="J515" s="5"/>
      <c r="N515" s="177"/>
      <c r="P515" s="15"/>
      <c r="Q515" s="178"/>
      <c r="R515" s="15"/>
      <c r="S515" s="15"/>
      <c r="T515" s="15"/>
      <c r="U515" s="161"/>
      <c r="AE515" s="15"/>
      <c r="AF515" s="15"/>
    </row>
    <row r="516" ht="15.0" customHeight="1">
      <c r="A516" s="176"/>
      <c r="H516" s="5"/>
      <c r="I516" s="5"/>
      <c r="J516" s="5"/>
      <c r="N516" s="177"/>
      <c r="P516" s="15"/>
      <c r="Q516" s="178"/>
      <c r="R516" s="15"/>
      <c r="S516" s="15"/>
      <c r="T516" s="15"/>
      <c r="U516" s="161"/>
      <c r="AE516" s="15"/>
      <c r="AF516" s="15"/>
    </row>
    <row r="517" ht="15.0" customHeight="1">
      <c r="A517" s="176"/>
      <c r="H517" s="5"/>
      <c r="I517" s="5"/>
      <c r="J517" s="5"/>
      <c r="N517" s="177"/>
      <c r="P517" s="15"/>
      <c r="Q517" s="178"/>
      <c r="R517" s="15"/>
      <c r="S517" s="15"/>
      <c r="T517" s="15"/>
      <c r="U517" s="161"/>
      <c r="AE517" s="15"/>
      <c r="AF517" s="15"/>
    </row>
    <row r="518" ht="15.0" customHeight="1">
      <c r="A518" s="176"/>
      <c r="H518" s="5"/>
      <c r="I518" s="5"/>
      <c r="J518" s="5"/>
      <c r="N518" s="177"/>
      <c r="P518" s="15"/>
      <c r="Q518" s="178"/>
      <c r="R518" s="15"/>
      <c r="S518" s="15"/>
      <c r="T518" s="15"/>
      <c r="U518" s="161"/>
      <c r="AE518" s="15"/>
      <c r="AF518" s="15"/>
    </row>
    <row r="519" ht="15.0" customHeight="1">
      <c r="A519" s="176"/>
      <c r="H519" s="5"/>
      <c r="I519" s="5"/>
      <c r="J519" s="5"/>
      <c r="N519" s="177"/>
      <c r="P519" s="15"/>
      <c r="Q519" s="178"/>
      <c r="R519" s="15"/>
      <c r="S519" s="15"/>
      <c r="T519" s="15"/>
      <c r="U519" s="161"/>
      <c r="AE519" s="15"/>
      <c r="AF519" s="15"/>
    </row>
    <row r="520" ht="15.0" customHeight="1">
      <c r="A520" s="176"/>
      <c r="H520" s="5"/>
      <c r="I520" s="5"/>
      <c r="J520" s="5"/>
      <c r="N520" s="177"/>
      <c r="P520" s="15"/>
      <c r="Q520" s="178"/>
      <c r="R520" s="15"/>
      <c r="S520" s="15"/>
      <c r="T520" s="15"/>
      <c r="U520" s="161"/>
      <c r="AE520" s="15"/>
      <c r="AF520" s="15"/>
    </row>
    <row r="521" ht="15.0" customHeight="1">
      <c r="A521" s="176"/>
      <c r="H521" s="5"/>
      <c r="I521" s="5"/>
      <c r="J521" s="5"/>
      <c r="N521" s="177"/>
      <c r="P521" s="15"/>
      <c r="Q521" s="178"/>
      <c r="R521" s="15"/>
      <c r="S521" s="15"/>
      <c r="T521" s="15"/>
      <c r="U521" s="161"/>
      <c r="AE521" s="15"/>
      <c r="AF521" s="15"/>
    </row>
    <row r="522" ht="15.0" customHeight="1">
      <c r="A522" s="176"/>
      <c r="H522" s="5"/>
      <c r="I522" s="5"/>
      <c r="J522" s="5"/>
      <c r="N522" s="177"/>
      <c r="P522" s="15"/>
      <c r="Q522" s="178"/>
      <c r="R522" s="15"/>
      <c r="S522" s="15"/>
      <c r="T522" s="15"/>
      <c r="U522" s="161"/>
      <c r="AE522" s="15"/>
      <c r="AF522" s="15"/>
    </row>
    <row r="523" ht="15.0" customHeight="1">
      <c r="A523" s="176"/>
      <c r="H523" s="5"/>
      <c r="I523" s="5"/>
      <c r="J523" s="5"/>
      <c r="N523" s="177"/>
      <c r="P523" s="15"/>
      <c r="Q523" s="178"/>
      <c r="R523" s="15"/>
      <c r="S523" s="15"/>
      <c r="T523" s="15"/>
      <c r="U523" s="161"/>
      <c r="AE523" s="15"/>
      <c r="AF523" s="15"/>
    </row>
    <row r="524" ht="15.0" customHeight="1">
      <c r="A524" s="176"/>
      <c r="H524" s="5"/>
      <c r="I524" s="5"/>
      <c r="J524" s="5"/>
      <c r="N524" s="177"/>
      <c r="P524" s="15"/>
      <c r="Q524" s="178"/>
      <c r="R524" s="15"/>
      <c r="S524" s="15"/>
      <c r="T524" s="15"/>
      <c r="U524" s="161"/>
      <c r="AE524" s="15"/>
      <c r="AF524" s="15"/>
    </row>
    <row r="525" ht="15.0" customHeight="1">
      <c r="A525" s="176"/>
      <c r="H525" s="5"/>
      <c r="I525" s="5"/>
      <c r="J525" s="5"/>
      <c r="N525" s="177"/>
      <c r="P525" s="15"/>
      <c r="Q525" s="178"/>
      <c r="R525" s="15"/>
      <c r="S525" s="15"/>
      <c r="T525" s="15"/>
      <c r="U525" s="161"/>
      <c r="AE525" s="15"/>
      <c r="AF525" s="15"/>
    </row>
    <row r="526" ht="15.0" customHeight="1">
      <c r="A526" s="176"/>
      <c r="H526" s="5"/>
      <c r="I526" s="5"/>
      <c r="J526" s="5"/>
      <c r="N526" s="177"/>
      <c r="P526" s="15"/>
      <c r="Q526" s="178"/>
      <c r="R526" s="15"/>
      <c r="S526" s="15"/>
      <c r="T526" s="15"/>
      <c r="U526" s="161"/>
      <c r="AE526" s="15"/>
      <c r="AF526" s="15"/>
    </row>
    <row r="527" ht="15.0" customHeight="1">
      <c r="A527" s="176"/>
      <c r="H527" s="5"/>
      <c r="I527" s="5"/>
      <c r="J527" s="5"/>
      <c r="N527" s="177"/>
      <c r="P527" s="15"/>
      <c r="Q527" s="178"/>
      <c r="R527" s="15"/>
      <c r="S527" s="15"/>
      <c r="T527" s="15"/>
      <c r="U527" s="161"/>
      <c r="AE527" s="15"/>
      <c r="AF527" s="15"/>
    </row>
    <row r="528" ht="15.0" customHeight="1">
      <c r="A528" s="176"/>
      <c r="H528" s="5"/>
      <c r="I528" s="5"/>
      <c r="J528" s="5"/>
      <c r="N528" s="177"/>
      <c r="P528" s="15"/>
      <c r="Q528" s="178"/>
      <c r="R528" s="15"/>
      <c r="S528" s="15"/>
      <c r="T528" s="15"/>
      <c r="U528" s="161"/>
      <c r="AE528" s="15"/>
      <c r="AF528" s="15"/>
    </row>
    <row r="529" ht="15.0" customHeight="1">
      <c r="A529" s="176"/>
      <c r="H529" s="5"/>
      <c r="I529" s="5"/>
      <c r="J529" s="5"/>
      <c r="N529" s="177"/>
      <c r="P529" s="15"/>
      <c r="Q529" s="178"/>
      <c r="R529" s="15"/>
      <c r="S529" s="15"/>
      <c r="T529" s="15"/>
      <c r="U529" s="161"/>
      <c r="AE529" s="15"/>
      <c r="AF529" s="15"/>
    </row>
    <row r="530" ht="15.0" customHeight="1">
      <c r="A530" s="176"/>
      <c r="H530" s="5"/>
      <c r="I530" s="5"/>
      <c r="J530" s="5"/>
      <c r="N530" s="177"/>
      <c r="P530" s="15"/>
      <c r="Q530" s="178"/>
      <c r="R530" s="15"/>
      <c r="S530" s="15"/>
      <c r="T530" s="15"/>
      <c r="U530" s="161"/>
      <c r="AE530" s="15"/>
      <c r="AF530" s="15"/>
    </row>
    <row r="531" ht="15.0" customHeight="1">
      <c r="A531" s="176"/>
      <c r="H531" s="5"/>
      <c r="I531" s="5"/>
      <c r="J531" s="5"/>
      <c r="N531" s="177"/>
      <c r="P531" s="15"/>
      <c r="Q531" s="178"/>
      <c r="R531" s="15"/>
      <c r="S531" s="15"/>
      <c r="T531" s="15"/>
      <c r="U531" s="161"/>
      <c r="AE531" s="15"/>
      <c r="AF531" s="15"/>
    </row>
    <row r="532" ht="15.0" customHeight="1">
      <c r="A532" s="176"/>
      <c r="H532" s="5"/>
      <c r="I532" s="5"/>
      <c r="J532" s="5"/>
      <c r="N532" s="177"/>
      <c r="P532" s="15"/>
      <c r="Q532" s="178"/>
      <c r="R532" s="15"/>
      <c r="S532" s="15"/>
      <c r="T532" s="15"/>
      <c r="U532" s="161"/>
      <c r="AE532" s="15"/>
      <c r="AF532" s="15"/>
    </row>
    <row r="533" ht="15.0" customHeight="1">
      <c r="A533" s="176"/>
      <c r="H533" s="5"/>
      <c r="I533" s="5"/>
      <c r="J533" s="5"/>
      <c r="N533" s="177"/>
      <c r="P533" s="15"/>
      <c r="Q533" s="178"/>
      <c r="R533" s="15"/>
      <c r="S533" s="15"/>
      <c r="T533" s="15"/>
      <c r="U533" s="161"/>
      <c r="AE533" s="15"/>
      <c r="AF533" s="15"/>
    </row>
    <row r="534" ht="15.0" customHeight="1">
      <c r="A534" s="176"/>
      <c r="H534" s="5"/>
      <c r="I534" s="5"/>
      <c r="J534" s="5"/>
      <c r="N534" s="177"/>
      <c r="P534" s="15"/>
      <c r="Q534" s="178"/>
      <c r="R534" s="15"/>
      <c r="S534" s="15"/>
      <c r="T534" s="15"/>
      <c r="U534" s="161"/>
      <c r="AE534" s="15"/>
      <c r="AF534" s="15"/>
    </row>
    <row r="535" ht="15.0" customHeight="1">
      <c r="A535" s="176"/>
      <c r="H535" s="5"/>
      <c r="I535" s="5"/>
      <c r="J535" s="5"/>
      <c r="N535" s="177"/>
      <c r="P535" s="15"/>
      <c r="Q535" s="178"/>
      <c r="R535" s="15"/>
      <c r="S535" s="15"/>
      <c r="T535" s="15"/>
      <c r="U535" s="161"/>
      <c r="AE535" s="15"/>
      <c r="AF535" s="15"/>
    </row>
    <row r="536" ht="15.0" customHeight="1">
      <c r="A536" s="176"/>
      <c r="H536" s="5"/>
      <c r="I536" s="5"/>
      <c r="J536" s="5"/>
      <c r="N536" s="177"/>
      <c r="P536" s="15"/>
      <c r="Q536" s="178"/>
      <c r="R536" s="15"/>
      <c r="S536" s="15"/>
      <c r="T536" s="15"/>
      <c r="U536" s="161"/>
      <c r="AE536" s="15"/>
      <c r="AF536" s="15"/>
    </row>
    <row r="537" ht="15.0" customHeight="1">
      <c r="A537" s="176"/>
      <c r="H537" s="5"/>
      <c r="I537" s="5"/>
      <c r="J537" s="5"/>
      <c r="N537" s="177"/>
      <c r="P537" s="15"/>
      <c r="Q537" s="178"/>
      <c r="R537" s="15"/>
      <c r="S537" s="15"/>
      <c r="T537" s="15"/>
      <c r="U537" s="161"/>
      <c r="AE537" s="15"/>
      <c r="AF537" s="15"/>
    </row>
    <row r="538" ht="15.0" customHeight="1">
      <c r="A538" s="176"/>
      <c r="H538" s="5"/>
      <c r="I538" s="5"/>
      <c r="J538" s="5"/>
      <c r="N538" s="177"/>
      <c r="P538" s="15"/>
      <c r="Q538" s="178"/>
      <c r="R538" s="15"/>
      <c r="S538" s="15"/>
      <c r="T538" s="15"/>
      <c r="U538" s="161"/>
      <c r="AE538" s="15"/>
      <c r="AF538" s="15"/>
    </row>
    <row r="539" ht="15.0" customHeight="1">
      <c r="A539" s="176"/>
      <c r="H539" s="5"/>
      <c r="I539" s="5"/>
      <c r="J539" s="5"/>
      <c r="N539" s="177"/>
      <c r="P539" s="15"/>
      <c r="Q539" s="178"/>
      <c r="R539" s="15"/>
      <c r="S539" s="15"/>
      <c r="T539" s="15"/>
      <c r="U539" s="161"/>
      <c r="AE539" s="15"/>
      <c r="AF539" s="15"/>
    </row>
    <row r="540" ht="15.0" customHeight="1">
      <c r="A540" s="176"/>
      <c r="H540" s="5"/>
      <c r="I540" s="5"/>
      <c r="J540" s="5"/>
      <c r="N540" s="177"/>
      <c r="P540" s="15"/>
      <c r="Q540" s="178"/>
      <c r="R540" s="15"/>
      <c r="S540" s="15"/>
      <c r="T540" s="15"/>
      <c r="U540" s="161"/>
      <c r="AE540" s="15"/>
      <c r="AF540" s="15"/>
    </row>
    <row r="541" ht="15.0" customHeight="1">
      <c r="A541" s="176"/>
      <c r="H541" s="5"/>
      <c r="I541" s="5"/>
      <c r="J541" s="5"/>
      <c r="N541" s="177"/>
      <c r="P541" s="15"/>
      <c r="Q541" s="178"/>
      <c r="R541" s="15"/>
      <c r="S541" s="15"/>
      <c r="T541" s="15"/>
      <c r="U541" s="161"/>
      <c r="AE541" s="15"/>
      <c r="AF541" s="15"/>
    </row>
    <row r="542" ht="15.0" customHeight="1">
      <c r="A542" s="176"/>
      <c r="H542" s="5"/>
      <c r="I542" s="5"/>
      <c r="J542" s="5"/>
      <c r="N542" s="177"/>
      <c r="P542" s="15"/>
      <c r="Q542" s="178"/>
      <c r="R542" s="15"/>
      <c r="S542" s="15"/>
      <c r="T542" s="15"/>
      <c r="U542" s="161"/>
      <c r="AE542" s="15"/>
      <c r="AF542" s="15"/>
    </row>
    <row r="543" ht="15.0" customHeight="1">
      <c r="A543" s="176"/>
      <c r="H543" s="5"/>
      <c r="I543" s="5"/>
      <c r="J543" s="5"/>
      <c r="N543" s="177"/>
      <c r="P543" s="15"/>
      <c r="Q543" s="178"/>
      <c r="R543" s="15"/>
      <c r="S543" s="15"/>
      <c r="T543" s="15"/>
      <c r="U543" s="161"/>
      <c r="AE543" s="15"/>
      <c r="AF543" s="15"/>
    </row>
    <row r="544" ht="15.0" customHeight="1">
      <c r="A544" s="176"/>
      <c r="H544" s="5"/>
      <c r="I544" s="5"/>
      <c r="J544" s="5"/>
      <c r="N544" s="177"/>
      <c r="P544" s="15"/>
      <c r="Q544" s="178"/>
      <c r="R544" s="15"/>
      <c r="S544" s="15"/>
      <c r="T544" s="15"/>
      <c r="U544" s="161"/>
      <c r="AE544" s="15"/>
      <c r="AF544" s="15"/>
    </row>
    <row r="545" ht="15.0" customHeight="1">
      <c r="A545" s="176"/>
      <c r="H545" s="5"/>
      <c r="I545" s="5"/>
      <c r="J545" s="5"/>
      <c r="N545" s="177"/>
      <c r="P545" s="15"/>
      <c r="Q545" s="178"/>
      <c r="R545" s="15"/>
      <c r="S545" s="15"/>
      <c r="T545" s="15"/>
      <c r="U545" s="161"/>
      <c r="AE545" s="15"/>
      <c r="AF545" s="15"/>
    </row>
    <row r="546" ht="15.0" customHeight="1">
      <c r="A546" s="176"/>
      <c r="H546" s="5"/>
      <c r="I546" s="5"/>
      <c r="J546" s="5"/>
      <c r="N546" s="177"/>
      <c r="P546" s="15"/>
      <c r="Q546" s="178"/>
      <c r="R546" s="15"/>
      <c r="S546" s="15"/>
      <c r="T546" s="15"/>
      <c r="U546" s="161"/>
      <c r="AE546" s="15"/>
      <c r="AF546" s="15"/>
    </row>
    <row r="547" ht="15.0" customHeight="1">
      <c r="A547" s="176"/>
      <c r="H547" s="5"/>
      <c r="I547" s="5"/>
      <c r="J547" s="5"/>
      <c r="N547" s="177"/>
      <c r="P547" s="15"/>
      <c r="Q547" s="178"/>
      <c r="R547" s="15"/>
      <c r="S547" s="15"/>
      <c r="T547" s="15"/>
      <c r="U547" s="161"/>
      <c r="AE547" s="15"/>
      <c r="AF547" s="15"/>
    </row>
    <row r="548" ht="15.0" customHeight="1">
      <c r="A548" s="176"/>
      <c r="H548" s="5"/>
      <c r="I548" s="5"/>
      <c r="J548" s="5"/>
      <c r="N548" s="177"/>
      <c r="P548" s="15"/>
      <c r="Q548" s="178"/>
      <c r="R548" s="15"/>
      <c r="S548" s="15"/>
      <c r="T548" s="15"/>
      <c r="U548" s="161"/>
      <c r="AE548" s="15"/>
      <c r="AF548" s="15"/>
    </row>
    <row r="549" ht="15.0" customHeight="1">
      <c r="A549" s="176"/>
      <c r="H549" s="5"/>
      <c r="I549" s="5"/>
      <c r="J549" s="5"/>
      <c r="N549" s="177"/>
      <c r="P549" s="15"/>
      <c r="Q549" s="178"/>
      <c r="R549" s="15"/>
      <c r="S549" s="15"/>
      <c r="T549" s="15"/>
      <c r="U549" s="161"/>
      <c r="AE549" s="15"/>
      <c r="AF549" s="15"/>
    </row>
    <row r="550" ht="15.0" customHeight="1">
      <c r="A550" s="176"/>
      <c r="H550" s="5"/>
      <c r="I550" s="5"/>
      <c r="J550" s="5"/>
      <c r="N550" s="177"/>
      <c r="P550" s="15"/>
      <c r="Q550" s="178"/>
      <c r="R550" s="15"/>
      <c r="S550" s="15"/>
      <c r="T550" s="15"/>
      <c r="U550" s="161"/>
      <c r="AE550" s="15"/>
      <c r="AF550" s="15"/>
    </row>
    <row r="551" ht="15.0" customHeight="1">
      <c r="A551" s="176"/>
      <c r="H551" s="5"/>
      <c r="I551" s="5"/>
      <c r="J551" s="5"/>
      <c r="N551" s="177"/>
      <c r="P551" s="15"/>
      <c r="Q551" s="178"/>
      <c r="R551" s="15"/>
      <c r="S551" s="15"/>
      <c r="T551" s="15"/>
      <c r="U551" s="161"/>
      <c r="AE551" s="15"/>
      <c r="AF551" s="15"/>
    </row>
    <row r="552" ht="15.0" customHeight="1">
      <c r="A552" s="176"/>
      <c r="H552" s="5"/>
      <c r="I552" s="5"/>
      <c r="J552" s="5"/>
      <c r="N552" s="177"/>
      <c r="P552" s="15"/>
      <c r="Q552" s="178"/>
      <c r="R552" s="15"/>
      <c r="S552" s="15"/>
      <c r="T552" s="15"/>
      <c r="U552" s="161"/>
      <c r="AE552" s="15"/>
      <c r="AF552" s="15"/>
    </row>
    <row r="553" ht="15.0" customHeight="1">
      <c r="A553" s="176"/>
      <c r="H553" s="5"/>
      <c r="I553" s="5"/>
      <c r="J553" s="5"/>
      <c r="N553" s="177"/>
      <c r="P553" s="15"/>
      <c r="Q553" s="178"/>
      <c r="R553" s="15"/>
      <c r="S553" s="15"/>
      <c r="T553" s="15"/>
      <c r="U553" s="161"/>
      <c r="AE553" s="15"/>
      <c r="AF553" s="15"/>
    </row>
    <row r="554" ht="15.0" customHeight="1">
      <c r="A554" s="176"/>
      <c r="H554" s="5"/>
      <c r="I554" s="5"/>
      <c r="J554" s="5"/>
      <c r="N554" s="177"/>
      <c r="P554" s="15"/>
      <c r="Q554" s="178"/>
      <c r="R554" s="15"/>
      <c r="S554" s="15"/>
      <c r="T554" s="15"/>
      <c r="U554" s="161"/>
      <c r="AE554" s="15"/>
      <c r="AF554" s="15"/>
    </row>
    <row r="555" ht="15.0" customHeight="1">
      <c r="A555" s="176"/>
      <c r="H555" s="5"/>
      <c r="I555" s="5"/>
      <c r="J555" s="5"/>
      <c r="N555" s="177"/>
      <c r="P555" s="15"/>
      <c r="Q555" s="178"/>
      <c r="R555" s="15"/>
      <c r="S555" s="15"/>
      <c r="T555" s="15"/>
      <c r="U555" s="161"/>
      <c r="AE555" s="15"/>
      <c r="AF555" s="15"/>
    </row>
    <row r="556" ht="15.0" customHeight="1">
      <c r="A556" s="176"/>
      <c r="H556" s="5"/>
      <c r="I556" s="5"/>
      <c r="J556" s="5"/>
      <c r="N556" s="177"/>
      <c r="P556" s="15"/>
      <c r="Q556" s="178"/>
      <c r="R556" s="15"/>
      <c r="S556" s="15"/>
      <c r="T556" s="15"/>
      <c r="U556" s="161"/>
      <c r="AE556" s="15"/>
      <c r="AF556" s="15"/>
    </row>
    <row r="557" ht="15.0" customHeight="1">
      <c r="A557" s="176"/>
      <c r="H557" s="5"/>
      <c r="I557" s="5"/>
      <c r="J557" s="5"/>
      <c r="N557" s="177"/>
      <c r="P557" s="15"/>
      <c r="Q557" s="178"/>
      <c r="R557" s="15"/>
      <c r="S557" s="15"/>
      <c r="T557" s="15"/>
      <c r="U557" s="161"/>
      <c r="AE557" s="15"/>
      <c r="AF557" s="15"/>
    </row>
    <row r="558" ht="15.0" customHeight="1">
      <c r="A558" s="176"/>
      <c r="H558" s="5"/>
      <c r="I558" s="5"/>
      <c r="J558" s="5"/>
      <c r="N558" s="177"/>
      <c r="P558" s="15"/>
      <c r="Q558" s="178"/>
      <c r="R558" s="15"/>
      <c r="S558" s="15"/>
      <c r="T558" s="15"/>
      <c r="U558" s="161"/>
      <c r="AE558" s="15"/>
      <c r="AF558" s="15"/>
    </row>
    <row r="559" ht="15.0" customHeight="1">
      <c r="A559" s="176"/>
      <c r="H559" s="5"/>
      <c r="I559" s="5"/>
      <c r="J559" s="5"/>
      <c r="N559" s="177"/>
      <c r="P559" s="15"/>
      <c r="Q559" s="178"/>
      <c r="R559" s="15"/>
      <c r="S559" s="15"/>
      <c r="T559" s="15"/>
      <c r="U559" s="161"/>
      <c r="AE559" s="15"/>
      <c r="AF559" s="15"/>
    </row>
    <row r="560" ht="15.0" customHeight="1">
      <c r="A560" s="176"/>
      <c r="H560" s="5"/>
      <c r="I560" s="5"/>
      <c r="J560" s="5"/>
      <c r="N560" s="177"/>
      <c r="P560" s="15"/>
      <c r="Q560" s="178"/>
      <c r="R560" s="15"/>
      <c r="S560" s="15"/>
      <c r="T560" s="15"/>
      <c r="U560" s="161"/>
      <c r="AE560" s="15"/>
      <c r="AF560" s="15"/>
    </row>
    <row r="561" ht="15.0" customHeight="1">
      <c r="A561" s="176"/>
      <c r="H561" s="5"/>
      <c r="I561" s="5"/>
      <c r="J561" s="5"/>
      <c r="N561" s="177"/>
      <c r="P561" s="15"/>
      <c r="Q561" s="178"/>
      <c r="R561" s="15"/>
      <c r="S561" s="15"/>
      <c r="T561" s="15"/>
      <c r="U561" s="161"/>
      <c r="AE561" s="15"/>
      <c r="AF561" s="15"/>
    </row>
    <row r="562" ht="15.0" customHeight="1">
      <c r="A562" s="176"/>
      <c r="H562" s="5"/>
      <c r="I562" s="5"/>
      <c r="J562" s="5"/>
      <c r="N562" s="177"/>
      <c r="P562" s="15"/>
      <c r="Q562" s="178"/>
      <c r="R562" s="15"/>
      <c r="S562" s="15"/>
      <c r="T562" s="15"/>
      <c r="U562" s="161"/>
      <c r="AE562" s="15"/>
      <c r="AF562" s="15"/>
    </row>
    <row r="563" ht="15.0" customHeight="1">
      <c r="A563" s="176"/>
      <c r="H563" s="5"/>
      <c r="I563" s="5"/>
      <c r="J563" s="5"/>
      <c r="N563" s="177"/>
      <c r="P563" s="15"/>
      <c r="Q563" s="178"/>
      <c r="R563" s="15"/>
      <c r="S563" s="15"/>
      <c r="T563" s="15"/>
      <c r="U563" s="161"/>
      <c r="AE563" s="15"/>
      <c r="AF563" s="15"/>
    </row>
    <row r="564" ht="15.0" customHeight="1">
      <c r="A564" s="176"/>
      <c r="H564" s="5"/>
      <c r="I564" s="5"/>
      <c r="J564" s="5"/>
      <c r="N564" s="177"/>
      <c r="P564" s="15"/>
      <c r="Q564" s="178"/>
      <c r="R564" s="15"/>
      <c r="S564" s="15"/>
      <c r="T564" s="15"/>
      <c r="U564" s="161"/>
      <c r="AE564" s="15"/>
      <c r="AF564" s="15"/>
    </row>
    <row r="565" ht="15.0" customHeight="1">
      <c r="A565" s="176"/>
      <c r="H565" s="5"/>
      <c r="I565" s="5"/>
      <c r="J565" s="5"/>
      <c r="N565" s="177"/>
      <c r="P565" s="15"/>
      <c r="Q565" s="178"/>
      <c r="R565" s="15"/>
      <c r="S565" s="15"/>
      <c r="T565" s="15"/>
      <c r="U565" s="161"/>
      <c r="AE565" s="15"/>
      <c r="AF565" s="15"/>
    </row>
    <row r="566" ht="15.0" customHeight="1">
      <c r="A566" s="176"/>
      <c r="H566" s="5"/>
      <c r="I566" s="5"/>
      <c r="J566" s="5"/>
      <c r="N566" s="177"/>
      <c r="P566" s="15"/>
      <c r="Q566" s="178"/>
      <c r="R566" s="15"/>
      <c r="S566" s="15"/>
      <c r="T566" s="15"/>
      <c r="U566" s="161"/>
      <c r="AE566" s="15"/>
      <c r="AF566" s="15"/>
    </row>
    <row r="567" ht="15.0" customHeight="1">
      <c r="A567" s="176"/>
      <c r="H567" s="5"/>
      <c r="I567" s="5"/>
      <c r="J567" s="5"/>
      <c r="N567" s="177"/>
      <c r="P567" s="15"/>
      <c r="Q567" s="178"/>
      <c r="R567" s="15"/>
      <c r="S567" s="15"/>
      <c r="T567" s="15"/>
      <c r="U567" s="161"/>
      <c r="AE567" s="15"/>
      <c r="AF567" s="15"/>
    </row>
    <row r="568" ht="15.0" customHeight="1">
      <c r="A568" s="176"/>
      <c r="H568" s="5"/>
      <c r="I568" s="5"/>
      <c r="J568" s="5"/>
      <c r="N568" s="177"/>
      <c r="P568" s="15"/>
      <c r="Q568" s="178"/>
      <c r="R568" s="15"/>
      <c r="S568" s="15"/>
      <c r="T568" s="15"/>
      <c r="U568" s="161"/>
      <c r="AE568" s="15"/>
      <c r="AF568" s="15"/>
    </row>
    <row r="569" ht="15.0" customHeight="1">
      <c r="A569" s="176"/>
      <c r="H569" s="5"/>
      <c r="I569" s="5"/>
      <c r="J569" s="5"/>
      <c r="N569" s="177"/>
      <c r="P569" s="15"/>
      <c r="Q569" s="178"/>
      <c r="R569" s="15"/>
      <c r="S569" s="15"/>
      <c r="T569" s="15"/>
      <c r="U569" s="161"/>
      <c r="AE569" s="15"/>
      <c r="AF569" s="15"/>
    </row>
    <row r="570" ht="15.0" customHeight="1">
      <c r="A570" s="176"/>
      <c r="H570" s="5"/>
      <c r="I570" s="5"/>
      <c r="J570" s="5"/>
      <c r="N570" s="177"/>
      <c r="P570" s="15"/>
      <c r="Q570" s="178"/>
      <c r="R570" s="15"/>
      <c r="S570" s="15"/>
      <c r="T570" s="15"/>
      <c r="U570" s="161"/>
      <c r="AE570" s="15"/>
      <c r="AF570" s="15"/>
    </row>
    <row r="571" ht="15.0" customHeight="1">
      <c r="A571" s="176"/>
      <c r="H571" s="5"/>
      <c r="I571" s="5"/>
      <c r="J571" s="5"/>
      <c r="N571" s="177"/>
      <c r="P571" s="15"/>
      <c r="Q571" s="178"/>
      <c r="R571" s="15"/>
      <c r="S571" s="15"/>
      <c r="T571" s="15"/>
      <c r="U571" s="161"/>
      <c r="AE571" s="15"/>
      <c r="AF571" s="15"/>
    </row>
    <row r="572" ht="15.0" customHeight="1">
      <c r="A572" s="176"/>
      <c r="H572" s="5"/>
      <c r="I572" s="5"/>
      <c r="J572" s="5"/>
      <c r="N572" s="177"/>
      <c r="P572" s="15"/>
      <c r="Q572" s="178"/>
      <c r="R572" s="15"/>
      <c r="S572" s="15"/>
      <c r="T572" s="15"/>
      <c r="U572" s="161"/>
      <c r="AE572" s="15"/>
      <c r="AF572" s="15"/>
    </row>
    <row r="573" ht="15.0" customHeight="1">
      <c r="A573" s="176"/>
      <c r="H573" s="5"/>
      <c r="I573" s="5"/>
      <c r="J573" s="5"/>
      <c r="N573" s="177"/>
      <c r="P573" s="15"/>
      <c r="Q573" s="178"/>
      <c r="R573" s="15"/>
      <c r="S573" s="15"/>
      <c r="T573" s="15"/>
      <c r="U573" s="161"/>
      <c r="AE573" s="15"/>
      <c r="AF573" s="15"/>
    </row>
    <row r="574" ht="15.0" customHeight="1">
      <c r="A574" s="176"/>
      <c r="H574" s="5"/>
      <c r="I574" s="5"/>
      <c r="J574" s="5"/>
      <c r="N574" s="177"/>
      <c r="P574" s="15"/>
      <c r="Q574" s="178"/>
      <c r="R574" s="15"/>
      <c r="S574" s="15"/>
      <c r="T574" s="15"/>
      <c r="U574" s="161"/>
      <c r="AE574" s="15"/>
      <c r="AF574" s="15"/>
    </row>
    <row r="575" ht="15.0" customHeight="1">
      <c r="A575" s="176"/>
      <c r="H575" s="5"/>
      <c r="I575" s="5"/>
      <c r="J575" s="5"/>
      <c r="N575" s="177"/>
      <c r="P575" s="15"/>
      <c r="Q575" s="178"/>
      <c r="R575" s="15"/>
      <c r="S575" s="15"/>
      <c r="T575" s="15"/>
      <c r="U575" s="161"/>
      <c r="AE575" s="15"/>
      <c r="AF575" s="15"/>
    </row>
    <row r="576" ht="15.0" customHeight="1">
      <c r="A576" s="176"/>
      <c r="H576" s="5"/>
      <c r="I576" s="5"/>
      <c r="J576" s="5"/>
      <c r="N576" s="177"/>
      <c r="P576" s="15"/>
      <c r="Q576" s="178"/>
      <c r="R576" s="15"/>
      <c r="S576" s="15"/>
      <c r="T576" s="15"/>
      <c r="U576" s="161"/>
      <c r="AE576" s="15"/>
      <c r="AF576" s="15"/>
    </row>
    <row r="577" ht="15.0" customHeight="1">
      <c r="A577" s="176"/>
      <c r="H577" s="5"/>
      <c r="I577" s="5"/>
      <c r="J577" s="5"/>
      <c r="N577" s="177"/>
      <c r="P577" s="15"/>
      <c r="Q577" s="178"/>
      <c r="R577" s="15"/>
      <c r="S577" s="15"/>
      <c r="T577" s="15"/>
      <c r="U577" s="161"/>
      <c r="AE577" s="15"/>
      <c r="AF577" s="15"/>
    </row>
    <row r="578" ht="15.0" customHeight="1">
      <c r="A578" s="176"/>
      <c r="H578" s="5"/>
      <c r="I578" s="5"/>
      <c r="J578" s="5"/>
      <c r="N578" s="177"/>
      <c r="P578" s="15"/>
      <c r="Q578" s="178"/>
      <c r="R578" s="15"/>
      <c r="S578" s="15"/>
      <c r="T578" s="15"/>
      <c r="U578" s="161"/>
      <c r="AE578" s="15"/>
      <c r="AF578" s="15"/>
    </row>
    <row r="579" ht="15.0" customHeight="1">
      <c r="A579" s="176"/>
      <c r="H579" s="5"/>
      <c r="I579" s="5"/>
      <c r="J579" s="5"/>
      <c r="N579" s="177"/>
      <c r="P579" s="15"/>
      <c r="Q579" s="178"/>
      <c r="R579" s="15"/>
      <c r="S579" s="15"/>
      <c r="T579" s="15"/>
      <c r="U579" s="161"/>
      <c r="AE579" s="15"/>
      <c r="AF579" s="15"/>
    </row>
    <row r="580" ht="15.0" customHeight="1">
      <c r="A580" s="176"/>
      <c r="H580" s="5"/>
      <c r="I580" s="5"/>
      <c r="J580" s="5"/>
      <c r="N580" s="177"/>
      <c r="P580" s="15"/>
      <c r="Q580" s="178"/>
      <c r="R580" s="15"/>
      <c r="S580" s="15"/>
      <c r="T580" s="15"/>
      <c r="U580" s="161"/>
      <c r="AE580" s="15"/>
      <c r="AF580" s="15"/>
    </row>
    <row r="581" ht="15.0" customHeight="1">
      <c r="A581" s="176"/>
      <c r="H581" s="5"/>
      <c r="I581" s="5"/>
      <c r="J581" s="5"/>
      <c r="N581" s="177"/>
      <c r="P581" s="15"/>
      <c r="Q581" s="178"/>
      <c r="R581" s="15"/>
      <c r="S581" s="15"/>
      <c r="T581" s="15"/>
      <c r="U581" s="161"/>
      <c r="AE581" s="15"/>
      <c r="AF581" s="15"/>
    </row>
    <row r="582" ht="15.0" customHeight="1">
      <c r="A582" s="199"/>
      <c r="H582" s="5"/>
      <c r="I582" s="5"/>
      <c r="J582" s="5"/>
      <c r="N582" s="199"/>
      <c r="P582" s="15"/>
      <c r="Q582" s="15"/>
      <c r="R582" s="15"/>
      <c r="S582" s="15"/>
      <c r="T582" s="15"/>
      <c r="U582" s="199"/>
      <c r="AE582" s="15"/>
      <c r="AF582" s="15"/>
    </row>
    <row r="583" ht="15.0" customHeight="1">
      <c r="A583" s="199"/>
      <c r="H583" s="5"/>
      <c r="I583" s="5"/>
      <c r="J583" s="5"/>
      <c r="N583" s="199"/>
      <c r="P583" s="15"/>
      <c r="Q583" s="15"/>
      <c r="R583" s="15"/>
      <c r="S583" s="15"/>
      <c r="T583" s="15"/>
      <c r="U583" s="199"/>
      <c r="AE583" s="15"/>
      <c r="AF583" s="15"/>
    </row>
    <row r="584" ht="15.0" customHeight="1">
      <c r="A584" s="199"/>
      <c r="H584" s="5"/>
      <c r="I584" s="5"/>
      <c r="J584" s="5"/>
      <c r="N584" s="199"/>
      <c r="P584" s="15"/>
      <c r="Q584" s="15"/>
      <c r="R584" s="15"/>
      <c r="S584" s="15"/>
      <c r="T584" s="15"/>
      <c r="U584" s="199"/>
      <c r="AE584" s="15"/>
      <c r="AF584" s="15"/>
    </row>
    <row r="585" ht="15.0" customHeight="1">
      <c r="A585" s="199"/>
      <c r="H585" s="5"/>
      <c r="I585" s="5"/>
      <c r="J585" s="5"/>
      <c r="N585" s="199"/>
      <c r="P585" s="15"/>
      <c r="Q585" s="15"/>
      <c r="R585" s="15"/>
      <c r="S585" s="15"/>
      <c r="T585" s="15"/>
      <c r="U585" s="199"/>
      <c r="AE585" s="15"/>
      <c r="AF585" s="15"/>
    </row>
    <row r="586" ht="15.0" customHeight="1">
      <c r="A586" s="199"/>
      <c r="H586" s="5"/>
      <c r="I586" s="5"/>
      <c r="J586" s="5"/>
      <c r="N586" s="199"/>
      <c r="P586" s="15"/>
      <c r="Q586" s="15"/>
      <c r="R586" s="15"/>
      <c r="S586" s="15"/>
      <c r="T586" s="15"/>
      <c r="U586" s="199"/>
      <c r="AE586" s="15"/>
      <c r="AF586" s="15"/>
    </row>
    <row r="587" ht="15.0" customHeight="1">
      <c r="A587" s="199"/>
      <c r="H587" s="5"/>
      <c r="I587" s="5"/>
      <c r="J587" s="5"/>
      <c r="N587" s="199"/>
      <c r="P587" s="15"/>
      <c r="Q587" s="15"/>
      <c r="R587" s="15"/>
      <c r="S587" s="15"/>
      <c r="T587" s="15"/>
      <c r="U587" s="199"/>
      <c r="AE587" s="15"/>
      <c r="AF587" s="15"/>
    </row>
    <row r="588" ht="15.0" customHeight="1">
      <c r="A588" s="199"/>
      <c r="H588" s="5"/>
      <c r="I588" s="5"/>
      <c r="J588" s="5"/>
      <c r="N588" s="199"/>
      <c r="P588" s="15"/>
      <c r="Q588" s="15"/>
      <c r="R588" s="15"/>
      <c r="S588" s="15"/>
      <c r="T588" s="15"/>
      <c r="U588" s="199"/>
      <c r="AE588" s="15"/>
      <c r="AF588" s="15"/>
    </row>
    <row r="589" ht="15.0" customHeight="1">
      <c r="A589" s="199"/>
      <c r="H589" s="5"/>
      <c r="I589" s="5"/>
      <c r="J589" s="5"/>
      <c r="N589" s="199"/>
      <c r="P589" s="15"/>
      <c r="Q589" s="15"/>
      <c r="R589" s="15"/>
      <c r="S589" s="15"/>
      <c r="T589" s="15"/>
      <c r="U589" s="199"/>
      <c r="AE589" s="15"/>
      <c r="AF589" s="15"/>
    </row>
    <row r="590" ht="15.0" customHeight="1">
      <c r="A590" s="199"/>
      <c r="H590" s="5"/>
      <c r="I590" s="5"/>
      <c r="J590" s="5"/>
      <c r="N590" s="199"/>
      <c r="P590" s="15"/>
      <c r="Q590" s="15"/>
      <c r="R590" s="15"/>
      <c r="S590" s="15"/>
      <c r="T590" s="15"/>
      <c r="U590" s="199"/>
      <c r="AE590" s="15"/>
      <c r="AF590" s="15"/>
    </row>
    <row r="591" ht="15.0" customHeight="1">
      <c r="A591" s="199"/>
      <c r="H591" s="5"/>
      <c r="I591" s="5"/>
      <c r="J591" s="5"/>
      <c r="N591" s="199"/>
      <c r="P591" s="15"/>
      <c r="Q591" s="15"/>
      <c r="R591" s="15"/>
      <c r="S591" s="15"/>
      <c r="T591" s="15"/>
      <c r="U591" s="199"/>
      <c r="AE591" s="15"/>
      <c r="AF591" s="15"/>
    </row>
    <row r="592" ht="15.0" customHeight="1">
      <c r="A592" s="199"/>
      <c r="H592" s="5"/>
      <c r="I592" s="5"/>
      <c r="J592" s="5"/>
      <c r="N592" s="199"/>
      <c r="P592" s="15"/>
      <c r="Q592" s="15"/>
      <c r="R592" s="15"/>
      <c r="S592" s="15"/>
      <c r="T592" s="15"/>
      <c r="U592" s="199"/>
      <c r="AE592" s="15"/>
      <c r="AF592" s="15"/>
    </row>
    <row r="593" ht="15.0" customHeight="1">
      <c r="A593" s="199"/>
      <c r="H593" s="5"/>
      <c r="I593" s="5"/>
      <c r="J593" s="5"/>
      <c r="N593" s="199"/>
      <c r="P593" s="15"/>
      <c r="Q593" s="15"/>
      <c r="R593" s="15"/>
      <c r="S593" s="15"/>
      <c r="T593" s="15"/>
      <c r="U593" s="199"/>
      <c r="AE593" s="15"/>
      <c r="AF593" s="15"/>
    </row>
    <row r="594" ht="15.0" customHeight="1">
      <c r="A594" s="199"/>
      <c r="H594" s="5"/>
      <c r="I594" s="5"/>
      <c r="J594" s="5"/>
      <c r="N594" s="199"/>
      <c r="P594" s="15"/>
      <c r="Q594" s="15"/>
      <c r="R594" s="15"/>
      <c r="S594" s="15"/>
      <c r="T594" s="15"/>
      <c r="U594" s="199"/>
      <c r="AE594" s="15"/>
      <c r="AF594" s="15"/>
    </row>
    <row r="595" ht="15.0" customHeight="1">
      <c r="A595" s="199"/>
      <c r="H595" s="5"/>
      <c r="I595" s="5"/>
      <c r="J595" s="5"/>
      <c r="N595" s="199"/>
      <c r="P595" s="15"/>
      <c r="Q595" s="15"/>
      <c r="R595" s="15"/>
      <c r="S595" s="15"/>
      <c r="T595" s="15"/>
      <c r="U595" s="199"/>
      <c r="AE595" s="15"/>
      <c r="AF595" s="15"/>
    </row>
    <row r="596" ht="15.0" customHeight="1">
      <c r="A596" s="199"/>
      <c r="H596" s="5"/>
      <c r="I596" s="5"/>
      <c r="J596" s="5"/>
      <c r="N596" s="199"/>
      <c r="P596" s="15"/>
      <c r="Q596" s="15"/>
      <c r="R596" s="15"/>
      <c r="S596" s="15"/>
      <c r="T596" s="15"/>
      <c r="U596" s="199"/>
      <c r="AE596" s="15"/>
      <c r="AF596" s="15"/>
    </row>
    <row r="597" ht="15.0" customHeight="1">
      <c r="A597" s="199"/>
      <c r="H597" s="5"/>
      <c r="I597" s="5"/>
      <c r="J597" s="5"/>
      <c r="N597" s="199"/>
      <c r="P597" s="15"/>
      <c r="Q597" s="15"/>
      <c r="R597" s="15"/>
      <c r="S597" s="15"/>
      <c r="T597" s="15"/>
      <c r="U597" s="199"/>
      <c r="AE597" s="15"/>
      <c r="AF597" s="15"/>
    </row>
    <row r="598" ht="15.0" customHeight="1">
      <c r="A598" s="199"/>
      <c r="H598" s="5"/>
      <c r="I598" s="5"/>
      <c r="J598" s="5"/>
      <c r="N598" s="199"/>
      <c r="P598" s="15"/>
      <c r="Q598" s="15"/>
      <c r="R598" s="15"/>
      <c r="S598" s="15"/>
      <c r="T598" s="15"/>
      <c r="U598" s="199"/>
      <c r="AE598" s="15"/>
      <c r="AF598" s="15"/>
    </row>
    <row r="599" ht="15.0" customHeight="1">
      <c r="A599" s="199"/>
      <c r="H599" s="5"/>
      <c r="I599" s="5"/>
      <c r="J599" s="5"/>
      <c r="N599" s="199"/>
      <c r="P599" s="15"/>
      <c r="Q599" s="15"/>
      <c r="R599" s="15"/>
      <c r="S599" s="15"/>
      <c r="T599" s="15"/>
      <c r="U599" s="199"/>
      <c r="AE599" s="15"/>
      <c r="AF599" s="15"/>
    </row>
    <row r="600" ht="15.0" customHeight="1">
      <c r="A600" s="199"/>
      <c r="H600" s="5"/>
      <c r="I600" s="5"/>
      <c r="J600" s="5"/>
      <c r="N600" s="199"/>
      <c r="P600" s="15"/>
      <c r="Q600" s="15"/>
      <c r="R600" s="15"/>
      <c r="S600" s="15"/>
      <c r="T600" s="15"/>
      <c r="U600" s="199"/>
      <c r="AE600" s="15"/>
      <c r="AF600" s="15"/>
    </row>
    <row r="601" ht="15.0" customHeight="1">
      <c r="A601" s="199"/>
      <c r="H601" s="5"/>
      <c r="I601" s="5"/>
      <c r="J601" s="5"/>
      <c r="N601" s="199"/>
      <c r="P601" s="15"/>
      <c r="Q601" s="15"/>
      <c r="R601" s="15"/>
      <c r="S601" s="15"/>
      <c r="T601" s="15"/>
      <c r="U601" s="199"/>
      <c r="AE601" s="15"/>
      <c r="AF601" s="15"/>
    </row>
    <row r="602" ht="15.0" customHeight="1">
      <c r="A602" s="199"/>
      <c r="H602" s="5"/>
      <c r="I602" s="5"/>
      <c r="J602" s="5"/>
      <c r="N602" s="199"/>
      <c r="P602" s="15"/>
      <c r="Q602" s="15"/>
      <c r="R602" s="15"/>
      <c r="S602" s="15"/>
      <c r="T602" s="15"/>
      <c r="U602" s="199"/>
      <c r="AE602" s="15"/>
      <c r="AF602" s="15"/>
    </row>
    <row r="603" ht="15.0" customHeight="1">
      <c r="A603" s="199"/>
      <c r="H603" s="5"/>
      <c r="I603" s="5"/>
      <c r="J603" s="5"/>
      <c r="N603" s="199"/>
      <c r="P603" s="15"/>
      <c r="Q603" s="15"/>
      <c r="R603" s="15"/>
      <c r="S603" s="15"/>
      <c r="T603" s="15"/>
      <c r="U603" s="199"/>
      <c r="AE603" s="15"/>
      <c r="AF603" s="15"/>
    </row>
    <row r="604" ht="15.0" customHeight="1">
      <c r="A604" s="199"/>
      <c r="H604" s="5"/>
      <c r="I604" s="5"/>
      <c r="J604" s="5"/>
      <c r="N604" s="199"/>
      <c r="P604" s="15"/>
      <c r="Q604" s="15"/>
      <c r="R604" s="15"/>
      <c r="S604" s="15"/>
      <c r="T604" s="15"/>
      <c r="U604" s="199"/>
      <c r="AE604" s="15"/>
      <c r="AF604" s="15"/>
    </row>
    <row r="605" ht="15.0" customHeight="1">
      <c r="A605" s="199"/>
      <c r="H605" s="5"/>
      <c r="I605" s="5"/>
      <c r="J605" s="5"/>
      <c r="N605" s="199"/>
      <c r="P605" s="15"/>
      <c r="Q605" s="15"/>
      <c r="R605" s="15"/>
      <c r="S605" s="15"/>
      <c r="T605" s="15"/>
      <c r="U605" s="199"/>
      <c r="AE605" s="15"/>
      <c r="AF605" s="15"/>
    </row>
    <row r="606" ht="15.0" customHeight="1">
      <c r="A606" s="199"/>
      <c r="H606" s="5"/>
      <c r="I606" s="5"/>
      <c r="J606" s="5"/>
      <c r="N606" s="199"/>
      <c r="P606" s="15"/>
      <c r="Q606" s="15"/>
      <c r="R606" s="15"/>
      <c r="S606" s="15"/>
      <c r="T606" s="15"/>
      <c r="U606" s="199"/>
      <c r="AE606" s="15"/>
      <c r="AF606" s="15"/>
    </row>
    <row r="607" ht="15.0" customHeight="1">
      <c r="A607" s="199"/>
      <c r="H607" s="5"/>
      <c r="I607" s="5"/>
      <c r="J607" s="5"/>
      <c r="N607" s="199"/>
      <c r="P607" s="15"/>
      <c r="Q607" s="15"/>
      <c r="R607" s="15"/>
      <c r="S607" s="15"/>
      <c r="T607" s="15"/>
      <c r="U607" s="199"/>
      <c r="AE607" s="15"/>
      <c r="AF607" s="15"/>
    </row>
    <row r="608" ht="15.0" customHeight="1">
      <c r="A608" s="199"/>
      <c r="H608" s="5"/>
      <c r="I608" s="5"/>
      <c r="J608" s="5"/>
      <c r="N608" s="199"/>
      <c r="P608" s="15"/>
      <c r="Q608" s="15"/>
      <c r="R608" s="15"/>
      <c r="S608" s="15"/>
      <c r="T608" s="15"/>
      <c r="U608" s="199"/>
      <c r="AE608" s="15"/>
      <c r="AF608" s="15"/>
    </row>
    <row r="609" ht="15.0" customHeight="1">
      <c r="A609" s="199"/>
      <c r="H609" s="5"/>
      <c r="I609" s="5"/>
      <c r="J609" s="5"/>
      <c r="N609" s="199"/>
      <c r="P609" s="15"/>
      <c r="Q609" s="15"/>
      <c r="R609" s="15"/>
      <c r="S609" s="15"/>
      <c r="T609" s="15"/>
      <c r="U609" s="199"/>
      <c r="AE609" s="15"/>
      <c r="AF609" s="15"/>
    </row>
    <row r="610" ht="15.0" customHeight="1">
      <c r="A610" s="199"/>
      <c r="H610" s="5"/>
      <c r="I610" s="5"/>
      <c r="J610" s="5"/>
      <c r="N610" s="199"/>
      <c r="P610" s="15"/>
      <c r="Q610" s="15"/>
      <c r="R610" s="15"/>
      <c r="S610" s="15"/>
      <c r="T610" s="15"/>
      <c r="U610" s="199"/>
      <c r="AE610" s="15"/>
      <c r="AF610" s="15"/>
    </row>
    <row r="611" ht="15.0" customHeight="1">
      <c r="A611" s="199"/>
      <c r="H611" s="5"/>
      <c r="I611" s="5"/>
      <c r="J611" s="5"/>
      <c r="N611" s="199"/>
      <c r="P611" s="15"/>
      <c r="Q611" s="15"/>
      <c r="R611" s="15"/>
      <c r="S611" s="15"/>
      <c r="T611" s="15"/>
      <c r="U611" s="199"/>
      <c r="AE611" s="15"/>
      <c r="AF611" s="15"/>
    </row>
    <row r="612" ht="15.0" customHeight="1">
      <c r="A612" s="199"/>
      <c r="H612" s="5"/>
      <c r="I612" s="5"/>
      <c r="J612" s="5"/>
      <c r="N612" s="199"/>
      <c r="P612" s="15"/>
      <c r="Q612" s="15"/>
      <c r="R612" s="15"/>
      <c r="S612" s="15"/>
      <c r="T612" s="15"/>
      <c r="U612" s="199"/>
      <c r="AE612" s="15"/>
      <c r="AF612" s="15"/>
    </row>
    <row r="613" ht="15.0" customHeight="1">
      <c r="A613" s="199"/>
      <c r="H613" s="5"/>
      <c r="I613" s="5"/>
      <c r="J613" s="5"/>
      <c r="N613" s="199"/>
      <c r="P613" s="15"/>
      <c r="Q613" s="15"/>
      <c r="R613" s="15"/>
      <c r="S613" s="15"/>
      <c r="T613" s="15"/>
      <c r="U613" s="199"/>
      <c r="AE613" s="15"/>
      <c r="AF613" s="15"/>
    </row>
    <row r="614" ht="15.0" customHeight="1">
      <c r="A614" s="199"/>
      <c r="H614" s="5"/>
      <c r="I614" s="5"/>
      <c r="J614" s="5"/>
      <c r="N614" s="199"/>
      <c r="P614" s="15"/>
      <c r="Q614" s="15"/>
      <c r="R614" s="15"/>
      <c r="S614" s="15"/>
      <c r="T614" s="15"/>
      <c r="U614" s="199"/>
      <c r="AE614" s="15"/>
      <c r="AF614" s="15"/>
    </row>
    <row r="615" ht="15.0" customHeight="1">
      <c r="A615" s="199"/>
      <c r="H615" s="5"/>
      <c r="I615" s="5"/>
      <c r="J615" s="5"/>
      <c r="N615" s="199"/>
      <c r="P615" s="15"/>
      <c r="Q615" s="15"/>
      <c r="R615" s="15"/>
      <c r="S615" s="15"/>
      <c r="T615" s="15"/>
      <c r="U615" s="199"/>
      <c r="AE615" s="15"/>
      <c r="AF615" s="15"/>
    </row>
    <row r="616" ht="15.0" customHeight="1">
      <c r="A616" s="199"/>
      <c r="H616" s="5"/>
      <c r="I616" s="5"/>
      <c r="J616" s="5"/>
      <c r="N616" s="199"/>
      <c r="P616" s="15"/>
      <c r="Q616" s="15"/>
      <c r="R616" s="15"/>
      <c r="S616" s="15"/>
      <c r="T616" s="15"/>
      <c r="U616" s="199"/>
      <c r="AE616" s="15"/>
      <c r="AF616" s="15"/>
    </row>
    <row r="617" ht="15.0" customHeight="1">
      <c r="A617" s="199"/>
      <c r="H617" s="5"/>
      <c r="I617" s="5"/>
      <c r="J617" s="5"/>
      <c r="N617" s="199"/>
      <c r="P617" s="15"/>
      <c r="Q617" s="15"/>
      <c r="R617" s="15"/>
      <c r="S617" s="15"/>
      <c r="T617" s="15"/>
      <c r="U617" s="199"/>
      <c r="AE617" s="15"/>
      <c r="AF617" s="15"/>
    </row>
    <row r="618" ht="15.0" customHeight="1">
      <c r="A618" s="199"/>
      <c r="H618" s="5"/>
      <c r="I618" s="5"/>
      <c r="J618" s="5"/>
      <c r="N618" s="199"/>
      <c r="P618" s="15"/>
      <c r="Q618" s="15"/>
      <c r="R618" s="15"/>
      <c r="S618" s="15"/>
      <c r="T618" s="15"/>
      <c r="U618" s="199"/>
      <c r="AE618" s="15"/>
      <c r="AF618" s="15"/>
    </row>
    <row r="619" ht="15.0" customHeight="1">
      <c r="A619" s="199"/>
      <c r="H619" s="5"/>
      <c r="I619" s="5"/>
      <c r="J619" s="5"/>
      <c r="N619" s="199"/>
      <c r="P619" s="15"/>
      <c r="Q619" s="15"/>
      <c r="R619" s="15"/>
      <c r="S619" s="15"/>
      <c r="T619" s="15"/>
      <c r="U619" s="199"/>
      <c r="AE619" s="15"/>
      <c r="AF619" s="15"/>
    </row>
    <row r="620" ht="15.0" customHeight="1">
      <c r="A620" s="199"/>
      <c r="H620" s="5"/>
      <c r="I620" s="5"/>
      <c r="J620" s="5"/>
      <c r="N620" s="199"/>
      <c r="P620" s="15"/>
      <c r="Q620" s="15"/>
      <c r="R620" s="15"/>
      <c r="S620" s="15"/>
      <c r="T620" s="15"/>
      <c r="U620" s="199"/>
      <c r="AE620" s="15"/>
      <c r="AF620" s="15"/>
    </row>
    <row r="621" ht="15.0" customHeight="1">
      <c r="A621" s="199"/>
      <c r="H621" s="5"/>
      <c r="I621" s="5"/>
      <c r="J621" s="5"/>
      <c r="N621" s="199"/>
      <c r="P621" s="15"/>
      <c r="Q621" s="15"/>
      <c r="R621" s="15"/>
      <c r="S621" s="15"/>
      <c r="T621" s="15"/>
      <c r="U621" s="199"/>
      <c r="AE621" s="15"/>
      <c r="AF621" s="15"/>
    </row>
    <row r="622" ht="15.0" customHeight="1">
      <c r="A622" s="199"/>
      <c r="H622" s="5"/>
      <c r="I622" s="5"/>
      <c r="J622" s="5"/>
      <c r="N622" s="199"/>
      <c r="P622" s="15"/>
      <c r="Q622" s="15"/>
      <c r="R622" s="15"/>
      <c r="S622" s="15"/>
      <c r="T622" s="15"/>
      <c r="U622" s="199"/>
      <c r="AE622" s="15"/>
      <c r="AF622" s="15"/>
    </row>
    <row r="623" ht="15.0" customHeight="1">
      <c r="A623" s="199"/>
      <c r="H623" s="5"/>
      <c r="I623" s="5"/>
      <c r="J623" s="5"/>
      <c r="N623" s="199"/>
      <c r="P623" s="15"/>
      <c r="Q623" s="15"/>
      <c r="R623" s="15"/>
      <c r="S623" s="15"/>
      <c r="T623" s="15"/>
      <c r="U623" s="199"/>
      <c r="AE623" s="15"/>
      <c r="AF623" s="15"/>
    </row>
    <row r="624" ht="15.0" customHeight="1">
      <c r="A624" s="199"/>
      <c r="H624" s="5"/>
      <c r="I624" s="5"/>
      <c r="J624" s="5"/>
      <c r="N624" s="199"/>
      <c r="P624" s="15"/>
      <c r="Q624" s="15"/>
      <c r="R624" s="15"/>
      <c r="S624" s="15"/>
      <c r="T624" s="15"/>
      <c r="U624" s="199"/>
      <c r="AE624" s="15"/>
      <c r="AF624" s="15"/>
    </row>
    <row r="625" ht="15.0" customHeight="1">
      <c r="A625" s="199"/>
      <c r="H625" s="5"/>
      <c r="I625" s="5"/>
      <c r="J625" s="5"/>
      <c r="N625" s="199"/>
      <c r="P625" s="15"/>
      <c r="Q625" s="15"/>
      <c r="R625" s="15"/>
      <c r="S625" s="15"/>
      <c r="T625" s="15"/>
      <c r="U625" s="199"/>
      <c r="AE625" s="15"/>
      <c r="AF625" s="15"/>
    </row>
    <row r="626" ht="15.0" customHeight="1">
      <c r="A626" s="199"/>
      <c r="H626" s="5"/>
      <c r="I626" s="5"/>
      <c r="J626" s="5"/>
      <c r="N626" s="199"/>
      <c r="P626" s="15"/>
      <c r="Q626" s="15"/>
      <c r="R626" s="15"/>
      <c r="S626" s="15"/>
      <c r="T626" s="15"/>
      <c r="U626" s="199"/>
      <c r="AE626" s="15"/>
      <c r="AF626" s="15"/>
    </row>
    <row r="627" ht="15.0" customHeight="1">
      <c r="A627" s="199"/>
      <c r="H627" s="5"/>
      <c r="I627" s="5"/>
      <c r="J627" s="5"/>
      <c r="N627" s="199"/>
      <c r="P627" s="15"/>
      <c r="Q627" s="15"/>
      <c r="R627" s="15"/>
      <c r="S627" s="15"/>
      <c r="T627" s="15"/>
      <c r="U627" s="199"/>
      <c r="AE627" s="15"/>
      <c r="AF627" s="15"/>
    </row>
    <row r="628" ht="15.0" customHeight="1">
      <c r="A628" s="199"/>
      <c r="H628" s="5"/>
      <c r="I628" s="5"/>
      <c r="J628" s="5"/>
      <c r="N628" s="199"/>
      <c r="P628" s="15"/>
      <c r="Q628" s="15"/>
      <c r="R628" s="15"/>
      <c r="S628" s="15"/>
      <c r="T628" s="15"/>
      <c r="U628" s="199"/>
      <c r="AE628" s="15"/>
      <c r="AF628" s="15"/>
    </row>
    <row r="629" ht="15.0" customHeight="1">
      <c r="A629" s="199"/>
      <c r="H629" s="5"/>
      <c r="I629" s="5"/>
      <c r="J629" s="5"/>
      <c r="N629" s="199"/>
      <c r="P629" s="15"/>
      <c r="Q629" s="15"/>
      <c r="R629" s="15"/>
      <c r="S629" s="15"/>
      <c r="T629" s="15"/>
      <c r="U629" s="199"/>
      <c r="AE629" s="15"/>
      <c r="AF629" s="15"/>
    </row>
    <row r="630" ht="15.0" customHeight="1">
      <c r="A630" s="199"/>
      <c r="H630" s="5"/>
      <c r="I630" s="5"/>
      <c r="J630" s="5"/>
      <c r="N630" s="199"/>
      <c r="P630" s="15"/>
      <c r="Q630" s="15"/>
      <c r="R630" s="15"/>
      <c r="S630" s="15"/>
      <c r="T630" s="15"/>
      <c r="U630" s="199"/>
      <c r="AE630" s="15"/>
      <c r="AF630" s="15"/>
    </row>
    <row r="631" ht="15.0" customHeight="1">
      <c r="A631" s="199"/>
      <c r="H631" s="5"/>
      <c r="I631" s="5"/>
      <c r="J631" s="5"/>
      <c r="N631" s="199"/>
      <c r="P631" s="15"/>
      <c r="Q631" s="15"/>
      <c r="R631" s="15"/>
      <c r="S631" s="15"/>
      <c r="T631" s="15"/>
      <c r="U631" s="199"/>
      <c r="AE631" s="15"/>
      <c r="AF631" s="15"/>
    </row>
    <row r="632" ht="15.0" customHeight="1">
      <c r="A632" s="199"/>
      <c r="H632" s="5"/>
      <c r="I632" s="5"/>
      <c r="J632" s="5"/>
      <c r="N632" s="199"/>
      <c r="P632" s="15"/>
      <c r="Q632" s="15"/>
      <c r="R632" s="15"/>
      <c r="S632" s="15"/>
      <c r="T632" s="15"/>
      <c r="U632" s="199"/>
      <c r="AE632" s="15"/>
      <c r="AF632" s="15"/>
    </row>
    <row r="633" ht="15.0" customHeight="1">
      <c r="A633" s="199"/>
      <c r="H633" s="5"/>
      <c r="I633" s="5"/>
      <c r="J633" s="5"/>
      <c r="N633" s="199"/>
      <c r="P633" s="15"/>
      <c r="Q633" s="15"/>
      <c r="R633" s="15"/>
      <c r="S633" s="15"/>
      <c r="T633" s="15"/>
      <c r="U633" s="199"/>
      <c r="AE633" s="15"/>
      <c r="AF633" s="15"/>
    </row>
    <row r="634" ht="15.0" customHeight="1">
      <c r="A634" s="199"/>
      <c r="H634" s="5"/>
      <c r="I634" s="5"/>
      <c r="J634" s="5"/>
      <c r="N634" s="199"/>
      <c r="P634" s="15"/>
      <c r="Q634" s="15"/>
      <c r="R634" s="15"/>
      <c r="S634" s="15"/>
      <c r="T634" s="15"/>
      <c r="U634" s="199"/>
      <c r="AE634" s="15"/>
      <c r="AF634" s="15"/>
    </row>
    <row r="635" ht="15.0" customHeight="1">
      <c r="A635" s="199"/>
      <c r="H635" s="5"/>
      <c r="I635" s="5"/>
      <c r="J635" s="5"/>
      <c r="N635" s="199"/>
      <c r="P635" s="15"/>
      <c r="Q635" s="15"/>
      <c r="R635" s="15"/>
      <c r="S635" s="15"/>
      <c r="T635" s="15"/>
      <c r="U635" s="199"/>
      <c r="AE635" s="15"/>
      <c r="AF635" s="15"/>
    </row>
    <row r="636" ht="15.0" customHeight="1">
      <c r="A636" s="199"/>
      <c r="H636" s="5"/>
      <c r="I636" s="5"/>
      <c r="J636" s="5"/>
      <c r="N636" s="199"/>
      <c r="P636" s="15"/>
      <c r="Q636" s="15"/>
      <c r="R636" s="15"/>
      <c r="S636" s="15"/>
      <c r="T636" s="15"/>
      <c r="U636" s="199"/>
      <c r="AE636" s="15"/>
      <c r="AF636" s="15"/>
    </row>
    <row r="637" ht="15.0" customHeight="1">
      <c r="A637" s="199"/>
      <c r="H637" s="5"/>
      <c r="I637" s="5"/>
      <c r="J637" s="5"/>
      <c r="N637" s="199"/>
      <c r="P637" s="15"/>
      <c r="Q637" s="15"/>
      <c r="R637" s="15"/>
      <c r="S637" s="15"/>
      <c r="T637" s="15"/>
      <c r="U637" s="199"/>
      <c r="AE637" s="15"/>
      <c r="AF637" s="15"/>
    </row>
    <row r="638" ht="15.0" customHeight="1">
      <c r="A638" s="199"/>
      <c r="H638" s="5"/>
      <c r="I638" s="5"/>
      <c r="J638" s="5"/>
      <c r="N638" s="199"/>
      <c r="P638" s="15"/>
      <c r="Q638" s="15"/>
      <c r="R638" s="15"/>
      <c r="S638" s="15"/>
      <c r="T638" s="15"/>
      <c r="U638" s="199"/>
      <c r="AE638" s="15"/>
      <c r="AF638" s="15"/>
    </row>
    <row r="639" ht="15.0" customHeight="1">
      <c r="A639" s="199"/>
      <c r="H639" s="5"/>
      <c r="I639" s="5"/>
      <c r="J639" s="5"/>
      <c r="N639" s="199"/>
      <c r="P639" s="15"/>
      <c r="Q639" s="15"/>
      <c r="R639" s="15"/>
      <c r="S639" s="15"/>
      <c r="T639" s="15"/>
      <c r="U639" s="199"/>
      <c r="AE639" s="15"/>
      <c r="AF639" s="15"/>
    </row>
    <row r="640" ht="15.0" customHeight="1">
      <c r="A640" s="199"/>
      <c r="H640" s="5"/>
      <c r="I640" s="5"/>
      <c r="J640" s="5"/>
      <c r="N640" s="199"/>
      <c r="P640" s="15"/>
      <c r="Q640" s="15"/>
      <c r="R640" s="15"/>
      <c r="S640" s="15"/>
      <c r="T640" s="15"/>
      <c r="U640" s="199"/>
      <c r="AE640" s="15"/>
      <c r="AF640" s="15"/>
    </row>
    <row r="641" ht="15.0" customHeight="1">
      <c r="A641" s="199"/>
      <c r="H641" s="5"/>
      <c r="I641" s="5"/>
      <c r="J641" s="5"/>
      <c r="N641" s="199"/>
      <c r="P641" s="15"/>
      <c r="Q641" s="15"/>
      <c r="R641" s="15"/>
      <c r="S641" s="15"/>
      <c r="T641" s="15"/>
      <c r="U641" s="199"/>
      <c r="AE641" s="15"/>
      <c r="AF641" s="15"/>
    </row>
    <row r="642" ht="15.0" customHeight="1">
      <c r="A642" s="199"/>
      <c r="H642" s="5"/>
      <c r="I642" s="5"/>
      <c r="J642" s="5"/>
      <c r="N642" s="199"/>
      <c r="P642" s="15"/>
      <c r="Q642" s="15"/>
      <c r="R642" s="15"/>
      <c r="S642" s="15"/>
      <c r="T642" s="15"/>
      <c r="U642" s="199"/>
      <c r="AE642" s="15"/>
      <c r="AF642" s="15"/>
    </row>
    <row r="643" ht="15.0" customHeight="1">
      <c r="A643" s="199"/>
      <c r="H643" s="5"/>
      <c r="I643" s="5"/>
      <c r="J643" s="5"/>
      <c r="N643" s="199"/>
      <c r="P643" s="15"/>
      <c r="Q643" s="15"/>
      <c r="R643" s="15"/>
      <c r="S643" s="15"/>
      <c r="T643" s="15"/>
      <c r="U643" s="199"/>
      <c r="AE643" s="15"/>
      <c r="AF643" s="15"/>
    </row>
    <row r="644" ht="15.0" customHeight="1">
      <c r="A644" s="199"/>
      <c r="H644" s="5"/>
      <c r="I644" s="5"/>
      <c r="J644" s="5"/>
      <c r="N644" s="199"/>
      <c r="P644" s="15"/>
      <c r="Q644" s="15"/>
      <c r="R644" s="15"/>
      <c r="S644" s="15"/>
      <c r="T644" s="15"/>
      <c r="U644" s="199"/>
      <c r="AE644" s="15"/>
      <c r="AF644" s="15"/>
    </row>
    <row r="645" ht="15.0" customHeight="1">
      <c r="A645" s="199"/>
      <c r="H645" s="5"/>
      <c r="I645" s="5"/>
      <c r="J645" s="5"/>
      <c r="N645" s="199"/>
      <c r="P645" s="15"/>
      <c r="Q645" s="15"/>
      <c r="R645" s="15"/>
      <c r="S645" s="15"/>
      <c r="T645" s="15"/>
      <c r="U645" s="199"/>
      <c r="AE645" s="15"/>
      <c r="AF645" s="15"/>
    </row>
    <row r="646" ht="15.0" customHeight="1">
      <c r="A646" s="199"/>
      <c r="H646" s="5"/>
      <c r="I646" s="5"/>
      <c r="J646" s="5"/>
      <c r="N646" s="199"/>
      <c r="P646" s="15"/>
      <c r="Q646" s="15"/>
      <c r="R646" s="15"/>
      <c r="S646" s="15"/>
      <c r="T646" s="15"/>
      <c r="U646" s="199"/>
      <c r="AE646" s="15"/>
      <c r="AF646" s="15"/>
    </row>
    <row r="647" ht="15.0" customHeight="1">
      <c r="A647" s="199"/>
      <c r="H647" s="5"/>
      <c r="I647" s="5"/>
      <c r="J647" s="5"/>
      <c r="N647" s="199"/>
      <c r="P647" s="15"/>
      <c r="Q647" s="15"/>
      <c r="R647" s="15"/>
      <c r="S647" s="15"/>
      <c r="T647" s="15"/>
      <c r="U647" s="199"/>
      <c r="AE647" s="15"/>
      <c r="AF647" s="15"/>
    </row>
    <row r="648" ht="15.0" customHeight="1">
      <c r="A648" s="199"/>
      <c r="H648" s="5"/>
      <c r="I648" s="5"/>
      <c r="J648" s="5"/>
      <c r="N648" s="199"/>
      <c r="P648" s="15"/>
      <c r="Q648" s="15"/>
      <c r="R648" s="15"/>
      <c r="S648" s="15"/>
      <c r="T648" s="15"/>
      <c r="U648" s="199"/>
      <c r="AE648" s="15"/>
      <c r="AF648" s="15"/>
    </row>
    <row r="649" ht="15.0" customHeight="1">
      <c r="A649" s="199"/>
      <c r="H649" s="5"/>
      <c r="I649" s="5"/>
      <c r="J649" s="5"/>
      <c r="N649" s="199"/>
      <c r="P649" s="15"/>
      <c r="Q649" s="15"/>
      <c r="R649" s="15"/>
      <c r="S649" s="15"/>
      <c r="T649" s="15"/>
      <c r="U649" s="199"/>
      <c r="AE649" s="15"/>
      <c r="AF649" s="15"/>
    </row>
    <row r="650" ht="15.0" customHeight="1">
      <c r="A650" s="199"/>
      <c r="H650" s="5"/>
      <c r="I650" s="5"/>
      <c r="J650" s="5"/>
      <c r="N650" s="199"/>
      <c r="P650" s="15"/>
      <c r="Q650" s="15"/>
      <c r="R650" s="15"/>
      <c r="S650" s="15"/>
      <c r="T650" s="15"/>
      <c r="U650" s="199"/>
      <c r="AE650" s="15"/>
      <c r="AF650" s="15"/>
    </row>
    <row r="651" ht="15.0" customHeight="1">
      <c r="A651" s="199"/>
      <c r="H651" s="5"/>
      <c r="I651" s="5"/>
      <c r="J651" s="5"/>
      <c r="N651" s="199"/>
      <c r="P651" s="15"/>
      <c r="Q651" s="15"/>
      <c r="R651" s="15"/>
      <c r="S651" s="15"/>
      <c r="T651" s="15"/>
      <c r="U651" s="199"/>
      <c r="AE651" s="15"/>
      <c r="AF651" s="15"/>
    </row>
    <row r="652" ht="15.0" customHeight="1">
      <c r="A652" s="199"/>
      <c r="H652" s="5"/>
      <c r="I652" s="5"/>
      <c r="J652" s="5"/>
      <c r="N652" s="199"/>
      <c r="P652" s="15"/>
      <c r="Q652" s="15"/>
      <c r="R652" s="15"/>
      <c r="S652" s="15"/>
      <c r="T652" s="15"/>
      <c r="U652" s="199"/>
      <c r="AE652" s="15"/>
      <c r="AF652" s="15"/>
    </row>
    <row r="653" ht="15.0" customHeight="1">
      <c r="A653" s="199"/>
      <c r="H653" s="5"/>
      <c r="I653" s="5"/>
      <c r="J653" s="5"/>
      <c r="N653" s="199"/>
      <c r="P653" s="15"/>
      <c r="Q653" s="15"/>
      <c r="R653" s="15"/>
      <c r="S653" s="15"/>
      <c r="T653" s="15"/>
      <c r="U653" s="199"/>
      <c r="AE653" s="15"/>
      <c r="AF653" s="15"/>
    </row>
    <row r="654" ht="15.0" customHeight="1">
      <c r="A654" s="199"/>
      <c r="H654" s="5"/>
      <c r="I654" s="5"/>
      <c r="J654" s="5"/>
      <c r="N654" s="199"/>
      <c r="P654" s="15"/>
      <c r="Q654" s="15"/>
      <c r="R654" s="15"/>
      <c r="S654" s="15"/>
      <c r="T654" s="15"/>
      <c r="U654" s="199"/>
      <c r="AE654" s="15"/>
      <c r="AF654" s="15"/>
    </row>
    <row r="655" ht="15.0" customHeight="1">
      <c r="A655" s="199"/>
      <c r="H655" s="5"/>
      <c r="I655" s="5"/>
      <c r="J655" s="5"/>
      <c r="N655" s="199"/>
      <c r="P655" s="15"/>
      <c r="Q655" s="15"/>
      <c r="R655" s="15"/>
      <c r="S655" s="15"/>
      <c r="T655" s="15"/>
      <c r="U655" s="199"/>
      <c r="AE655" s="15"/>
      <c r="AF655" s="15"/>
    </row>
    <row r="656" ht="15.0" customHeight="1">
      <c r="A656" s="199"/>
      <c r="H656" s="5"/>
      <c r="I656" s="5"/>
      <c r="J656" s="5"/>
      <c r="N656" s="199"/>
      <c r="P656" s="15"/>
      <c r="Q656" s="15"/>
      <c r="R656" s="15"/>
      <c r="S656" s="15"/>
      <c r="T656" s="15"/>
      <c r="U656" s="199"/>
      <c r="AE656" s="15"/>
      <c r="AF656" s="15"/>
    </row>
    <row r="657" ht="15.0" customHeight="1">
      <c r="A657" s="199"/>
      <c r="H657" s="5"/>
      <c r="I657" s="5"/>
      <c r="J657" s="5"/>
      <c r="N657" s="199"/>
      <c r="P657" s="15"/>
      <c r="Q657" s="15"/>
      <c r="R657" s="15"/>
      <c r="S657" s="15"/>
      <c r="T657" s="15"/>
      <c r="U657" s="199"/>
      <c r="AE657" s="15"/>
      <c r="AF657" s="15"/>
    </row>
    <row r="658" ht="15.0" customHeight="1">
      <c r="A658" s="199"/>
      <c r="H658" s="5"/>
      <c r="I658" s="5"/>
      <c r="J658" s="5"/>
      <c r="N658" s="199"/>
      <c r="P658" s="15"/>
      <c r="Q658" s="15"/>
      <c r="R658" s="15"/>
      <c r="S658" s="15"/>
      <c r="T658" s="15"/>
      <c r="U658" s="199"/>
      <c r="AE658" s="15"/>
      <c r="AF658" s="15"/>
    </row>
    <row r="659" ht="15.0" customHeight="1">
      <c r="A659" s="199"/>
      <c r="H659" s="5"/>
      <c r="I659" s="5"/>
      <c r="J659" s="5"/>
      <c r="N659" s="199"/>
      <c r="P659" s="15"/>
      <c r="Q659" s="15"/>
      <c r="R659" s="15"/>
      <c r="S659" s="15"/>
      <c r="T659" s="15"/>
      <c r="U659" s="199"/>
      <c r="AE659" s="15"/>
      <c r="AF659" s="15"/>
    </row>
    <row r="660" ht="15.0" customHeight="1">
      <c r="A660" s="199"/>
      <c r="H660" s="5"/>
      <c r="I660" s="5"/>
      <c r="J660" s="5"/>
      <c r="N660" s="199"/>
      <c r="P660" s="15"/>
      <c r="Q660" s="15"/>
      <c r="R660" s="15"/>
      <c r="S660" s="15"/>
      <c r="T660" s="15"/>
      <c r="U660" s="199"/>
      <c r="AE660" s="15"/>
      <c r="AF660" s="15"/>
    </row>
    <row r="661" ht="15.0" customHeight="1">
      <c r="A661" s="199"/>
      <c r="H661" s="5"/>
      <c r="I661" s="5"/>
      <c r="J661" s="5"/>
      <c r="N661" s="199"/>
      <c r="P661" s="15"/>
      <c r="Q661" s="15"/>
      <c r="R661" s="15"/>
      <c r="S661" s="15"/>
      <c r="T661" s="15"/>
      <c r="U661" s="199"/>
      <c r="AE661" s="15"/>
      <c r="AF661" s="15"/>
    </row>
    <row r="662" ht="15.0" customHeight="1">
      <c r="A662" s="199"/>
      <c r="H662" s="5"/>
      <c r="I662" s="5"/>
      <c r="J662" s="5"/>
      <c r="N662" s="199"/>
      <c r="P662" s="15"/>
      <c r="Q662" s="15"/>
      <c r="R662" s="15"/>
      <c r="S662" s="15"/>
      <c r="T662" s="15"/>
      <c r="U662" s="199"/>
      <c r="AE662" s="15"/>
      <c r="AF662" s="15"/>
    </row>
    <row r="663" ht="15.0" customHeight="1">
      <c r="A663" s="199"/>
      <c r="H663" s="5"/>
      <c r="I663" s="5"/>
      <c r="J663" s="5"/>
      <c r="N663" s="199"/>
      <c r="P663" s="15"/>
      <c r="Q663" s="15"/>
      <c r="R663" s="15"/>
      <c r="S663" s="15"/>
      <c r="T663" s="15"/>
      <c r="U663" s="199"/>
      <c r="AE663" s="15"/>
      <c r="AF663" s="15"/>
    </row>
    <row r="664" ht="15.0" customHeight="1">
      <c r="A664" s="199"/>
      <c r="H664" s="5"/>
      <c r="I664" s="5"/>
      <c r="J664" s="5"/>
      <c r="N664" s="199"/>
      <c r="P664" s="15"/>
      <c r="Q664" s="15"/>
      <c r="R664" s="15"/>
      <c r="S664" s="15"/>
      <c r="T664" s="15"/>
      <c r="U664" s="199"/>
      <c r="AE664" s="15"/>
      <c r="AF664" s="15"/>
    </row>
    <row r="665" ht="15.0" customHeight="1">
      <c r="A665" s="199"/>
      <c r="H665" s="5"/>
      <c r="I665" s="5"/>
      <c r="J665" s="5"/>
      <c r="N665" s="199"/>
      <c r="P665" s="15"/>
      <c r="Q665" s="15"/>
      <c r="R665" s="15"/>
      <c r="S665" s="15"/>
      <c r="T665" s="15"/>
      <c r="U665" s="199"/>
      <c r="AE665" s="15"/>
      <c r="AF665" s="15"/>
    </row>
    <row r="666" ht="15.0" customHeight="1">
      <c r="A666" s="199"/>
      <c r="H666" s="5"/>
      <c r="I666" s="5"/>
      <c r="J666" s="5"/>
      <c r="N666" s="199"/>
      <c r="P666" s="15"/>
      <c r="Q666" s="15"/>
      <c r="R666" s="15"/>
      <c r="S666" s="15"/>
      <c r="T666" s="15"/>
      <c r="U666" s="199"/>
      <c r="AE666" s="15"/>
      <c r="AF666" s="15"/>
    </row>
    <row r="667" ht="15.0" customHeight="1">
      <c r="A667" s="199"/>
      <c r="H667" s="5"/>
      <c r="I667" s="5"/>
      <c r="J667" s="5"/>
      <c r="N667" s="199"/>
      <c r="P667" s="15"/>
      <c r="Q667" s="15"/>
      <c r="R667" s="15"/>
      <c r="S667" s="15"/>
      <c r="T667" s="15"/>
      <c r="U667" s="199"/>
      <c r="AE667" s="15"/>
      <c r="AF667" s="15"/>
    </row>
    <row r="668" ht="15.0" customHeight="1">
      <c r="A668" s="199"/>
      <c r="H668" s="5"/>
      <c r="I668" s="5"/>
      <c r="J668" s="5"/>
      <c r="N668" s="199"/>
      <c r="P668" s="15"/>
      <c r="Q668" s="15"/>
      <c r="R668" s="15"/>
      <c r="S668" s="15"/>
      <c r="T668" s="15"/>
      <c r="U668" s="199"/>
      <c r="AE668" s="15"/>
      <c r="AF668" s="15"/>
    </row>
    <row r="669" ht="15.0" customHeight="1">
      <c r="A669" s="199"/>
      <c r="H669" s="5"/>
      <c r="I669" s="5"/>
      <c r="J669" s="5"/>
      <c r="N669" s="199"/>
      <c r="P669" s="15"/>
      <c r="Q669" s="15"/>
      <c r="R669" s="15"/>
      <c r="S669" s="15"/>
      <c r="T669" s="15"/>
      <c r="U669" s="199"/>
      <c r="AE669" s="15"/>
      <c r="AF669" s="15"/>
    </row>
    <row r="670" ht="15.0" customHeight="1">
      <c r="A670" s="199"/>
      <c r="H670" s="5"/>
      <c r="I670" s="5"/>
      <c r="J670" s="5"/>
      <c r="N670" s="199"/>
      <c r="P670" s="15"/>
      <c r="Q670" s="15"/>
      <c r="R670" s="15"/>
      <c r="S670" s="15"/>
      <c r="T670" s="15"/>
      <c r="U670" s="199"/>
      <c r="AE670" s="15"/>
      <c r="AF670" s="15"/>
    </row>
    <row r="671" ht="15.0" customHeight="1">
      <c r="A671" s="199"/>
      <c r="H671" s="5"/>
      <c r="I671" s="5"/>
      <c r="J671" s="5"/>
      <c r="N671" s="199"/>
      <c r="P671" s="15"/>
      <c r="Q671" s="15"/>
      <c r="R671" s="15"/>
      <c r="S671" s="15"/>
      <c r="T671" s="15"/>
      <c r="U671" s="199"/>
      <c r="AE671" s="15"/>
      <c r="AF671" s="15"/>
    </row>
    <row r="672" ht="15.0" customHeight="1">
      <c r="A672" s="199"/>
      <c r="H672" s="5"/>
      <c r="I672" s="5"/>
      <c r="J672" s="5"/>
      <c r="N672" s="199"/>
      <c r="P672" s="15"/>
      <c r="Q672" s="15"/>
      <c r="R672" s="15"/>
      <c r="S672" s="15"/>
      <c r="T672" s="15"/>
      <c r="U672" s="199"/>
      <c r="AE672" s="15"/>
      <c r="AF672" s="15"/>
    </row>
    <row r="673" ht="15.0" customHeight="1">
      <c r="A673" s="199"/>
      <c r="H673" s="5"/>
      <c r="I673" s="5"/>
      <c r="J673" s="5"/>
      <c r="N673" s="199"/>
      <c r="P673" s="15"/>
      <c r="Q673" s="15"/>
      <c r="R673" s="15"/>
      <c r="S673" s="15"/>
      <c r="T673" s="15"/>
      <c r="U673" s="199"/>
      <c r="AE673" s="15"/>
      <c r="AF673" s="15"/>
    </row>
    <row r="674" ht="15.0" customHeight="1">
      <c r="A674" s="199"/>
      <c r="H674" s="5"/>
      <c r="I674" s="5"/>
      <c r="J674" s="5"/>
      <c r="N674" s="199"/>
      <c r="P674" s="15"/>
      <c r="Q674" s="15"/>
      <c r="R674" s="15"/>
      <c r="S674" s="15"/>
      <c r="T674" s="15"/>
      <c r="U674" s="199"/>
      <c r="AE674" s="15"/>
      <c r="AF674" s="15"/>
    </row>
    <row r="675" ht="15.0" customHeight="1">
      <c r="A675" s="199"/>
      <c r="H675" s="5"/>
      <c r="I675" s="5"/>
      <c r="J675" s="5"/>
      <c r="N675" s="199"/>
      <c r="P675" s="15"/>
      <c r="Q675" s="15"/>
      <c r="R675" s="15"/>
      <c r="S675" s="15"/>
      <c r="T675" s="15"/>
      <c r="U675" s="199"/>
      <c r="AE675" s="15"/>
      <c r="AF675" s="15"/>
    </row>
    <row r="676" ht="15.0" customHeight="1">
      <c r="A676" s="199"/>
      <c r="H676" s="5"/>
      <c r="I676" s="5"/>
      <c r="J676" s="5"/>
      <c r="N676" s="199"/>
      <c r="P676" s="15"/>
      <c r="Q676" s="15"/>
      <c r="R676" s="15"/>
      <c r="S676" s="15"/>
      <c r="T676" s="15"/>
      <c r="U676" s="199"/>
      <c r="AE676" s="15"/>
      <c r="AF676" s="15"/>
    </row>
    <row r="677" ht="15.0" customHeight="1">
      <c r="A677" s="199"/>
      <c r="H677" s="5"/>
      <c r="I677" s="5"/>
      <c r="J677" s="5"/>
      <c r="N677" s="199"/>
      <c r="P677" s="15"/>
      <c r="Q677" s="15"/>
      <c r="R677" s="15"/>
      <c r="S677" s="15"/>
      <c r="T677" s="15"/>
      <c r="U677" s="199"/>
      <c r="AE677" s="15"/>
      <c r="AF677" s="15"/>
    </row>
    <row r="678" ht="15.0" customHeight="1">
      <c r="A678" s="199"/>
      <c r="H678" s="5"/>
      <c r="I678" s="5"/>
      <c r="J678" s="5"/>
      <c r="N678" s="199"/>
      <c r="P678" s="15"/>
      <c r="Q678" s="15"/>
      <c r="R678" s="15"/>
      <c r="S678" s="15"/>
      <c r="T678" s="15"/>
      <c r="U678" s="199"/>
      <c r="AE678" s="15"/>
      <c r="AF678" s="15"/>
    </row>
    <row r="679" ht="15.0" customHeight="1">
      <c r="A679" s="199"/>
      <c r="H679" s="5"/>
      <c r="I679" s="5"/>
      <c r="J679" s="5"/>
      <c r="N679" s="199"/>
      <c r="P679" s="15"/>
      <c r="Q679" s="15"/>
      <c r="R679" s="15"/>
      <c r="S679" s="15"/>
      <c r="T679" s="15"/>
      <c r="U679" s="199"/>
      <c r="AE679" s="15"/>
      <c r="AF679" s="15"/>
    </row>
    <row r="680" ht="15.0" customHeight="1">
      <c r="A680" s="199"/>
      <c r="H680" s="5"/>
      <c r="I680" s="5"/>
      <c r="J680" s="5"/>
      <c r="N680" s="199"/>
      <c r="P680" s="15"/>
      <c r="Q680" s="15"/>
      <c r="R680" s="15"/>
      <c r="S680" s="15"/>
      <c r="T680" s="15"/>
      <c r="U680" s="199"/>
      <c r="AE680" s="15"/>
      <c r="AF680" s="15"/>
    </row>
    <row r="681" ht="15.0" customHeight="1">
      <c r="A681" s="199"/>
      <c r="H681" s="5"/>
      <c r="I681" s="5"/>
      <c r="J681" s="5"/>
      <c r="N681" s="199"/>
      <c r="P681" s="15"/>
      <c r="Q681" s="15"/>
      <c r="R681" s="15"/>
      <c r="S681" s="15"/>
      <c r="T681" s="15"/>
      <c r="U681" s="199"/>
      <c r="AE681" s="15"/>
      <c r="AF681" s="15"/>
    </row>
    <row r="682" ht="15.0" customHeight="1">
      <c r="A682" s="199"/>
      <c r="H682" s="5"/>
      <c r="I682" s="5"/>
      <c r="J682" s="5"/>
      <c r="N682" s="199"/>
      <c r="P682" s="15"/>
      <c r="Q682" s="15"/>
      <c r="R682" s="15"/>
      <c r="S682" s="15"/>
      <c r="T682" s="15"/>
      <c r="U682" s="199"/>
      <c r="AE682" s="15"/>
      <c r="AF682" s="15"/>
    </row>
    <row r="683" ht="15.0" customHeight="1">
      <c r="A683" s="199"/>
      <c r="H683" s="5"/>
      <c r="I683" s="5"/>
      <c r="J683" s="5"/>
      <c r="N683" s="199"/>
      <c r="P683" s="15"/>
      <c r="Q683" s="15"/>
      <c r="R683" s="15"/>
      <c r="S683" s="15"/>
      <c r="T683" s="15"/>
      <c r="U683" s="199"/>
      <c r="AE683" s="15"/>
      <c r="AF683" s="15"/>
    </row>
    <row r="684" ht="15.0" customHeight="1">
      <c r="A684" s="199"/>
      <c r="H684" s="5"/>
      <c r="I684" s="5"/>
      <c r="J684" s="5"/>
      <c r="N684" s="199"/>
      <c r="P684" s="15"/>
      <c r="Q684" s="15"/>
      <c r="R684" s="15"/>
      <c r="S684" s="15"/>
      <c r="T684" s="15"/>
      <c r="U684" s="199"/>
      <c r="AE684" s="15"/>
      <c r="AF684" s="15"/>
    </row>
    <row r="685" ht="15.0" customHeight="1">
      <c r="A685" s="199"/>
      <c r="H685" s="5"/>
      <c r="I685" s="5"/>
      <c r="J685" s="5"/>
      <c r="N685" s="199"/>
      <c r="P685" s="15"/>
      <c r="Q685" s="15"/>
      <c r="R685" s="15"/>
      <c r="S685" s="15"/>
      <c r="T685" s="15"/>
      <c r="U685" s="199"/>
      <c r="AE685" s="15"/>
      <c r="AF685" s="15"/>
    </row>
    <row r="686" ht="15.0" customHeight="1">
      <c r="A686" s="199"/>
      <c r="H686" s="5"/>
      <c r="I686" s="5"/>
      <c r="J686" s="5"/>
      <c r="N686" s="199"/>
      <c r="P686" s="15"/>
      <c r="Q686" s="15"/>
      <c r="R686" s="15"/>
      <c r="S686" s="15"/>
      <c r="T686" s="15"/>
      <c r="U686" s="199"/>
      <c r="AE686" s="15"/>
      <c r="AF686" s="15"/>
    </row>
    <row r="687" ht="15.0" customHeight="1">
      <c r="A687" s="199"/>
      <c r="H687" s="5"/>
      <c r="I687" s="5"/>
      <c r="J687" s="5"/>
      <c r="N687" s="199"/>
      <c r="P687" s="15"/>
      <c r="Q687" s="15"/>
      <c r="R687" s="15"/>
      <c r="S687" s="15"/>
      <c r="T687" s="15"/>
      <c r="U687" s="199"/>
      <c r="AE687" s="15"/>
      <c r="AF687" s="15"/>
    </row>
    <row r="688" ht="15.0" customHeight="1">
      <c r="A688" s="199"/>
      <c r="H688" s="5"/>
      <c r="I688" s="5"/>
      <c r="J688" s="5"/>
      <c r="N688" s="199"/>
      <c r="P688" s="15"/>
      <c r="Q688" s="15"/>
      <c r="R688" s="15"/>
      <c r="S688" s="15"/>
      <c r="T688" s="15"/>
      <c r="U688" s="199"/>
      <c r="AE688" s="15"/>
      <c r="AF688" s="15"/>
    </row>
    <row r="689" ht="15.0" customHeight="1">
      <c r="A689" s="199"/>
      <c r="H689" s="5"/>
      <c r="I689" s="5"/>
      <c r="J689" s="5"/>
      <c r="N689" s="199"/>
      <c r="P689" s="15"/>
      <c r="Q689" s="15"/>
      <c r="R689" s="15"/>
      <c r="S689" s="15"/>
      <c r="T689" s="15"/>
      <c r="U689" s="199"/>
      <c r="AE689" s="15"/>
      <c r="AF689" s="15"/>
    </row>
    <row r="690" ht="15.0" customHeight="1">
      <c r="A690" s="199"/>
      <c r="H690" s="5"/>
      <c r="I690" s="5"/>
      <c r="J690" s="5"/>
      <c r="N690" s="199"/>
      <c r="P690" s="15"/>
      <c r="Q690" s="15"/>
      <c r="R690" s="15"/>
      <c r="S690" s="15"/>
      <c r="T690" s="15"/>
      <c r="U690" s="199"/>
      <c r="AE690" s="15"/>
      <c r="AF690" s="15"/>
    </row>
    <row r="691" ht="15.0" customHeight="1">
      <c r="A691" s="199"/>
      <c r="H691" s="5"/>
      <c r="I691" s="5"/>
      <c r="J691" s="5"/>
      <c r="N691" s="199"/>
      <c r="P691" s="15"/>
      <c r="Q691" s="15"/>
      <c r="R691" s="15"/>
      <c r="S691" s="15"/>
      <c r="T691" s="15"/>
      <c r="U691" s="199"/>
      <c r="AE691" s="15"/>
      <c r="AF691" s="15"/>
    </row>
    <row r="692" ht="15.0" customHeight="1">
      <c r="A692" s="199"/>
      <c r="H692" s="5"/>
      <c r="I692" s="5"/>
      <c r="J692" s="5"/>
      <c r="N692" s="199"/>
      <c r="P692" s="15"/>
      <c r="Q692" s="15"/>
      <c r="R692" s="15"/>
      <c r="S692" s="15"/>
      <c r="T692" s="15"/>
      <c r="U692" s="199"/>
      <c r="AE692" s="15"/>
      <c r="AF692" s="15"/>
    </row>
    <row r="693" ht="15.0" customHeight="1">
      <c r="A693" s="199"/>
      <c r="H693" s="5"/>
      <c r="I693" s="5"/>
      <c r="J693" s="5"/>
      <c r="N693" s="199"/>
      <c r="P693" s="15"/>
      <c r="Q693" s="15"/>
      <c r="R693" s="15"/>
      <c r="S693" s="15"/>
      <c r="T693" s="15"/>
      <c r="U693" s="199"/>
      <c r="AE693" s="15"/>
      <c r="AF693" s="15"/>
    </row>
    <row r="694" ht="15.0" customHeight="1">
      <c r="A694" s="199"/>
      <c r="H694" s="5"/>
      <c r="I694" s="5"/>
      <c r="J694" s="5"/>
      <c r="N694" s="199"/>
      <c r="P694" s="15"/>
      <c r="Q694" s="15"/>
      <c r="R694" s="15"/>
      <c r="S694" s="15"/>
      <c r="T694" s="15"/>
      <c r="U694" s="199"/>
      <c r="AE694" s="15"/>
      <c r="AF694" s="15"/>
    </row>
    <row r="695" ht="15.0" customHeight="1">
      <c r="A695" s="199"/>
      <c r="H695" s="5"/>
      <c r="I695" s="5"/>
      <c r="J695" s="5"/>
      <c r="N695" s="199"/>
      <c r="P695" s="15"/>
      <c r="Q695" s="15"/>
      <c r="R695" s="15"/>
      <c r="S695" s="15"/>
      <c r="T695" s="15"/>
      <c r="U695" s="199"/>
      <c r="AE695" s="15"/>
      <c r="AF695" s="15"/>
    </row>
    <row r="696" ht="15.0" customHeight="1">
      <c r="A696" s="199"/>
      <c r="H696" s="5"/>
      <c r="I696" s="5"/>
      <c r="J696" s="5"/>
      <c r="N696" s="199"/>
      <c r="P696" s="15"/>
      <c r="Q696" s="15"/>
      <c r="R696" s="15"/>
      <c r="S696" s="15"/>
      <c r="T696" s="15"/>
      <c r="U696" s="199"/>
      <c r="AE696" s="15"/>
      <c r="AF696" s="15"/>
    </row>
    <row r="697" ht="15.0" customHeight="1">
      <c r="A697" s="199"/>
      <c r="H697" s="5"/>
      <c r="I697" s="5"/>
      <c r="J697" s="5"/>
      <c r="N697" s="199"/>
      <c r="P697" s="15"/>
      <c r="Q697" s="15"/>
      <c r="R697" s="15"/>
      <c r="S697" s="15"/>
      <c r="T697" s="15"/>
      <c r="U697" s="199"/>
      <c r="AE697" s="15"/>
      <c r="AF697" s="15"/>
    </row>
    <row r="698" ht="15.0" customHeight="1">
      <c r="A698" s="199"/>
      <c r="H698" s="5"/>
      <c r="I698" s="5"/>
      <c r="J698" s="5"/>
      <c r="N698" s="199"/>
      <c r="P698" s="15"/>
      <c r="Q698" s="15"/>
      <c r="R698" s="15"/>
      <c r="S698" s="15"/>
      <c r="T698" s="15"/>
      <c r="U698" s="199"/>
      <c r="AE698" s="15"/>
      <c r="AF698" s="15"/>
    </row>
    <row r="699" ht="15.0" customHeight="1">
      <c r="A699" s="199"/>
      <c r="H699" s="5"/>
      <c r="I699" s="5"/>
      <c r="J699" s="5"/>
      <c r="N699" s="199"/>
      <c r="P699" s="15"/>
      <c r="Q699" s="15"/>
      <c r="R699" s="15"/>
      <c r="S699" s="15"/>
      <c r="T699" s="15"/>
      <c r="U699" s="199"/>
      <c r="AE699" s="15"/>
      <c r="AF699" s="15"/>
    </row>
    <row r="700" ht="15.0" customHeight="1">
      <c r="A700" s="199"/>
      <c r="H700" s="5"/>
      <c r="I700" s="5"/>
      <c r="J700" s="5"/>
      <c r="N700" s="199"/>
      <c r="P700" s="15"/>
      <c r="Q700" s="15"/>
      <c r="R700" s="15"/>
      <c r="S700" s="15"/>
      <c r="T700" s="15"/>
      <c r="U700" s="199"/>
      <c r="AE700" s="15"/>
      <c r="AF700" s="15"/>
    </row>
    <row r="701" ht="15.0" customHeight="1">
      <c r="A701" s="199"/>
      <c r="H701" s="5"/>
      <c r="I701" s="5"/>
      <c r="J701" s="5"/>
      <c r="N701" s="199"/>
      <c r="P701" s="15"/>
      <c r="Q701" s="15"/>
      <c r="R701" s="15"/>
      <c r="S701" s="15"/>
      <c r="T701" s="15"/>
      <c r="U701" s="199"/>
      <c r="AE701" s="15"/>
      <c r="AF701" s="15"/>
    </row>
    <row r="702" ht="15.0" customHeight="1">
      <c r="A702" s="199"/>
      <c r="H702" s="5"/>
      <c r="I702" s="5"/>
      <c r="J702" s="5"/>
      <c r="N702" s="199"/>
      <c r="P702" s="15"/>
      <c r="Q702" s="15"/>
      <c r="R702" s="15"/>
      <c r="S702" s="15"/>
      <c r="T702" s="15"/>
      <c r="U702" s="199"/>
      <c r="AE702" s="15"/>
      <c r="AF702" s="15"/>
    </row>
    <row r="703" ht="15.0" customHeight="1">
      <c r="A703" s="199"/>
      <c r="H703" s="5"/>
      <c r="I703" s="5"/>
      <c r="J703" s="5"/>
      <c r="N703" s="199"/>
      <c r="P703" s="15"/>
      <c r="Q703" s="15"/>
      <c r="R703" s="15"/>
      <c r="S703" s="15"/>
      <c r="T703" s="15"/>
      <c r="U703" s="199"/>
      <c r="AE703" s="15"/>
      <c r="AF703" s="15"/>
    </row>
    <row r="704" ht="15.0" customHeight="1">
      <c r="A704" s="199"/>
      <c r="H704" s="5"/>
      <c r="I704" s="5"/>
      <c r="J704" s="5"/>
      <c r="N704" s="199"/>
      <c r="P704" s="15"/>
      <c r="Q704" s="15"/>
      <c r="R704" s="15"/>
      <c r="S704" s="15"/>
      <c r="T704" s="15"/>
      <c r="U704" s="199"/>
      <c r="AE704" s="15"/>
      <c r="AF704" s="15"/>
    </row>
    <row r="705" ht="15.0" customHeight="1">
      <c r="A705" s="199"/>
      <c r="H705" s="5"/>
      <c r="I705" s="5"/>
      <c r="J705" s="5"/>
      <c r="N705" s="199"/>
      <c r="P705" s="15"/>
      <c r="Q705" s="15"/>
      <c r="R705" s="15"/>
      <c r="S705" s="15"/>
      <c r="T705" s="15"/>
      <c r="U705" s="199"/>
      <c r="AE705" s="15"/>
      <c r="AF705" s="15"/>
    </row>
    <row r="706" ht="15.0" customHeight="1">
      <c r="A706" s="199"/>
      <c r="H706" s="5"/>
      <c r="I706" s="5"/>
      <c r="J706" s="5"/>
      <c r="N706" s="199"/>
      <c r="P706" s="15"/>
      <c r="Q706" s="15"/>
      <c r="R706" s="15"/>
      <c r="S706" s="15"/>
      <c r="T706" s="15"/>
      <c r="U706" s="199"/>
      <c r="AE706" s="15"/>
      <c r="AF706" s="15"/>
    </row>
    <row r="707" ht="15.0" customHeight="1">
      <c r="A707" s="199"/>
      <c r="H707" s="5"/>
      <c r="I707" s="5"/>
      <c r="J707" s="5"/>
      <c r="N707" s="199"/>
      <c r="P707" s="15"/>
      <c r="Q707" s="15"/>
      <c r="R707" s="15"/>
      <c r="S707" s="15"/>
      <c r="T707" s="15"/>
      <c r="U707" s="199"/>
      <c r="AE707" s="15"/>
      <c r="AF707" s="15"/>
    </row>
    <row r="708" ht="15.0" customHeight="1">
      <c r="A708" s="199"/>
      <c r="H708" s="5"/>
      <c r="I708" s="5"/>
      <c r="J708" s="5"/>
      <c r="N708" s="199"/>
      <c r="P708" s="15"/>
      <c r="Q708" s="15"/>
      <c r="R708" s="15"/>
      <c r="S708" s="15"/>
      <c r="T708" s="15"/>
      <c r="U708" s="199"/>
      <c r="AE708" s="15"/>
      <c r="AF708" s="15"/>
    </row>
    <row r="709" ht="15.0" customHeight="1">
      <c r="A709" s="199"/>
      <c r="H709" s="5"/>
      <c r="I709" s="5"/>
      <c r="J709" s="5"/>
      <c r="N709" s="199"/>
      <c r="P709" s="15"/>
      <c r="Q709" s="15"/>
      <c r="R709" s="15"/>
      <c r="S709" s="15"/>
      <c r="T709" s="15"/>
      <c r="U709" s="199"/>
      <c r="AE709" s="15"/>
      <c r="AF709" s="15"/>
    </row>
    <row r="710" ht="15.0" customHeight="1">
      <c r="A710" s="199"/>
      <c r="H710" s="5"/>
      <c r="I710" s="5"/>
      <c r="J710" s="5"/>
      <c r="N710" s="199"/>
      <c r="P710" s="15"/>
      <c r="Q710" s="15"/>
      <c r="R710" s="15"/>
      <c r="S710" s="15"/>
      <c r="T710" s="15"/>
      <c r="U710" s="199"/>
      <c r="AE710" s="15"/>
      <c r="AF710" s="15"/>
    </row>
    <row r="711" ht="15.0" customHeight="1">
      <c r="A711" s="199"/>
      <c r="H711" s="5"/>
      <c r="I711" s="5"/>
      <c r="J711" s="5"/>
      <c r="N711" s="199"/>
      <c r="P711" s="15"/>
      <c r="Q711" s="15"/>
      <c r="R711" s="15"/>
      <c r="S711" s="15"/>
      <c r="T711" s="15"/>
      <c r="U711" s="199"/>
      <c r="AE711" s="15"/>
      <c r="AF711" s="15"/>
    </row>
    <row r="712" ht="15.0" customHeight="1">
      <c r="A712" s="199"/>
      <c r="H712" s="5"/>
      <c r="I712" s="5"/>
      <c r="J712" s="5"/>
      <c r="N712" s="199"/>
      <c r="P712" s="15"/>
      <c r="Q712" s="15"/>
      <c r="R712" s="15"/>
      <c r="S712" s="15"/>
      <c r="T712" s="15"/>
      <c r="U712" s="199"/>
      <c r="AE712" s="15"/>
      <c r="AF712" s="15"/>
    </row>
    <row r="713" ht="15.0" customHeight="1">
      <c r="A713" s="199"/>
      <c r="H713" s="5"/>
      <c r="I713" s="5"/>
      <c r="J713" s="5"/>
      <c r="N713" s="199"/>
      <c r="P713" s="15"/>
      <c r="Q713" s="15"/>
      <c r="R713" s="15"/>
      <c r="S713" s="15"/>
      <c r="T713" s="15"/>
      <c r="U713" s="199"/>
      <c r="AE713" s="15"/>
      <c r="AF713" s="15"/>
    </row>
    <row r="714" ht="15.0" customHeight="1">
      <c r="A714" s="199"/>
      <c r="H714" s="5"/>
      <c r="I714" s="5"/>
      <c r="J714" s="5"/>
      <c r="N714" s="199"/>
      <c r="P714" s="15"/>
      <c r="Q714" s="15"/>
      <c r="R714" s="15"/>
      <c r="S714" s="15"/>
      <c r="T714" s="15"/>
      <c r="U714" s="199"/>
      <c r="AE714" s="15"/>
      <c r="AF714" s="15"/>
    </row>
    <row r="715" ht="15.0" customHeight="1">
      <c r="A715" s="199"/>
      <c r="H715" s="5"/>
      <c r="I715" s="5"/>
      <c r="J715" s="5"/>
      <c r="N715" s="199"/>
      <c r="P715" s="15"/>
      <c r="Q715" s="15"/>
      <c r="R715" s="15"/>
      <c r="S715" s="15"/>
      <c r="T715" s="15"/>
      <c r="U715" s="199"/>
      <c r="AE715" s="15"/>
      <c r="AF715" s="15"/>
    </row>
    <row r="716" ht="15.0" customHeight="1">
      <c r="A716" s="199"/>
      <c r="H716" s="5"/>
      <c r="I716" s="5"/>
      <c r="J716" s="5"/>
      <c r="N716" s="199"/>
      <c r="P716" s="15"/>
      <c r="Q716" s="15"/>
      <c r="R716" s="15"/>
      <c r="S716" s="15"/>
      <c r="T716" s="15"/>
      <c r="U716" s="199"/>
      <c r="AE716" s="15"/>
      <c r="AF716" s="15"/>
    </row>
    <row r="717" ht="15.0" customHeight="1">
      <c r="A717" s="199"/>
      <c r="H717" s="5"/>
      <c r="I717" s="5"/>
      <c r="J717" s="5"/>
      <c r="N717" s="199"/>
      <c r="P717" s="15"/>
      <c r="Q717" s="15"/>
      <c r="R717" s="15"/>
      <c r="S717" s="15"/>
      <c r="T717" s="15"/>
      <c r="U717" s="199"/>
      <c r="AE717" s="15"/>
      <c r="AF717" s="15"/>
    </row>
    <row r="718" ht="15.0" customHeight="1">
      <c r="A718" s="199"/>
      <c r="H718" s="5"/>
      <c r="I718" s="5"/>
      <c r="J718" s="5"/>
      <c r="N718" s="199"/>
      <c r="P718" s="15"/>
      <c r="Q718" s="15"/>
      <c r="R718" s="15"/>
      <c r="S718" s="15"/>
      <c r="T718" s="15"/>
      <c r="U718" s="199"/>
      <c r="AE718" s="15"/>
      <c r="AF718" s="15"/>
    </row>
    <row r="719" ht="15.0" customHeight="1">
      <c r="A719" s="199"/>
      <c r="H719" s="5"/>
      <c r="I719" s="5"/>
      <c r="J719" s="5"/>
      <c r="N719" s="199"/>
      <c r="P719" s="15"/>
      <c r="Q719" s="15"/>
      <c r="R719" s="15"/>
      <c r="S719" s="15"/>
      <c r="T719" s="15"/>
      <c r="U719" s="199"/>
      <c r="AE719" s="15"/>
      <c r="AF719" s="15"/>
    </row>
    <row r="720" ht="15.0" customHeight="1">
      <c r="A720" s="199"/>
      <c r="H720" s="5"/>
      <c r="I720" s="5"/>
      <c r="J720" s="5"/>
      <c r="N720" s="199"/>
      <c r="P720" s="15"/>
      <c r="Q720" s="15"/>
      <c r="R720" s="15"/>
      <c r="S720" s="15"/>
      <c r="T720" s="15"/>
      <c r="U720" s="199"/>
      <c r="AE720" s="15"/>
      <c r="AF720" s="15"/>
    </row>
    <row r="721" ht="15.0" customHeight="1">
      <c r="A721" s="199"/>
      <c r="H721" s="5"/>
      <c r="I721" s="5"/>
      <c r="J721" s="5"/>
      <c r="N721" s="199"/>
      <c r="P721" s="15"/>
      <c r="Q721" s="15"/>
      <c r="R721" s="15"/>
      <c r="S721" s="15"/>
      <c r="T721" s="15"/>
      <c r="U721" s="199"/>
      <c r="AE721" s="15"/>
      <c r="AF721" s="15"/>
    </row>
    <row r="722" ht="15.0" customHeight="1">
      <c r="A722" s="199"/>
      <c r="H722" s="5"/>
      <c r="I722" s="5"/>
      <c r="J722" s="5"/>
      <c r="N722" s="199"/>
      <c r="P722" s="15"/>
      <c r="Q722" s="15"/>
      <c r="R722" s="15"/>
      <c r="S722" s="15"/>
      <c r="T722" s="15"/>
      <c r="U722" s="199"/>
      <c r="AE722" s="15"/>
      <c r="AF722" s="15"/>
    </row>
    <row r="723" ht="15.0" customHeight="1">
      <c r="A723" s="199"/>
      <c r="H723" s="5"/>
      <c r="I723" s="5"/>
      <c r="J723" s="5"/>
      <c r="N723" s="199"/>
      <c r="P723" s="15"/>
      <c r="Q723" s="15"/>
      <c r="R723" s="15"/>
      <c r="S723" s="15"/>
      <c r="T723" s="15"/>
      <c r="U723" s="199"/>
      <c r="AE723" s="15"/>
      <c r="AF723" s="15"/>
    </row>
    <row r="724" ht="15.0" customHeight="1">
      <c r="A724" s="199"/>
      <c r="H724" s="5"/>
      <c r="I724" s="5"/>
      <c r="J724" s="5"/>
      <c r="N724" s="199"/>
      <c r="P724" s="15"/>
      <c r="Q724" s="15"/>
      <c r="R724" s="15"/>
      <c r="S724" s="15"/>
      <c r="T724" s="15"/>
      <c r="U724" s="199"/>
      <c r="AE724" s="15"/>
      <c r="AF724" s="15"/>
    </row>
    <row r="725" ht="15.0" customHeight="1">
      <c r="A725" s="199"/>
      <c r="H725" s="5"/>
      <c r="I725" s="5"/>
      <c r="J725" s="5"/>
      <c r="N725" s="199"/>
      <c r="P725" s="15"/>
      <c r="Q725" s="15"/>
      <c r="R725" s="15"/>
      <c r="S725" s="15"/>
      <c r="T725" s="15"/>
      <c r="U725" s="199"/>
      <c r="AE725" s="15"/>
      <c r="AF725" s="15"/>
    </row>
    <row r="726" ht="15.0" customHeight="1">
      <c r="A726" s="199"/>
      <c r="H726" s="5"/>
      <c r="I726" s="5"/>
      <c r="J726" s="5"/>
      <c r="N726" s="199"/>
      <c r="P726" s="15"/>
      <c r="Q726" s="15"/>
      <c r="R726" s="15"/>
      <c r="S726" s="15"/>
      <c r="T726" s="15"/>
      <c r="U726" s="199"/>
      <c r="AE726" s="15"/>
      <c r="AF726" s="15"/>
    </row>
    <row r="727" ht="15.0" customHeight="1">
      <c r="A727" s="199"/>
      <c r="H727" s="5"/>
      <c r="I727" s="5"/>
      <c r="J727" s="5"/>
      <c r="N727" s="199"/>
      <c r="P727" s="15"/>
      <c r="Q727" s="15"/>
      <c r="R727" s="15"/>
      <c r="S727" s="15"/>
      <c r="T727" s="15"/>
      <c r="U727" s="199"/>
      <c r="AE727" s="15"/>
      <c r="AF727" s="15"/>
    </row>
    <row r="728" ht="15.0" customHeight="1">
      <c r="A728" s="199"/>
      <c r="H728" s="5"/>
      <c r="I728" s="5"/>
      <c r="J728" s="5"/>
      <c r="N728" s="199"/>
      <c r="P728" s="15"/>
      <c r="Q728" s="15"/>
      <c r="R728" s="15"/>
      <c r="S728" s="15"/>
      <c r="T728" s="15"/>
      <c r="U728" s="199"/>
      <c r="AE728" s="15"/>
      <c r="AF728" s="15"/>
    </row>
    <row r="729" ht="15.0" customHeight="1">
      <c r="A729" s="199"/>
      <c r="H729" s="5"/>
      <c r="I729" s="5"/>
      <c r="J729" s="5"/>
      <c r="N729" s="199"/>
      <c r="P729" s="15"/>
      <c r="Q729" s="15"/>
      <c r="R729" s="15"/>
      <c r="S729" s="15"/>
      <c r="T729" s="15"/>
      <c r="U729" s="199"/>
      <c r="AE729" s="15"/>
      <c r="AF729" s="15"/>
    </row>
    <row r="730" ht="15.0" customHeight="1">
      <c r="A730" s="199"/>
      <c r="H730" s="5"/>
      <c r="I730" s="5"/>
      <c r="J730" s="5"/>
      <c r="N730" s="199"/>
      <c r="P730" s="15"/>
      <c r="Q730" s="15"/>
      <c r="R730" s="15"/>
      <c r="S730" s="15"/>
      <c r="T730" s="15"/>
      <c r="U730" s="199"/>
      <c r="AE730" s="15"/>
      <c r="AF730" s="15"/>
    </row>
    <row r="731" ht="15.0" customHeight="1">
      <c r="A731" s="199"/>
      <c r="H731" s="5"/>
      <c r="I731" s="5"/>
      <c r="J731" s="5"/>
      <c r="N731" s="199"/>
      <c r="P731" s="15"/>
      <c r="Q731" s="15"/>
      <c r="R731" s="15"/>
      <c r="S731" s="15"/>
      <c r="T731" s="15"/>
      <c r="U731" s="199"/>
      <c r="AE731" s="15"/>
      <c r="AF731" s="15"/>
    </row>
    <row r="732" ht="15.0" customHeight="1">
      <c r="A732" s="199"/>
      <c r="H732" s="5"/>
      <c r="I732" s="5"/>
      <c r="J732" s="5"/>
      <c r="N732" s="199"/>
      <c r="P732" s="15"/>
      <c r="Q732" s="15"/>
      <c r="R732" s="15"/>
      <c r="S732" s="15"/>
      <c r="T732" s="15"/>
      <c r="U732" s="199"/>
      <c r="AE732" s="15"/>
      <c r="AF732" s="15"/>
    </row>
    <row r="733" ht="15.0" customHeight="1">
      <c r="A733" s="199"/>
      <c r="H733" s="5"/>
      <c r="I733" s="5"/>
      <c r="J733" s="5"/>
      <c r="N733" s="199"/>
      <c r="P733" s="15"/>
      <c r="Q733" s="15"/>
      <c r="R733" s="15"/>
      <c r="S733" s="15"/>
      <c r="T733" s="15"/>
      <c r="U733" s="199"/>
      <c r="AE733" s="15"/>
      <c r="AF733" s="15"/>
    </row>
    <row r="734" ht="15.0" customHeight="1">
      <c r="A734" s="199"/>
      <c r="H734" s="5"/>
      <c r="I734" s="5"/>
      <c r="J734" s="5"/>
      <c r="N734" s="199"/>
      <c r="P734" s="15"/>
      <c r="Q734" s="15"/>
      <c r="R734" s="15"/>
      <c r="S734" s="15"/>
      <c r="T734" s="15"/>
      <c r="U734" s="199"/>
      <c r="AE734" s="15"/>
      <c r="AF734" s="15"/>
    </row>
    <row r="735" ht="15.0" customHeight="1">
      <c r="A735" s="199"/>
      <c r="H735" s="5"/>
      <c r="I735" s="5"/>
      <c r="J735" s="5"/>
      <c r="N735" s="199"/>
      <c r="P735" s="15"/>
      <c r="Q735" s="15"/>
      <c r="R735" s="15"/>
      <c r="S735" s="15"/>
      <c r="T735" s="15"/>
      <c r="U735" s="199"/>
      <c r="AE735" s="15"/>
      <c r="AF735" s="15"/>
    </row>
    <row r="736" ht="15.0" customHeight="1">
      <c r="A736" s="199"/>
      <c r="H736" s="5"/>
      <c r="I736" s="5"/>
      <c r="J736" s="5"/>
      <c r="N736" s="199"/>
      <c r="P736" s="15"/>
      <c r="Q736" s="15"/>
      <c r="R736" s="15"/>
      <c r="S736" s="15"/>
      <c r="T736" s="15"/>
      <c r="U736" s="199"/>
      <c r="AE736" s="15"/>
      <c r="AF736" s="15"/>
    </row>
    <row r="737" ht="15.0" customHeight="1">
      <c r="A737" s="199"/>
      <c r="H737" s="5"/>
      <c r="I737" s="5"/>
      <c r="J737" s="5"/>
      <c r="N737" s="199"/>
      <c r="P737" s="15"/>
      <c r="Q737" s="15"/>
      <c r="R737" s="15"/>
      <c r="S737" s="15"/>
      <c r="T737" s="15"/>
      <c r="U737" s="199"/>
      <c r="AE737" s="15"/>
      <c r="AF737" s="15"/>
    </row>
    <row r="738" ht="15.0" customHeight="1">
      <c r="A738" s="199"/>
      <c r="H738" s="5"/>
      <c r="I738" s="5"/>
      <c r="J738" s="5"/>
      <c r="N738" s="199"/>
      <c r="P738" s="15"/>
      <c r="Q738" s="15"/>
      <c r="R738" s="15"/>
      <c r="S738" s="15"/>
      <c r="T738" s="15"/>
      <c r="U738" s="199"/>
      <c r="AE738" s="15"/>
      <c r="AF738" s="15"/>
    </row>
    <row r="739" ht="15.0" customHeight="1">
      <c r="A739" s="199"/>
      <c r="H739" s="5"/>
      <c r="I739" s="5"/>
      <c r="J739" s="5"/>
      <c r="N739" s="199"/>
      <c r="P739" s="15"/>
      <c r="Q739" s="15"/>
      <c r="R739" s="15"/>
      <c r="S739" s="15"/>
      <c r="T739" s="15"/>
      <c r="U739" s="199"/>
      <c r="AE739" s="15"/>
      <c r="AF739" s="15"/>
    </row>
    <row r="740" ht="15.0" customHeight="1">
      <c r="A740" s="199"/>
      <c r="H740" s="5"/>
      <c r="I740" s="5"/>
      <c r="J740" s="5"/>
      <c r="N740" s="199"/>
      <c r="P740" s="15"/>
      <c r="Q740" s="15"/>
      <c r="R740" s="15"/>
      <c r="S740" s="15"/>
      <c r="T740" s="15"/>
      <c r="U740" s="199"/>
      <c r="AE740" s="15"/>
      <c r="AF740" s="15"/>
    </row>
    <row r="741" ht="15.0" customHeight="1">
      <c r="A741" s="199"/>
      <c r="H741" s="5"/>
      <c r="I741" s="5"/>
      <c r="J741" s="5"/>
      <c r="N741" s="199"/>
      <c r="P741" s="15"/>
      <c r="Q741" s="15"/>
      <c r="R741" s="15"/>
      <c r="S741" s="15"/>
      <c r="T741" s="15"/>
      <c r="U741" s="199"/>
      <c r="AE741" s="15"/>
      <c r="AF741" s="15"/>
    </row>
    <row r="742" ht="15.0" customHeight="1">
      <c r="A742" s="199"/>
      <c r="H742" s="5"/>
      <c r="I742" s="5"/>
      <c r="J742" s="5"/>
      <c r="N742" s="199"/>
      <c r="P742" s="15"/>
      <c r="Q742" s="15"/>
      <c r="R742" s="15"/>
      <c r="S742" s="15"/>
      <c r="T742" s="15"/>
      <c r="U742" s="199"/>
      <c r="AE742" s="15"/>
      <c r="AF742" s="15"/>
    </row>
    <row r="743" ht="15.0" customHeight="1">
      <c r="A743" s="199"/>
      <c r="H743" s="5"/>
      <c r="I743" s="5"/>
      <c r="J743" s="5"/>
      <c r="N743" s="199"/>
      <c r="P743" s="15"/>
      <c r="Q743" s="15"/>
      <c r="R743" s="15"/>
      <c r="S743" s="15"/>
      <c r="T743" s="15"/>
      <c r="U743" s="199"/>
      <c r="AE743" s="15"/>
      <c r="AF743" s="15"/>
    </row>
    <row r="744" ht="15.0" customHeight="1">
      <c r="A744" s="199"/>
      <c r="H744" s="5"/>
      <c r="I744" s="5"/>
      <c r="J744" s="5"/>
      <c r="N744" s="199"/>
      <c r="P744" s="15"/>
      <c r="Q744" s="15"/>
      <c r="R744" s="15"/>
      <c r="S744" s="15"/>
      <c r="T744" s="15"/>
      <c r="U744" s="199"/>
      <c r="AE744" s="15"/>
      <c r="AF744" s="15"/>
    </row>
    <row r="745" ht="15.0" customHeight="1">
      <c r="A745" s="199"/>
      <c r="H745" s="5"/>
      <c r="I745" s="5"/>
      <c r="J745" s="5"/>
      <c r="N745" s="199"/>
      <c r="P745" s="15"/>
      <c r="Q745" s="15"/>
      <c r="R745" s="15"/>
      <c r="S745" s="15"/>
      <c r="T745" s="15"/>
      <c r="U745" s="199"/>
      <c r="AE745" s="15"/>
      <c r="AF745" s="15"/>
    </row>
    <row r="746" ht="15.0" customHeight="1">
      <c r="A746" s="199"/>
      <c r="H746" s="5"/>
      <c r="I746" s="5"/>
      <c r="J746" s="5"/>
      <c r="N746" s="199"/>
      <c r="P746" s="15"/>
      <c r="Q746" s="15"/>
      <c r="R746" s="15"/>
      <c r="S746" s="15"/>
      <c r="T746" s="15"/>
      <c r="U746" s="199"/>
      <c r="AE746" s="15"/>
      <c r="AF746" s="15"/>
    </row>
    <row r="747" ht="15.0" customHeight="1">
      <c r="A747" s="199"/>
      <c r="H747" s="5"/>
      <c r="I747" s="5"/>
      <c r="J747" s="5"/>
      <c r="N747" s="199"/>
      <c r="P747" s="15"/>
      <c r="Q747" s="15"/>
      <c r="R747" s="15"/>
      <c r="S747" s="15"/>
      <c r="T747" s="15"/>
      <c r="U747" s="199"/>
      <c r="AE747" s="15"/>
      <c r="AF747" s="15"/>
    </row>
    <row r="748" ht="15.0" customHeight="1">
      <c r="A748" s="199"/>
      <c r="H748" s="5"/>
      <c r="I748" s="5"/>
      <c r="J748" s="5"/>
      <c r="N748" s="199"/>
      <c r="P748" s="15"/>
      <c r="Q748" s="15"/>
      <c r="R748" s="15"/>
      <c r="S748" s="15"/>
      <c r="T748" s="15"/>
      <c r="U748" s="199"/>
      <c r="AE748" s="15"/>
      <c r="AF748" s="15"/>
    </row>
    <row r="749" ht="15.0" customHeight="1">
      <c r="A749" s="199"/>
      <c r="H749" s="5"/>
      <c r="I749" s="5"/>
      <c r="J749" s="5"/>
      <c r="N749" s="199"/>
      <c r="P749" s="15"/>
      <c r="Q749" s="15"/>
      <c r="R749" s="15"/>
      <c r="S749" s="15"/>
      <c r="T749" s="15"/>
      <c r="U749" s="199"/>
      <c r="AE749" s="15"/>
      <c r="AF749" s="15"/>
    </row>
    <row r="750" ht="15.0" customHeight="1">
      <c r="A750" s="199"/>
      <c r="H750" s="5"/>
      <c r="I750" s="5"/>
      <c r="J750" s="5"/>
      <c r="N750" s="199"/>
      <c r="P750" s="15"/>
      <c r="Q750" s="15"/>
      <c r="R750" s="15"/>
      <c r="S750" s="15"/>
      <c r="T750" s="15"/>
      <c r="U750" s="199"/>
      <c r="AE750" s="15"/>
      <c r="AF750" s="15"/>
    </row>
    <row r="751" ht="15.0" customHeight="1">
      <c r="A751" s="199"/>
      <c r="H751" s="5"/>
      <c r="I751" s="5"/>
      <c r="J751" s="5"/>
      <c r="N751" s="199"/>
      <c r="P751" s="15"/>
      <c r="Q751" s="15"/>
      <c r="R751" s="15"/>
      <c r="S751" s="15"/>
      <c r="T751" s="15"/>
      <c r="U751" s="199"/>
      <c r="AE751" s="15"/>
      <c r="AF751" s="15"/>
    </row>
    <row r="752" ht="15.0" customHeight="1">
      <c r="A752" s="199"/>
      <c r="H752" s="5"/>
      <c r="I752" s="5"/>
      <c r="J752" s="5"/>
      <c r="N752" s="199"/>
      <c r="P752" s="15"/>
      <c r="Q752" s="15"/>
      <c r="R752" s="15"/>
      <c r="S752" s="15"/>
      <c r="T752" s="15"/>
      <c r="U752" s="199"/>
      <c r="AE752" s="15"/>
      <c r="AF752" s="15"/>
    </row>
    <row r="753" ht="15.0" customHeight="1">
      <c r="A753" s="199"/>
      <c r="H753" s="5"/>
      <c r="I753" s="5"/>
      <c r="J753" s="5"/>
      <c r="N753" s="199"/>
      <c r="P753" s="15"/>
      <c r="Q753" s="15"/>
      <c r="R753" s="15"/>
      <c r="S753" s="15"/>
      <c r="T753" s="15"/>
      <c r="U753" s="199"/>
      <c r="AE753" s="15"/>
      <c r="AF753" s="15"/>
    </row>
    <row r="754" ht="15.0" customHeight="1">
      <c r="A754" s="199"/>
      <c r="H754" s="5"/>
      <c r="I754" s="5"/>
      <c r="J754" s="5"/>
      <c r="N754" s="199"/>
      <c r="P754" s="15"/>
      <c r="Q754" s="15"/>
      <c r="R754" s="15"/>
      <c r="S754" s="15"/>
      <c r="T754" s="15"/>
      <c r="U754" s="199"/>
      <c r="AE754" s="15"/>
      <c r="AF754" s="15"/>
    </row>
    <row r="755" ht="15.0" customHeight="1">
      <c r="A755" s="199"/>
      <c r="H755" s="5"/>
      <c r="I755" s="5"/>
      <c r="J755" s="5"/>
      <c r="N755" s="199"/>
      <c r="P755" s="15"/>
      <c r="Q755" s="15"/>
      <c r="R755" s="15"/>
      <c r="S755" s="15"/>
      <c r="T755" s="15"/>
      <c r="U755" s="199"/>
      <c r="AE755" s="15"/>
      <c r="AF755" s="15"/>
    </row>
    <row r="756" ht="15.0" customHeight="1">
      <c r="A756" s="199"/>
      <c r="H756" s="5"/>
      <c r="I756" s="5"/>
      <c r="J756" s="5"/>
      <c r="N756" s="199"/>
      <c r="P756" s="15"/>
      <c r="Q756" s="15"/>
      <c r="R756" s="15"/>
      <c r="S756" s="15"/>
      <c r="T756" s="15"/>
      <c r="U756" s="199"/>
      <c r="AE756" s="15"/>
      <c r="AF756" s="15"/>
    </row>
    <row r="757" ht="15.0" customHeight="1">
      <c r="A757" s="199"/>
      <c r="H757" s="5"/>
      <c r="I757" s="5"/>
      <c r="J757" s="5"/>
      <c r="N757" s="199"/>
      <c r="P757" s="15"/>
      <c r="Q757" s="15"/>
      <c r="R757" s="15"/>
      <c r="S757" s="15"/>
      <c r="T757" s="15"/>
      <c r="U757" s="199"/>
      <c r="AE757" s="15"/>
      <c r="AF757" s="15"/>
    </row>
    <row r="758" ht="15.0" customHeight="1">
      <c r="A758" s="199"/>
      <c r="H758" s="5"/>
      <c r="I758" s="5"/>
      <c r="J758" s="5"/>
      <c r="N758" s="199"/>
      <c r="P758" s="15"/>
      <c r="Q758" s="15"/>
      <c r="R758" s="15"/>
      <c r="S758" s="15"/>
      <c r="T758" s="15"/>
      <c r="U758" s="199"/>
      <c r="AE758" s="15"/>
      <c r="AF758" s="15"/>
    </row>
    <row r="759" ht="15.0" customHeight="1">
      <c r="A759" s="199"/>
      <c r="H759" s="5"/>
      <c r="I759" s="5"/>
      <c r="J759" s="5"/>
      <c r="N759" s="199"/>
      <c r="P759" s="15"/>
      <c r="Q759" s="15"/>
      <c r="R759" s="15"/>
      <c r="S759" s="15"/>
      <c r="T759" s="15"/>
      <c r="U759" s="199"/>
      <c r="AE759" s="15"/>
      <c r="AF759" s="15"/>
    </row>
    <row r="760" ht="15.0" customHeight="1">
      <c r="A760" s="199"/>
      <c r="H760" s="5"/>
      <c r="I760" s="5"/>
      <c r="J760" s="5"/>
      <c r="N760" s="199"/>
      <c r="P760" s="15"/>
      <c r="Q760" s="15"/>
      <c r="R760" s="15"/>
      <c r="S760" s="15"/>
      <c r="T760" s="15"/>
      <c r="U760" s="199"/>
      <c r="AE760" s="15"/>
      <c r="AF760" s="15"/>
    </row>
    <row r="761" ht="15.0" customHeight="1">
      <c r="A761" s="199"/>
      <c r="H761" s="5"/>
      <c r="I761" s="5"/>
      <c r="J761" s="5"/>
      <c r="N761" s="199"/>
      <c r="P761" s="15"/>
      <c r="Q761" s="15"/>
      <c r="R761" s="15"/>
      <c r="S761" s="15"/>
      <c r="T761" s="15"/>
      <c r="U761" s="199"/>
      <c r="AE761" s="15"/>
      <c r="AF761" s="15"/>
    </row>
    <row r="762" ht="15.0" customHeight="1">
      <c r="A762" s="199"/>
      <c r="H762" s="5"/>
      <c r="I762" s="5"/>
      <c r="J762" s="5"/>
      <c r="N762" s="199"/>
      <c r="P762" s="15"/>
      <c r="Q762" s="15"/>
      <c r="R762" s="15"/>
      <c r="S762" s="15"/>
      <c r="T762" s="15"/>
      <c r="U762" s="199"/>
      <c r="AE762" s="15"/>
      <c r="AF762" s="15"/>
    </row>
    <row r="763" ht="15.0" customHeight="1">
      <c r="A763" s="199"/>
      <c r="H763" s="5"/>
      <c r="I763" s="5"/>
      <c r="J763" s="5"/>
      <c r="N763" s="199"/>
      <c r="P763" s="15"/>
      <c r="Q763" s="15"/>
      <c r="R763" s="15"/>
      <c r="S763" s="15"/>
      <c r="T763" s="15"/>
      <c r="U763" s="199"/>
      <c r="AE763" s="15"/>
      <c r="AF763" s="15"/>
    </row>
    <row r="764" ht="15.0" customHeight="1">
      <c r="A764" s="199"/>
      <c r="H764" s="5"/>
      <c r="I764" s="5"/>
      <c r="J764" s="5"/>
      <c r="N764" s="199"/>
      <c r="P764" s="15"/>
      <c r="Q764" s="15"/>
      <c r="R764" s="15"/>
      <c r="S764" s="15"/>
      <c r="T764" s="15"/>
      <c r="U764" s="199"/>
      <c r="AE764" s="15"/>
      <c r="AF764" s="15"/>
    </row>
    <row r="765" ht="15.0" customHeight="1">
      <c r="A765" s="199"/>
      <c r="H765" s="5"/>
      <c r="I765" s="5"/>
      <c r="J765" s="5"/>
      <c r="N765" s="199"/>
      <c r="P765" s="15"/>
      <c r="Q765" s="15"/>
      <c r="R765" s="15"/>
      <c r="S765" s="15"/>
      <c r="T765" s="15"/>
      <c r="U765" s="199"/>
      <c r="AE765" s="15"/>
      <c r="AF765" s="15"/>
    </row>
    <row r="766" ht="15.0" customHeight="1">
      <c r="A766" s="199"/>
      <c r="H766" s="5"/>
      <c r="I766" s="5"/>
      <c r="J766" s="5"/>
      <c r="N766" s="199"/>
      <c r="P766" s="15"/>
      <c r="Q766" s="15"/>
      <c r="R766" s="15"/>
      <c r="S766" s="15"/>
      <c r="T766" s="15"/>
      <c r="U766" s="199"/>
      <c r="AE766" s="15"/>
      <c r="AF766" s="15"/>
    </row>
    <row r="767" ht="15.0" customHeight="1">
      <c r="A767" s="199"/>
      <c r="H767" s="5"/>
      <c r="I767" s="5"/>
      <c r="J767" s="5"/>
      <c r="N767" s="199"/>
      <c r="P767" s="15"/>
      <c r="Q767" s="15"/>
      <c r="R767" s="15"/>
      <c r="S767" s="15"/>
      <c r="T767" s="15"/>
      <c r="U767" s="199"/>
      <c r="AE767" s="15"/>
      <c r="AF767" s="15"/>
    </row>
    <row r="768" ht="15.0" customHeight="1">
      <c r="A768" s="199"/>
      <c r="H768" s="5"/>
      <c r="I768" s="5"/>
      <c r="J768" s="5"/>
      <c r="N768" s="199"/>
      <c r="P768" s="15"/>
      <c r="Q768" s="15"/>
      <c r="R768" s="15"/>
      <c r="S768" s="15"/>
      <c r="T768" s="15"/>
      <c r="U768" s="199"/>
      <c r="AE768" s="15"/>
      <c r="AF768" s="15"/>
    </row>
    <row r="769" ht="15.0" customHeight="1">
      <c r="A769" s="199"/>
      <c r="H769" s="5"/>
      <c r="I769" s="5"/>
      <c r="J769" s="5"/>
      <c r="N769" s="199"/>
      <c r="P769" s="15"/>
      <c r="Q769" s="15"/>
      <c r="R769" s="15"/>
      <c r="S769" s="15"/>
      <c r="T769" s="15"/>
      <c r="U769" s="199"/>
      <c r="AE769" s="15"/>
      <c r="AF769" s="15"/>
    </row>
    <row r="770" ht="15.0" customHeight="1">
      <c r="A770" s="199"/>
      <c r="H770" s="5"/>
      <c r="I770" s="5"/>
      <c r="J770" s="5"/>
      <c r="N770" s="199"/>
      <c r="P770" s="15"/>
      <c r="Q770" s="15"/>
      <c r="R770" s="15"/>
      <c r="S770" s="15"/>
      <c r="T770" s="15"/>
      <c r="U770" s="199"/>
      <c r="AE770" s="15"/>
      <c r="AF770" s="15"/>
    </row>
    <row r="771" ht="15.0" customHeight="1">
      <c r="A771" s="199"/>
      <c r="H771" s="5"/>
      <c r="I771" s="5"/>
      <c r="J771" s="5"/>
      <c r="N771" s="199"/>
      <c r="P771" s="15"/>
      <c r="Q771" s="15"/>
      <c r="R771" s="15"/>
      <c r="S771" s="15"/>
      <c r="T771" s="15"/>
      <c r="U771" s="199"/>
      <c r="AE771" s="15"/>
      <c r="AF771" s="15"/>
    </row>
    <row r="772" ht="15.0" customHeight="1">
      <c r="A772" s="199"/>
      <c r="H772" s="5"/>
      <c r="I772" s="5"/>
      <c r="J772" s="5"/>
      <c r="N772" s="199"/>
      <c r="P772" s="15"/>
      <c r="Q772" s="15"/>
      <c r="R772" s="15"/>
      <c r="S772" s="15"/>
      <c r="T772" s="15"/>
      <c r="U772" s="199"/>
      <c r="AE772" s="15"/>
      <c r="AF772" s="15"/>
    </row>
    <row r="773" ht="15.0" customHeight="1">
      <c r="A773" s="199"/>
      <c r="H773" s="5"/>
      <c r="I773" s="5"/>
      <c r="J773" s="5"/>
      <c r="N773" s="199"/>
      <c r="P773" s="15"/>
      <c r="Q773" s="15"/>
      <c r="R773" s="15"/>
      <c r="S773" s="15"/>
      <c r="T773" s="15"/>
      <c r="U773" s="199"/>
      <c r="AE773" s="15"/>
      <c r="AF773" s="15"/>
    </row>
    <row r="774" ht="15.0" customHeight="1">
      <c r="A774" s="199"/>
      <c r="H774" s="5"/>
      <c r="I774" s="5"/>
      <c r="J774" s="5"/>
      <c r="N774" s="199"/>
      <c r="P774" s="15"/>
      <c r="Q774" s="15"/>
      <c r="R774" s="15"/>
      <c r="S774" s="15"/>
      <c r="T774" s="15"/>
      <c r="U774" s="199"/>
      <c r="AE774" s="15"/>
      <c r="AF774" s="15"/>
    </row>
    <row r="775" ht="15.0" customHeight="1">
      <c r="A775" s="199"/>
      <c r="H775" s="5"/>
      <c r="I775" s="5"/>
      <c r="J775" s="5"/>
      <c r="N775" s="199"/>
      <c r="P775" s="15"/>
      <c r="Q775" s="15"/>
      <c r="R775" s="15"/>
      <c r="S775" s="15"/>
      <c r="T775" s="15"/>
      <c r="U775" s="199"/>
      <c r="AE775" s="15"/>
      <c r="AF775" s="15"/>
    </row>
    <row r="776" ht="15.0" customHeight="1">
      <c r="A776" s="199"/>
      <c r="H776" s="5"/>
      <c r="I776" s="5"/>
      <c r="J776" s="5"/>
      <c r="N776" s="199"/>
      <c r="P776" s="15"/>
      <c r="Q776" s="15"/>
      <c r="R776" s="15"/>
      <c r="S776" s="15"/>
      <c r="T776" s="15"/>
      <c r="U776" s="199"/>
      <c r="AE776" s="15"/>
      <c r="AF776" s="15"/>
    </row>
    <row r="777" ht="15.0" customHeight="1">
      <c r="A777" s="199"/>
      <c r="H777" s="5"/>
      <c r="I777" s="5"/>
      <c r="J777" s="5"/>
      <c r="N777" s="199"/>
      <c r="P777" s="15"/>
      <c r="Q777" s="15"/>
      <c r="R777" s="15"/>
      <c r="S777" s="15"/>
      <c r="T777" s="15"/>
      <c r="U777" s="199"/>
      <c r="AE777" s="15"/>
      <c r="AF777" s="15"/>
    </row>
    <row r="778" ht="15.0" customHeight="1">
      <c r="A778" s="199"/>
      <c r="H778" s="5"/>
      <c r="I778" s="5"/>
      <c r="J778" s="5"/>
      <c r="N778" s="199"/>
      <c r="P778" s="15"/>
      <c r="Q778" s="15"/>
      <c r="R778" s="15"/>
      <c r="S778" s="15"/>
      <c r="T778" s="15"/>
      <c r="U778" s="199"/>
      <c r="AE778" s="15"/>
      <c r="AF778" s="15"/>
    </row>
    <row r="779" ht="15.0" customHeight="1">
      <c r="A779" s="199"/>
      <c r="H779" s="5"/>
      <c r="I779" s="5"/>
      <c r="J779" s="5"/>
      <c r="N779" s="199"/>
      <c r="P779" s="15"/>
      <c r="Q779" s="15"/>
      <c r="R779" s="15"/>
      <c r="S779" s="15"/>
      <c r="T779" s="15"/>
      <c r="U779" s="199"/>
      <c r="AE779" s="15"/>
      <c r="AF779" s="15"/>
    </row>
    <row r="780" ht="15.0" customHeight="1">
      <c r="A780" s="199"/>
      <c r="H780" s="5"/>
      <c r="I780" s="5"/>
      <c r="J780" s="5"/>
      <c r="N780" s="199"/>
      <c r="P780" s="15"/>
      <c r="Q780" s="15"/>
      <c r="R780" s="15"/>
      <c r="S780" s="15"/>
      <c r="T780" s="15"/>
      <c r="U780" s="199"/>
      <c r="AE780" s="15"/>
      <c r="AF780" s="15"/>
    </row>
    <row r="781" ht="15.0" customHeight="1">
      <c r="A781" s="199"/>
      <c r="H781" s="5"/>
      <c r="I781" s="5"/>
      <c r="J781" s="5"/>
      <c r="N781" s="199"/>
      <c r="P781" s="15"/>
      <c r="Q781" s="15"/>
      <c r="R781" s="15"/>
      <c r="S781" s="15"/>
      <c r="T781" s="15"/>
      <c r="U781" s="199"/>
      <c r="AE781" s="15"/>
      <c r="AF781" s="15"/>
    </row>
    <row r="782" ht="15.0" customHeight="1">
      <c r="A782" s="199"/>
      <c r="H782" s="5"/>
      <c r="I782" s="5"/>
      <c r="J782" s="5"/>
      <c r="N782" s="199"/>
      <c r="P782" s="15"/>
      <c r="Q782" s="15"/>
      <c r="R782" s="15"/>
      <c r="S782" s="15"/>
      <c r="T782" s="15"/>
      <c r="U782" s="199"/>
      <c r="AE782" s="15"/>
      <c r="AF782" s="15"/>
    </row>
    <row r="783" ht="15.0" customHeight="1">
      <c r="A783" s="199"/>
      <c r="H783" s="5"/>
      <c r="I783" s="5"/>
      <c r="J783" s="5"/>
      <c r="N783" s="199"/>
      <c r="P783" s="15"/>
      <c r="Q783" s="15"/>
      <c r="R783" s="15"/>
      <c r="S783" s="15"/>
      <c r="T783" s="15"/>
      <c r="U783" s="199"/>
      <c r="AE783" s="15"/>
      <c r="AF783" s="15"/>
    </row>
    <row r="784" ht="15.0" customHeight="1">
      <c r="A784" s="199"/>
      <c r="H784" s="5"/>
      <c r="I784" s="5"/>
      <c r="J784" s="5"/>
      <c r="N784" s="199"/>
      <c r="P784" s="15"/>
      <c r="Q784" s="15"/>
      <c r="R784" s="15"/>
      <c r="S784" s="15"/>
      <c r="T784" s="15"/>
      <c r="U784" s="199"/>
      <c r="AE784" s="15"/>
      <c r="AF784" s="15"/>
    </row>
    <row r="785" ht="15.0" customHeight="1">
      <c r="A785" s="199"/>
      <c r="H785" s="5"/>
      <c r="I785" s="5"/>
      <c r="J785" s="5"/>
      <c r="N785" s="199"/>
      <c r="P785" s="15"/>
      <c r="Q785" s="15"/>
      <c r="R785" s="15"/>
      <c r="S785" s="15"/>
      <c r="T785" s="15"/>
      <c r="U785" s="199"/>
      <c r="AE785" s="15"/>
      <c r="AF785" s="15"/>
    </row>
    <row r="786" ht="15.0" customHeight="1">
      <c r="A786" s="199"/>
      <c r="H786" s="5"/>
      <c r="I786" s="5"/>
      <c r="J786" s="5"/>
      <c r="N786" s="199"/>
      <c r="P786" s="15"/>
      <c r="Q786" s="15"/>
      <c r="R786" s="15"/>
      <c r="S786" s="15"/>
      <c r="T786" s="15"/>
      <c r="U786" s="199"/>
      <c r="AE786" s="15"/>
      <c r="AF786" s="15"/>
    </row>
    <row r="787" ht="15.0" customHeight="1">
      <c r="A787" s="199"/>
      <c r="H787" s="5"/>
      <c r="I787" s="5"/>
      <c r="J787" s="5"/>
      <c r="N787" s="199"/>
      <c r="P787" s="15"/>
      <c r="Q787" s="15"/>
      <c r="R787" s="15"/>
      <c r="S787" s="15"/>
      <c r="T787" s="15"/>
      <c r="U787" s="199"/>
      <c r="AE787" s="15"/>
      <c r="AF787" s="15"/>
    </row>
    <row r="788" ht="15.0" customHeight="1">
      <c r="A788" s="199"/>
      <c r="H788" s="5"/>
      <c r="I788" s="5"/>
      <c r="J788" s="5"/>
      <c r="N788" s="199"/>
      <c r="P788" s="15"/>
      <c r="Q788" s="15"/>
      <c r="R788" s="15"/>
      <c r="S788" s="15"/>
      <c r="T788" s="15"/>
      <c r="U788" s="199"/>
      <c r="AE788" s="15"/>
      <c r="AF788" s="15"/>
    </row>
    <row r="789" ht="15.0" customHeight="1">
      <c r="A789" s="199"/>
      <c r="H789" s="5"/>
      <c r="I789" s="5"/>
      <c r="J789" s="5"/>
      <c r="N789" s="199"/>
      <c r="P789" s="15"/>
      <c r="Q789" s="15"/>
      <c r="R789" s="15"/>
      <c r="S789" s="15"/>
      <c r="T789" s="15"/>
      <c r="U789" s="199"/>
      <c r="AE789" s="15"/>
      <c r="AF789" s="15"/>
    </row>
    <row r="790" ht="15.0" customHeight="1">
      <c r="A790" s="199"/>
      <c r="H790" s="5"/>
      <c r="I790" s="5"/>
      <c r="J790" s="5"/>
      <c r="N790" s="199"/>
      <c r="P790" s="15"/>
      <c r="Q790" s="15"/>
      <c r="R790" s="15"/>
      <c r="S790" s="15"/>
      <c r="T790" s="15"/>
      <c r="U790" s="199"/>
      <c r="AE790" s="15"/>
      <c r="AF790" s="15"/>
    </row>
    <row r="791" ht="15.0" customHeight="1">
      <c r="A791" s="199"/>
      <c r="H791" s="5"/>
      <c r="I791" s="5"/>
      <c r="J791" s="5"/>
      <c r="N791" s="199"/>
      <c r="P791" s="15"/>
      <c r="Q791" s="15"/>
      <c r="R791" s="15"/>
      <c r="S791" s="15"/>
      <c r="T791" s="15"/>
      <c r="U791" s="199"/>
      <c r="AE791" s="15"/>
      <c r="AF791" s="15"/>
    </row>
    <row r="792" ht="15.0" customHeight="1">
      <c r="A792" s="199"/>
      <c r="H792" s="5"/>
      <c r="I792" s="5"/>
      <c r="J792" s="5"/>
      <c r="N792" s="199"/>
      <c r="P792" s="15"/>
      <c r="Q792" s="15"/>
      <c r="R792" s="15"/>
      <c r="S792" s="15"/>
      <c r="T792" s="15"/>
      <c r="U792" s="199"/>
      <c r="AE792" s="15"/>
      <c r="AF792" s="15"/>
    </row>
    <row r="793" ht="15.0" customHeight="1">
      <c r="A793" s="199"/>
      <c r="H793" s="5"/>
      <c r="I793" s="5"/>
      <c r="J793" s="5"/>
      <c r="N793" s="199"/>
      <c r="P793" s="15"/>
      <c r="Q793" s="15"/>
      <c r="R793" s="15"/>
      <c r="S793" s="15"/>
      <c r="T793" s="15"/>
      <c r="U793" s="199"/>
      <c r="AE793" s="15"/>
      <c r="AF793" s="15"/>
    </row>
    <row r="794" ht="15.0" customHeight="1">
      <c r="A794" s="199"/>
      <c r="H794" s="5"/>
      <c r="I794" s="5"/>
      <c r="J794" s="5"/>
      <c r="N794" s="199"/>
      <c r="P794" s="15"/>
      <c r="Q794" s="15"/>
      <c r="R794" s="15"/>
      <c r="S794" s="15"/>
      <c r="T794" s="15"/>
      <c r="U794" s="199"/>
      <c r="AE794" s="15"/>
      <c r="AF794" s="15"/>
    </row>
    <row r="795" ht="15.0" customHeight="1">
      <c r="A795" s="199"/>
      <c r="H795" s="5"/>
      <c r="I795" s="5"/>
      <c r="J795" s="5"/>
      <c r="N795" s="199"/>
      <c r="P795" s="15"/>
      <c r="Q795" s="15"/>
      <c r="R795" s="15"/>
      <c r="S795" s="15"/>
      <c r="T795" s="15"/>
      <c r="U795" s="199"/>
      <c r="AE795" s="15"/>
      <c r="AF795" s="15"/>
    </row>
    <row r="796" ht="15.0" customHeight="1">
      <c r="A796" s="199"/>
      <c r="H796" s="5"/>
      <c r="I796" s="5"/>
      <c r="J796" s="5"/>
      <c r="N796" s="199"/>
      <c r="P796" s="15"/>
      <c r="Q796" s="15"/>
      <c r="R796" s="15"/>
      <c r="S796" s="15"/>
      <c r="T796" s="15"/>
      <c r="U796" s="199"/>
      <c r="AE796" s="15"/>
      <c r="AF796" s="15"/>
    </row>
    <row r="797" ht="15.0" customHeight="1">
      <c r="A797" s="199"/>
      <c r="H797" s="5"/>
      <c r="I797" s="5"/>
      <c r="J797" s="5"/>
      <c r="N797" s="199"/>
      <c r="P797" s="15"/>
      <c r="Q797" s="15"/>
      <c r="R797" s="15"/>
      <c r="S797" s="15"/>
      <c r="T797" s="15"/>
      <c r="U797" s="199"/>
      <c r="AE797" s="15"/>
      <c r="AF797" s="15"/>
    </row>
    <row r="798" ht="15.0" customHeight="1">
      <c r="A798" s="199"/>
      <c r="H798" s="5"/>
      <c r="I798" s="5"/>
      <c r="J798" s="5"/>
      <c r="N798" s="199"/>
      <c r="P798" s="15"/>
      <c r="Q798" s="15"/>
      <c r="R798" s="15"/>
      <c r="S798" s="15"/>
      <c r="T798" s="15"/>
      <c r="U798" s="199"/>
      <c r="AE798" s="15"/>
      <c r="AF798" s="15"/>
    </row>
    <row r="799" ht="15.0" customHeight="1">
      <c r="A799" s="199"/>
      <c r="H799" s="5"/>
      <c r="I799" s="5"/>
      <c r="J799" s="5"/>
      <c r="N799" s="199"/>
      <c r="P799" s="15"/>
      <c r="Q799" s="15"/>
      <c r="R799" s="15"/>
      <c r="S799" s="15"/>
      <c r="T799" s="15"/>
      <c r="U799" s="199"/>
      <c r="AE799" s="15"/>
      <c r="AF799" s="15"/>
    </row>
    <row r="800" ht="15.0" customHeight="1">
      <c r="A800" s="199"/>
      <c r="H800" s="5"/>
      <c r="I800" s="5"/>
      <c r="J800" s="5"/>
      <c r="N800" s="199"/>
      <c r="P800" s="15"/>
      <c r="Q800" s="15"/>
      <c r="R800" s="15"/>
      <c r="S800" s="15"/>
      <c r="T800" s="15"/>
      <c r="U800" s="199"/>
      <c r="AE800" s="15"/>
      <c r="AF800" s="15"/>
    </row>
    <row r="801" ht="15.0" customHeight="1">
      <c r="A801" s="199"/>
      <c r="H801" s="5"/>
      <c r="I801" s="5"/>
      <c r="J801" s="5"/>
      <c r="N801" s="199"/>
      <c r="P801" s="15"/>
      <c r="Q801" s="15"/>
      <c r="R801" s="15"/>
      <c r="S801" s="15"/>
      <c r="T801" s="15"/>
      <c r="U801" s="199"/>
      <c r="AE801" s="15"/>
      <c r="AF801" s="15"/>
    </row>
    <row r="802" ht="15.0" customHeight="1">
      <c r="A802" s="199"/>
      <c r="H802" s="5"/>
      <c r="I802" s="5"/>
      <c r="J802" s="5"/>
      <c r="N802" s="199"/>
      <c r="P802" s="15"/>
      <c r="Q802" s="15"/>
      <c r="R802" s="15"/>
      <c r="S802" s="15"/>
      <c r="T802" s="15"/>
      <c r="U802" s="199"/>
      <c r="AE802" s="15"/>
      <c r="AF802" s="15"/>
    </row>
    <row r="803" ht="15.0" customHeight="1">
      <c r="A803" s="199"/>
      <c r="H803" s="5"/>
      <c r="I803" s="5"/>
      <c r="J803" s="5"/>
      <c r="N803" s="199"/>
      <c r="P803" s="15"/>
      <c r="Q803" s="15"/>
      <c r="R803" s="15"/>
      <c r="S803" s="15"/>
      <c r="T803" s="15"/>
      <c r="U803" s="199"/>
      <c r="AE803" s="15"/>
      <c r="AF803" s="15"/>
    </row>
    <row r="804" ht="15.0" customHeight="1">
      <c r="A804" s="199"/>
      <c r="H804" s="5"/>
      <c r="I804" s="5"/>
      <c r="J804" s="5"/>
      <c r="N804" s="199"/>
      <c r="P804" s="15"/>
      <c r="Q804" s="15"/>
      <c r="R804" s="15"/>
      <c r="S804" s="15"/>
      <c r="T804" s="15"/>
      <c r="U804" s="199"/>
      <c r="AE804" s="15"/>
      <c r="AF804" s="15"/>
    </row>
    <row r="805" ht="15.0" customHeight="1">
      <c r="A805" s="199"/>
      <c r="H805" s="5"/>
      <c r="I805" s="5"/>
      <c r="J805" s="5"/>
      <c r="N805" s="199"/>
      <c r="P805" s="15"/>
      <c r="Q805" s="15"/>
      <c r="R805" s="15"/>
      <c r="S805" s="15"/>
      <c r="T805" s="15"/>
      <c r="U805" s="199"/>
      <c r="AE805" s="15"/>
      <c r="AF805" s="15"/>
    </row>
    <row r="806" ht="15.0" customHeight="1">
      <c r="A806" s="199"/>
      <c r="H806" s="5"/>
      <c r="I806" s="5"/>
      <c r="J806" s="5"/>
      <c r="N806" s="199"/>
      <c r="P806" s="15"/>
      <c r="Q806" s="15"/>
      <c r="R806" s="15"/>
      <c r="S806" s="15"/>
      <c r="T806" s="15"/>
      <c r="U806" s="199"/>
      <c r="AE806" s="15"/>
      <c r="AF806" s="15"/>
    </row>
    <row r="807" ht="15.0" customHeight="1">
      <c r="A807" s="199"/>
      <c r="H807" s="5"/>
      <c r="I807" s="5"/>
      <c r="J807" s="5"/>
      <c r="N807" s="199"/>
      <c r="P807" s="15"/>
      <c r="Q807" s="15"/>
      <c r="R807" s="15"/>
      <c r="S807" s="15"/>
      <c r="T807" s="15"/>
      <c r="U807" s="199"/>
      <c r="AE807" s="15"/>
      <c r="AF807" s="15"/>
    </row>
    <row r="808" ht="15.0" customHeight="1">
      <c r="A808" s="199"/>
      <c r="H808" s="5"/>
      <c r="I808" s="5"/>
      <c r="J808" s="5"/>
      <c r="N808" s="199"/>
      <c r="P808" s="15"/>
      <c r="Q808" s="15"/>
      <c r="R808" s="15"/>
      <c r="S808" s="15"/>
      <c r="T808" s="15"/>
      <c r="U808" s="199"/>
      <c r="AE808" s="15"/>
      <c r="AF808" s="15"/>
    </row>
    <row r="809" ht="15.0" customHeight="1">
      <c r="A809" s="199"/>
      <c r="H809" s="5"/>
      <c r="I809" s="5"/>
      <c r="J809" s="5"/>
      <c r="N809" s="199"/>
      <c r="P809" s="15"/>
      <c r="Q809" s="15"/>
      <c r="R809" s="15"/>
      <c r="S809" s="15"/>
      <c r="T809" s="15"/>
      <c r="U809" s="199"/>
      <c r="AE809" s="15"/>
      <c r="AF809" s="15"/>
    </row>
    <row r="810" ht="15.0" customHeight="1">
      <c r="A810" s="199"/>
      <c r="H810" s="5"/>
      <c r="I810" s="5"/>
      <c r="J810" s="5"/>
      <c r="N810" s="199"/>
      <c r="P810" s="15"/>
      <c r="Q810" s="15"/>
      <c r="R810" s="15"/>
      <c r="S810" s="15"/>
      <c r="T810" s="15"/>
      <c r="U810" s="199"/>
      <c r="AE810" s="15"/>
      <c r="AF810" s="15"/>
    </row>
    <row r="811" ht="15.0" customHeight="1">
      <c r="A811" s="199"/>
      <c r="H811" s="5"/>
      <c r="I811" s="5"/>
      <c r="J811" s="5"/>
      <c r="N811" s="199"/>
      <c r="P811" s="15"/>
      <c r="Q811" s="15"/>
      <c r="R811" s="15"/>
      <c r="S811" s="15"/>
      <c r="T811" s="15"/>
      <c r="U811" s="199"/>
      <c r="AE811" s="15"/>
      <c r="AF811" s="15"/>
    </row>
    <row r="812" ht="15.0" customHeight="1">
      <c r="A812" s="199"/>
      <c r="H812" s="5"/>
      <c r="I812" s="5"/>
      <c r="J812" s="5"/>
      <c r="N812" s="199"/>
      <c r="P812" s="15"/>
      <c r="Q812" s="15"/>
      <c r="R812" s="15"/>
      <c r="S812" s="15"/>
      <c r="T812" s="15"/>
      <c r="U812" s="199"/>
      <c r="AE812" s="15"/>
      <c r="AF812" s="15"/>
    </row>
    <row r="813" ht="15.0" customHeight="1">
      <c r="A813" s="199"/>
      <c r="H813" s="5"/>
      <c r="I813" s="5"/>
      <c r="J813" s="5"/>
      <c r="N813" s="199"/>
      <c r="P813" s="15"/>
      <c r="Q813" s="15"/>
      <c r="R813" s="15"/>
      <c r="S813" s="15"/>
      <c r="T813" s="15"/>
      <c r="U813" s="199"/>
      <c r="AE813" s="15"/>
      <c r="AF813" s="15"/>
    </row>
    <row r="814" ht="15.0" customHeight="1">
      <c r="A814" s="199"/>
      <c r="H814" s="5"/>
      <c r="I814" s="5"/>
      <c r="J814" s="5"/>
      <c r="N814" s="199"/>
      <c r="P814" s="15"/>
      <c r="Q814" s="15"/>
      <c r="R814" s="15"/>
      <c r="S814" s="15"/>
      <c r="T814" s="15"/>
      <c r="U814" s="199"/>
      <c r="AE814" s="15"/>
      <c r="AF814" s="15"/>
    </row>
    <row r="815" ht="15.0" customHeight="1">
      <c r="A815" s="199"/>
      <c r="H815" s="5"/>
      <c r="I815" s="5"/>
      <c r="J815" s="5"/>
      <c r="N815" s="199"/>
      <c r="P815" s="15"/>
      <c r="Q815" s="15"/>
      <c r="R815" s="15"/>
      <c r="S815" s="15"/>
      <c r="T815" s="15"/>
      <c r="U815" s="199"/>
      <c r="AE815" s="15"/>
      <c r="AF815" s="15"/>
    </row>
    <row r="816" ht="15.0" customHeight="1">
      <c r="A816" s="199"/>
      <c r="H816" s="5"/>
      <c r="I816" s="5"/>
      <c r="J816" s="5"/>
      <c r="N816" s="199"/>
      <c r="P816" s="15"/>
      <c r="Q816" s="15"/>
      <c r="R816" s="15"/>
      <c r="S816" s="15"/>
      <c r="T816" s="15"/>
      <c r="U816" s="199"/>
      <c r="AE816" s="15"/>
      <c r="AF816" s="15"/>
    </row>
    <row r="817" ht="15.0" customHeight="1">
      <c r="A817" s="199"/>
      <c r="H817" s="5"/>
      <c r="I817" s="5"/>
      <c r="J817" s="5"/>
      <c r="N817" s="199"/>
      <c r="P817" s="15"/>
      <c r="Q817" s="15"/>
      <c r="R817" s="15"/>
      <c r="S817" s="15"/>
      <c r="T817" s="15"/>
      <c r="U817" s="199"/>
      <c r="AE817" s="15"/>
      <c r="AF817" s="15"/>
    </row>
    <row r="818" ht="15.0" customHeight="1">
      <c r="A818" s="199"/>
      <c r="H818" s="5"/>
      <c r="I818" s="5"/>
      <c r="J818" s="5"/>
      <c r="N818" s="199"/>
      <c r="P818" s="15"/>
      <c r="Q818" s="15"/>
      <c r="R818" s="15"/>
      <c r="S818" s="15"/>
      <c r="T818" s="15"/>
      <c r="U818" s="199"/>
      <c r="AE818" s="15"/>
      <c r="AF818" s="15"/>
    </row>
    <row r="819" ht="15.0" customHeight="1">
      <c r="A819" s="199"/>
      <c r="H819" s="5"/>
      <c r="I819" s="5"/>
      <c r="J819" s="5"/>
      <c r="N819" s="199"/>
      <c r="P819" s="15"/>
      <c r="Q819" s="15"/>
      <c r="R819" s="15"/>
      <c r="S819" s="15"/>
      <c r="T819" s="15"/>
      <c r="U819" s="199"/>
      <c r="AE819" s="15"/>
      <c r="AF819" s="15"/>
    </row>
    <row r="820" ht="15.0" customHeight="1">
      <c r="A820" s="199"/>
      <c r="H820" s="5"/>
      <c r="I820" s="5"/>
      <c r="J820" s="5"/>
      <c r="N820" s="199"/>
      <c r="P820" s="15"/>
      <c r="Q820" s="15"/>
      <c r="R820" s="15"/>
      <c r="S820" s="15"/>
      <c r="T820" s="15"/>
      <c r="U820" s="199"/>
      <c r="AE820" s="15"/>
      <c r="AF820" s="15"/>
    </row>
    <row r="821" ht="15.0" customHeight="1">
      <c r="A821" s="199"/>
      <c r="H821" s="5"/>
      <c r="I821" s="5"/>
      <c r="J821" s="5"/>
      <c r="N821" s="199"/>
      <c r="P821" s="15"/>
      <c r="Q821" s="15"/>
      <c r="R821" s="15"/>
      <c r="S821" s="15"/>
      <c r="T821" s="15"/>
      <c r="U821" s="199"/>
      <c r="AE821" s="15"/>
      <c r="AF821" s="15"/>
    </row>
    <row r="822" ht="15.0" customHeight="1">
      <c r="A822" s="199"/>
      <c r="H822" s="5"/>
      <c r="I822" s="5"/>
      <c r="J822" s="5"/>
      <c r="N822" s="199"/>
      <c r="P822" s="15"/>
      <c r="Q822" s="15"/>
      <c r="R822" s="15"/>
      <c r="S822" s="15"/>
      <c r="T822" s="15"/>
      <c r="U822" s="199"/>
      <c r="AE822" s="15"/>
      <c r="AF822" s="15"/>
    </row>
    <row r="823" ht="15.0" customHeight="1">
      <c r="A823" s="199"/>
      <c r="H823" s="5"/>
      <c r="I823" s="5"/>
      <c r="J823" s="5"/>
      <c r="N823" s="199"/>
      <c r="P823" s="15"/>
      <c r="Q823" s="15"/>
      <c r="R823" s="15"/>
      <c r="S823" s="15"/>
      <c r="T823" s="15"/>
      <c r="U823" s="199"/>
      <c r="AE823" s="15"/>
      <c r="AF823" s="15"/>
    </row>
    <row r="824" ht="15.0" customHeight="1">
      <c r="A824" s="199"/>
      <c r="H824" s="5"/>
      <c r="I824" s="5"/>
      <c r="J824" s="5"/>
      <c r="N824" s="199"/>
      <c r="P824" s="15"/>
      <c r="Q824" s="15"/>
      <c r="R824" s="15"/>
      <c r="S824" s="15"/>
      <c r="T824" s="15"/>
      <c r="U824" s="199"/>
      <c r="AE824" s="15"/>
      <c r="AF824" s="15"/>
    </row>
    <row r="825" ht="15.0" customHeight="1">
      <c r="A825" s="199"/>
      <c r="H825" s="5"/>
      <c r="I825" s="5"/>
      <c r="J825" s="5"/>
      <c r="N825" s="199"/>
      <c r="P825" s="15"/>
      <c r="Q825" s="15"/>
      <c r="R825" s="15"/>
      <c r="S825" s="15"/>
      <c r="T825" s="15"/>
      <c r="U825" s="199"/>
      <c r="AE825" s="15"/>
      <c r="AF825" s="15"/>
    </row>
    <row r="826" ht="15.0" customHeight="1">
      <c r="A826" s="199"/>
      <c r="H826" s="5"/>
      <c r="I826" s="5"/>
      <c r="J826" s="5"/>
      <c r="N826" s="199"/>
      <c r="P826" s="15"/>
      <c r="Q826" s="15"/>
      <c r="R826" s="15"/>
      <c r="S826" s="15"/>
      <c r="T826" s="15"/>
      <c r="U826" s="199"/>
      <c r="AE826" s="15"/>
      <c r="AF826" s="15"/>
    </row>
    <row r="827" ht="15.0" customHeight="1">
      <c r="A827" s="199"/>
      <c r="H827" s="5"/>
      <c r="I827" s="5"/>
      <c r="J827" s="5"/>
      <c r="N827" s="199"/>
      <c r="P827" s="15"/>
      <c r="Q827" s="15"/>
      <c r="R827" s="15"/>
      <c r="S827" s="15"/>
      <c r="T827" s="15"/>
      <c r="U827" s="199"/>
      <c r="AE827" s="15"/>
      <c r="AF827" s="15"/>
    </row>
    <row r="828" ht="15.0" customHeight="1">
      <c r="A828" s="199"/>
      <c r="H828" s="5"/>
      <c r="I828" s="5"/>
      <c r="J828" s="5"/>
      <c r="N828" s="199"/>
      <c r="P828" s="15"/>
      <c r="Q828" s="15"/>
      <c r="R828" s="15"/>
      <c r="S828" s="15"/>
      <c r="T828" s="15"/>
      <c r="U828" s="199"/>
      <c r="AE828" s="15"/>
      <c r="AF828" s="15"/>
    </row>
    <row r="829" ht="15.0" customHeight="1">
      <c r="A829" s="199"/>
      <c r="H829" s="5"/>
      <c r="I829" s="5"/>
      <c r="J829" s="5"/>
      <c r="N829" s="199"/>
      <c r="P829" s="15"/>
      <c r="Q829" s="15"/>
      <c r="R829" s="15"/>
      <c r="S829" s="15"/>
      <c r="T829" s="15"/>
      <c r="U829" s="199"/>
      <c r="AE829" s="15"/>
      <c r="AF829" s="15"/>
    </row>
    <row r="830" ht="15.0" customHeight="1">
      <c r="A830" s="199"/>
      <c r="H830" s="5"/>
      <c r="I830" s="5"/>
      <c r="J830" s="5"/>
      <c r="N830" s="199"/>
      <c r="P830" s="15"/>
      <c r="Q830" s="15"/>
      <c r="R830" s="15"/>
      <c r="S830" s="15"/>
      <c r="T830" s="15"/>
      <c r="U830" s="199"/>
      <c r="AE830" s="15"/>
      <c r="AF830" s="15"/>
    </row>
    <row r="831" ht="15.0" customHeight="1">
      <c r="A831" s="199"/>
      <c r="H831" s="5"/>
      <c r="I831" s="5"/>
      <c r="J831" s="5"/>
      <c r="N831" s="199"/>
      <c r="P831" s="15"/>
      <c r="Q831" s="15"/>
      <c r="R831" s="15"/>
      <c r="S831" s="15"/>
      <c r="T831" s="15"/>
      <c r="U831" s="199"/>
      <c r="AE831" s="15"/>
      <c r="AF831" s="15"/>
    </row>
    <row r="832" ht="15.0" customHeight="1">
      <c r="A832" s="199"/>
      <c r="H832" s="5"/>
      <c r="I832" s="5"/>
      <c r="J832" s="5"/>
      <c r="N832" s="199"/>
      <c r="P832" s="15"/>
      <c r="Q832" s="15"/>
      <c r="R832" s="15"/>
      <c r="S832" s="15"/>
      <c r="T832" s="15"/>
      <c r="U832" s="199"/>
      <c r="AE832" s="15"/>
      <c r="AF832" s="15"/>
    </row>
    <row r="833" ht="15.0" customHeight="1">
      <c r="A833" s="199"/>
      <c r="H833" s="5"/>
      <c r="I833" s="5"/>
      <c r="J833" s="5"/>
      <c r="N833" s="199"/>
      <c r="P833" s="15"/>
      <c r="Q833" s="15"/>
      <c r="R833" s="15"/>
      <c r="S833" s="15"/>
      <c r="T833" s="15"/>
      <c r="U833" s="199"/>
      <c r="AE833" s="15"/>
      <c r="AF833" s="15"/>
    </row>
    <row r="834" ht="15.0" customHeight="1">
      <c r="A834" s="199"/>
      <c r="H834" s="5"/>
      <c r="I834" s="5"/>
      <c r="J834" s="5"/>
      <c r="N834" s="199"/>
      <c r="P834" s="15"/>
      <c r="Q834" s="15"/>
      <c r="R834" s="15"/>
      <c r="S834" s="15"/>
      <c r="T834" s="15"/>
      <c r="U834" s="199"/>
      <c r="AE834" s="15"/>
      <c r="AF834" s="15"/>
    </row>
    <row r="835" ht="15.0" customHeight="1">
      <c r="A835" s="199"/>
      <c r="H835" s="5"/>
      <c r="I835" s="5"/>
      <c r="J835" s="5"/>
      <c r="N835" s="199"/>
      <c r="P835" s="15"/>
      <c r="Q835" s="15"/>
      <c r="R835" s="15"/>
      <c r="S835" s="15"/>
      <c r="T835" s="15"/>
      <c r="U835" s="199"/>
      <c r="AE835" s="15"/>
      <c r="AF835" s="15"/>
    </row>
    <row r="836" ht="15.0" customHeight="1">
      <c r="A836" s="199"/>
      <c r="H836" s="5"/>
      <c r="I836" s="5"/>
      <c r="J836" s="5"/>
      <c r="N836" s="199"/>
      <c r="P836" s="15"/>
      <c r="Q836" s="15"/>
      <c r="R836" s="15"/>
      <c r="S836" s="15"/>
      <c r="T836" s="15"/>
      <c r="U836" s="199"/>
      <c r="AE836" s="15"/>
      <c r="AF836" s="15"/>
    </row>
    <row r="837" ht="15.0" customHeight="1">
      <c r="A837" s="199"/>
      <c r="H837" s="5"/>
      <c r="I837" s="5"/>
      <c r="J837" s="5"/>
      <c r="N837" s="199"/>
      <c r="P837" s="15"/>
      <c r="Q837" s="15"/>
      <c r="R837" s="15"/>
      <c r="S837" s="15"/>
      <c r="T837" s="15"/>
      <c r="U837" s="199"/>
      <c r="AE837" s="15"/>
      <c r="AF837" s="15"/>
    </row>
    <row r="838" ht="15.0" customHeight="1">
      <c r="A838" s="199"/>
      <c r="H838" s="5"/>
      <c r="I838" s="5"/>
      <c r="J838" s="5"/>
      <c r="N838" s="199"/>
      <c r="P838" s="15"/>
      <c r="Q838" s="15"/>
      <c r="R838" s="15"/>
      <c r="S838" s="15"/>
      <c r="T838" s="15"/>
      <c r="U838" s="199"/>
      <c r="AE838" s="15"/>
      <c r="AF838" s="15"/>
    </row>
    <row r="839" ht="15.0" customHeight="1">
      <c r="A839" s="199"/>
      <c r="H839" s="5"/>
      <c r="I839" s="5"/>
      <c r="J839" s="5"/>
      <c r="N839" s="199"/>
      <c r="P839" s="15"/>
      <c r="Q839" s="15"/>
      <c r="R839" s="15"/>
      <c r="S839" s="15"/>
      <c r="T839" s="15"/>
      <c r="U839" s="199"/>
      <c r="AE839" s="15"/>
      <c r="AF839" s="15"/>
    </row>
    <row r="840" ht="15.0" customHeight="1">
      <c r="A840" s="199"/>
      <c r="H840" s="5"/>
      <c r="I840" s="5"/>
      <c r="J840" s="5"/>
      <c r="N840" s="199"/>
      <c r="P840" s="15"/>
      <c r="Q840" s="15"/>
      <c r="R840" s="15"/>
      <c r="S840" s="15"/>
      <c r="T840" s="15"/>
      <c r="U840" s="199"/>
      <c r="AE840" s="15"/>
      <c r="AF840" s="15"/>
    </row>
    <row r="841" ht="15.0" customHeight="1">
      <c r="A841" s="199"/>
      <c r="H841" s="5"/>
      <c r="I841" s="5"/>
      <c r="J841" s="5"/>
      <c r="N841" s="199"/>
      <c r="P841" s="15"/>
      <c r="Q841" s="15"/>
      <c r="R841" s="15"/>
      <c r="S841" s="15"/>
      <c r="T841" s="15"/>
      <c r="U841" s="199"/>
      <c r="AE841" s="15"/>
      <c r="AF841" s="15"/>
    </row>
    <row r="842" ht="15.0" customHeight="1">
      <c r="A842" s="199"/>
      <c r="H842" s="5"/>
      <c r="I842" s="5"/>
      <c r="J842" s="5"/>
      <c r="N842" s="199"/>
      <c r="P842" s="15"/>
      <c r="Q842" s="15"/>
      <c r="R842" s="15"/>
      <c r="S842" s="15"/>
      <c r="T842" s="15"/>
      <c r="U842" s="199"/>
      <c r="AE842" s="15"/>
      <c r="AF842" s="15"/>
    </row>
    <row r="843" ht="15.0" customHeight="1">
      <c r="A843" s="199"/>
      <c r="H843" s="5"/>
      <c r="I843" s="5"/>
      <c r="J843" s="5"/>
      <c r="N843" s="199"/>
      <c r="P843" s="15"/>
      <c r="Q843" s="15"/>
      <c r="R843" s="15"/>
      <c r="S843" s="15"/>
      <c r="T843" s="15"/>
      <c r="U843" s="199"/>
      <c r="AE843" s="15"/>
      <c r="AF843" s="15"/>
    </row>
    <row r="844" ht="15.0" customHeight="1">
      <c r="A844" s="199"/>
      <c r="H844" s="5"/>
      <c r="I844" s="5"/>
      <c r="J844" s="5"/>
      <c r="N844" s="199"/>
      <c r="P844" s="15"/>
      <c r="Q844" s="15"/>
      <c r="R844" s="15"/>
      <c r="S844" s="15"/>
      <c r="T844" s="15"/>
      <c r="U844" s="199"/>
      <c r="AE844" s="15"/>
      <c r="AF844" s="15"/>
    </row>
    <row r="845" ht="15.0" customHeight="1">
      <c r="A845" s="199"/>
      <c r="H845" s="5"/>
      <c r="I845" s="5"/>
      <c r="J845" s="5"/>
      <c r="N845" s="199"/>
      <c r="P845" s="15"/>
      <c r="Q845" s="15"/>
      <c r="R845" s="15"/>
      <c r="S845" s="15"/>
      <c r="T845" s="15"/>
      <c r="U845" s="199"/>
      <c r="AE845" s="15"/>
      <c r="AF845" s="15"/>
    </row>
    <row r="846" ht="15.0" customHeight="1">
      <c r="A846" s="199"/>
      <c r="H846" s="5"/>
      <c r="I846" s="5"/>
      <c r="J846" s="5"/>
      <c r="N846" s="199"/>
      <c r="P846" s="15"/>
      <c r="Q846" s="15"/>
      <c r="R846" s="15"/>
      <c r="S846" s="15"/>
      <c r="T846" s="15"/>
      <c r="U846" s="199"/>
      <c r="AE846" s="15"/>
      <c r="AF846" s="15"/>
    </row>
    <row r="847" ht="15.0" customHeight="1">
      <c r="A847" s="199"/>
      <c r="H847" s="5"/>
      <c r="I847" s="5"/>
      <c r="J847" s="5"/>
      <c r="N847" s="199"/>
      <c r="P847" s="15"/>
      <c r="Q847" s="15"/>
      <c r="R847" s="15"/>
      <c r="S847" s="15"/>
      <c r="T847" s="15"/>
      <c r="U847" s="199"/>
      <c r="AE847" s="15"/>
      <c r="AF847" s="15"/>
    </row>
    <row r="848" ht="15.0" customHeight="1">
      <c r="A848" s="199"/>
      <c r="H848" s="5"/>
      <c r="I848" s="5"/>
      <c r="J848" s="5"/>
      <c r="N848" s="199"/>
      <c r="P848" s="15"/>
      <c r="Q848" s="15"/>
      <c r="R848" s="15"/>
      <c r="S848" s="15"/>
      <c r="T848" s="15"/>
      <c r="U848" s="199"/>
      <c r="AE848" s="15"/>
      <c r="AF848" s="15"/>
    </row>
    <row r="849" ht="15.0" customHeight="1">
      <c r="A849" s="199"/>
      <c r="H849" s="5"/>
      <c r="I849" s="5"/>
      <c r="J849" s="5"/>
      <c r="N849" s="199"/>
      <c r="P849" s="15"/>
      <c r="Q849" s="15"/>
      <c r="R849" s="15"/>
      <c r="S849" s="15"/>
      <c r="T849" s="15"/>
      <c r="U849" s="199"/>
      <c r="AE849" s="15"/>
      <c r="AF849" s="15"/>
    </row>
    <row r="850" ht="15.0" customHeight="1">
      <c r="A850" s="199"/>
      <c r="H850" s="5"/>
      <c r="I850" s="5"/>
      <c r="J850" s="5"/>
      <c r="N850" s="199"/>
      <c r="P850" s="15"/>
      <c r="Q850" s="15"/>
      <c r="R850" s="15"/>
      <c r="S850" s="15"/>
      <c r="T850" s="15"/>
      <c r="U850" s="199"/>
      <c r="AE850" s="15"/>
      <c r="AF850" s="15"/>
    </row>
    <row r="851" ht="15.0" customHeight="1">
      <c r="A851" s="199"/>
      <c r="H851" s="5"/>
      <c r="I851" s="5"/>
      <c r="J851" s="5"/>
      <c r="N851" s="199"/>
      <c r="P851" s="15"/>
      <c r="Q851" s="15"/>
      <c r="R851" s="15"/>
      <c r="S851" s="15"/>
      <c r="T851" s="15"/>
      <c r="U851" s="199"/>
      <c r="AE851" s="15"/>
      <c r="AF851" s="15"/>
    </row>
    <row r="852" ht="15.0" customHeight="1">
      <c r="A852" s="199"/>
      <c r="H852" s="5"/>
      <c r="I852" s="5"/>
      <c r="J852" s="5"/>
      <c r="N852" s="199"/>
      <c r="P852" s="15"/>
      <c r="Q852" s="15"/>
      <c r="R852" s="15"/>
      <c r="S852" s="15"/>
      <c r="T852" s="15"/>
      <c r="U852" s="199"/>
      <c r="AE852" s="15"/>
      <c r="AF852" s="15"/>
    </row>
    <row r="853" ht="15.0" customHeight="1">
      <c r="A853" s="199"/>
      <c r="H853" s="5"/>
      <c r="I853" s="5"/>
      <c r="J853" s="5"/>
      <c r="N853" s="199"/>
      <c r="P853" s="15"/>
      <c r="Q853" s="15"/>
      <c r="R853" s="15"/>
      <c r="S853" s="15"/>
      <c r="T853" s="15"/>
      <c r="U853" s="199"/>
      <c r="AE853" s="15"/>
      <c r="AF853" s="15"/>
    </row>
    <row r="854" ht="15.0" customHeight="1">
      <c r="A854" s="199"/>
      <c r="H854" s="5"/>
      <c r="I854" s="5"/>
      <c r="J854" s="5"/>
      <c r="N854" s="199"/>
      <c r="P854" s="15"/>
      <c r="Q854" s="15"/>
      <c r="R854" s="15"/>
      <c r="S854" s="15"/>
      <c r="T854" s="15"/>
      <c r="U854" s="199"/>
      <c r="AE854" s="15"/>
      <c r="AF854" s="15"/>
    </row>
    <row r="855" ht="15.0" customHeight="1">
      <c r="A855" s="199"/>
      <c r="H855" s="5"/>
      <c r="I855" s="5"/>
      <c r="J855" s="5"/>
      <c r="N855" s="199"/>
      <c r="P855" s="15"/>
      <c r="Q855" s="15"/>
      <c r="R855" s="15"/>
      <c r="S855" s="15"/>
      <c r="T855" s="15"/>
      <c r="U855" s="199"/>
      <c r="AE855" s="15"/>
      <c r="AF855" s="15"/>
    </row>
    <row r="856" ht="15.0" customHeight="1">
      <c r="A856" s="199"/>
      <c r="H856" s="5"/>
      <c r="I856" s="5"/>
      <c r="J856" s="5"/>
      <c r="N856" s="199"/>
      <c r="P856" s="15"/>
      <c r="Q856" s="15"/>
      <c r="R856" s="15"/>
      <c r="S856" s="15"/>
      <c r="T856" s="15"/>
      <c r="U856" s="199"/>
      <c r="AE856" s="15"/>
      <c r="AF856" s="15"/>
    </row>
    <row r="857" ht="15.0" customHeight="1">
      <c r="A857" s="199"/>
      <c r="H857" s="5"/>
      <c r="I857" s="5"/>
      <c r="J857" s="5"/>
      <c r="N857" s="199"/>
      <c r="P857" s="15"/>
      <c r="Q857" s="15"/>
      <c r="R857" s="15"/>
      <c r="S857" s="15"/>
      <c r="T857" s="15"/>
      <c r="U857" s="199"/>
      <c r="AE857" s="15"/>
      <c r="AF857" s="15"/>
    </row>
    <row r="858" ht="15.0" customHeight="1">
      <c r="A858" s="199"/>
      <c r="H858" s="5"/>
      <c r="I858" s="5"/>
      <c r="J858" s="5"/>
      <c r="N858" s="199"/>
      <c r="P858" s="15"/>
      <c r="Q858" s="15"/>
      <c r="R858" s="15"/>
      <c r="S858" s="15"/>
      <c r="T858" s="15"/>
      <c r="U858" s="199"/>
      <c r="AE858" s="15"/>
      <c r="AF858" s="15"/>
    </row>
    <row r="859" ht="15.0" customHeight="1">
      <c r="A859" s="199"/>
      <c r="H859" s="5"/>
      <c r="I859" s="5"/>
      <c r="J859" s="5"/>
      <c r="N859" s="199"/>
      <c r="P859" s="15"/>
      <c r="Q859" s="15"/>
      <c r="R859" s="15"/>
      <c r="S859" s="15"/>
      <c r="T859" s="15"/>
      <c r="U859" s="199"/>
      <c r="AE859" s="15"/>
      <c r="AF859" s="15"/>
    </row>
    <row r="860" ht="15.0" customHeight="1">
      <c r="A860" s="199"/>
      <c r="H860" s="5"/>
      <c r="I860" s="5"/>
      <c r="J860" s="5"/>
      <c r="N860" s="199"/>
      <c r="P860" s="15"/>
      <c r="Q860" s="15"/>
      <c r="R860" s="15"/>
      <c r="S860" s="15"/>
      <c r="T860" s="15"/>
      <c r="U860" s="199"/>
      <c r="AE860" s="15"/>
      <c r="AF860" s="15"/>
    </row>
    <row r="861" ht="15.0" customHeight="1">
      <c r="A861" s="199"/>
      <c r="H861" s="5"/>
      <c r="I861" s="5"/>
      <c r="J861" s="5"/>
      <c r="N861" s="199"/>
      <c r="P861" s="15"/>
      <c r="Q861" s="15"/>
      <c r="R861" s="15"/>
      <c r="S861" s="15"/>
      <c r="T861" s="15"/>
      <c r="U861" s="199"/>
      <c r="AE861" s="15"/>
      <c r="AF861" s="15"/>
    </row>
    <row r="862" ht="15.0" customHeight="1">
      <c r="A862" s="199"/>
      <c r="H862" s="5"/>
      <c r="I862" s="5"/>
      <c r="J862" s="5"/>
      <c r="N862" s="199"/>
      <c r="P862" s="15"/>
      <c r="Q862" s="15"/>
      <c r="R862" s="15"/>
      <c r="S862" s="15"/>
      <c r="T862" s="15"/>
      <c r="U862" s="199"/>
      <c r="AE862" s="15"/>
      <c r="AF862" s="15"/>
    </row>
    <row r="863" ht="15.0" customHeight="1">
      <c r="A863" s="199"/>
      <c r="H863" s="5"/>
      <c r="I863" s="5"/>
      <c r="J863" s="5"/>
      <c r="N863" s="199"/>
      <c r="P863" s="15"/>
      <c r="Q863" s="15"/>
      <c r="R863" s="15"/>
      <c r="S863" s="15"/>
      <c r="T863" s="15"/>
      <c r="U863" s="199"/>
      <c r="AE863" s="15"/>
      <c r="AF863" s="15"/>
    </row>
    <row r="864" ht="15.0" customHeight="1">
      <c r="A864" s="199"/>
      <c r="H864" s="5"/>
      <c r="I864" s="5"/>
      <c r="J864" s="5"/>
      <c r="N864" s="199"/>
      <c r="P864" s="15"/>
      <c r="Q864" s="15"/>
      <c r="R864" s="15"/>
      <c r="S864" s="15"/>
      <c r="T864" s="15"/>
      <c r="U864" s="199"/>
      <c r="AE864" s="15"/>
      <c r="AF864" s="15"/>
    </row>
    <row r="865" ht="15.0" customHeight="1">
      <c r="A865" s="199"/>
      <c r="H865" s="5"/>
      <c r="I865" s="5"/>
      <c r="J865" s="5"/>
      <c r="N865" s="199"/>
      <c r="P865" s="15"/>
      <c r="Q865" s="15"/>
      <c r="R865" s="15"/>
      <c r="S865" s="15"/>
      <c r="T865" s="15"/>
      <c r="U865" s="199"/>
      <c r="AE865" s="15"/>
      <c r="AF865" s="15"/>
    </row>
    <row r="866" ht="15.0" customHeight="1">
      <c r="A866" s="199"/>
      <c r="H866" s="5"/>
      <c r="I866" s="5"/>
      <c r="J866" s="5"/>
      <c r="N866" s="199"/>
      <c r="P866" s="15"/>
      <c r="Q866" s="15"/>
      <c r="R866" s="15"/>
      <c r="S866" s="15"/>
      <c r="T866" s="15"/>
      <c r="U866" s="199"/>
      <c r="AE866" s="15"/>
      <c r="AF866" s="15"/>
    </row>
    <row r="867" ht="15.0" customHeight="1">
      <c r="A867" s="199"/>
      <c r="H867" s="5"/>
      <c r="I867" s="5"/>
      <c r="J867" s="5"/>
      <c r="N867" s="199"/>
      <c r="P867" s="15"/>
      <c r="Q867" s="15"/>
      <c r="R867" s="15"/>
      <c r="S867" s="15"/>
      <c r="T867" s="15"/>
      <c r="U867" s="199"/>
      <c r="AE867" s="15"/>
      <c r="AF867" s="15"/>
    </row>
    <row r="868" ht="15.0" customHeight="1">
      <c r="A868" s="199"/>
      <c r="H868" s="5"/>
      <c r="I868" s="5"/>
      <c r="J868" s="5"/>
      <c r="N868" s="199"/>
      <c r="P868" s="15"/>
      <c r="Q868" s="15"/>
      <c r="R868" s="15"/>
      <c r="S868" s="15"/>
      <c r="T868" s="15"/>
      <c r="U868" s="199"/>
      <c r="AE868" s="15"/>
      <c r="AF868" s="15"/>
    </row>
    <row r="869" ht="15.0" customHeight="1">
      <c r="A869" s="199"/>
      <c r="H869" s="5"/>
      <c r="I869" s="5"/>
      <c r="J869" s="5"/>
      <c r="N869" s="199"/>
      <c r="P869" s="15"/>
      <c r="Q869" s="15"/>
      <c r="R869" s="15"/>
      <c r="S869" s="15"/>
      <c r="T869" s="15"/>
      <c r="U869" s="199"/>
      <c r="AE869" s="15"/>
      <c r="AF869" s="15"/>
    </row>
    <row r="870" ht="15.0" customHeight="1">
      <c r="A870" s="199"/>
      <c r="H870" s="5"/>
      <c r="I870" s="5"/>
      <c r="J870" s="5"/>
      <c r="N870" s="199"/>
      <c r="P870" s="15"/>
      <c r="Q870" s="15"/>
      <c r="R870" s="15"/>
      <c r="S870" s="15"/>
      <c r="T870" s="15"/>
      <c r="U870" s="199"/>
      <c r="AE870" s="15"/>
      <c r="AF870" s="15"/>
    </row>
    <row r="871" ht="15.0" customHeight="1">
      <c r="A871" s="199"/>
      <c r="H871" s="5"/>
      <c r="I871" s="5"/>
      <c r="J871" s="5"/>
      <c r="N871" s="199"/>
      <c r="P871" s="15"/>
      <c r="Q871" s="15"/>
      <c r="R871" s="15"/>
      <c r="S871" s="15"/>
      <c r="T871" s="15"/>
      <c r="U871" s="199"/>
      <c r="AE871" s="15"/>
      <c r="AF871" s="15"/>
    </row>
    <row r="872" ht="15.0" customHeight="1">
      <c r="A872" s="199"/>
      <c r="H872" s="5"/>
      <c r="I872" s="5"/>
      <c r="J872" s="5"/>
      <c r="N872" s="199"/>
      <c r="P872" s="15"/>
      <c r="Q872" s="15"/>
      <c r="R872" s="15"/>
      <c r="S872" s="15"/>
      <c r="T872" s="15"/>
      <c r="U872" s="199"/>
      <c r="AE872" s="15"/>
      <c r="AF872" s="15"/>
    </row>
    <row r="873" ht="15.0" customHeight="1">
      <c r="A873" s="199"/>
      <c r="H873" s="5"/>
      <c r="I873" s="5"/>
      <c r="J873" s="5"/>
      <c r="N873" s="199"/>
      <c r="P873" s="15"/>
      <c r="Q873" s="15"/>
      <c r="R873" s="15"/>
      <c r="S873" s="15"/>
      <c r="T873" s="15"/>
      <c r="U873" s="199"/>
      <c r="AE873" s="15"/>
      <c r="AF873" s="15"/>
    </row>
    <row r="874" ht="15.0" customHeight="1">
      <c r="A874" s="199"/>
      <c r="H874" s="5"/>
      <c r="I874" s="5"/>
      <c r="J874" s="5"/>
      <c r="N874" s="199"/>
      <c r="P874" s="15"/>
      <c r="Q874" s="15"/>
      <c r="R874" s="15"/>
      <c r="S874" s="15"/>
      <c r="T874" s="15"/>
      <c r="U874" s="199"/>
      <c r="AE874" s="15"/>
      <c r="AF874" s="15"/>
    </row>
    <row r="875" ht="15.0" customHeight="1">
      <c r="A875" s="199"/>
      <c r="H875" s="5"/>
      <c r="I875" s="5"/>
      <c r="J875" s="5"/>
      <c r="N875" s="199"/>
      <c r="P875" s="15"/>
      <c r="Q875" s="15"/>
      <c r="R875" s="15"/>
      <c r="S875" s="15"/>
      <c r="T875" s="15"/>
      <c r="U875" s="199"/>
      <c r="AE875" s="15"/>
      <c r="AF875" s="15"/>
    </row>
    <row r="876" ht="15.0" customHeight="1">
      <c r="A876" s="199"/>
      <c r="H876" s="5"/>
      <c r="I876" s="5"/>
      <c r="J876" s="5"/>
      <c r="N876" s="199"/>
      <c r="P876" s="15"/>
      <c r="Q876" s="15"/>
      <c r="R876" s="15"/>
      <c r="S876" s="15"/>
      <c r="T876" s="15"/>
      <c r="U876" s="199"/>
      <c r="AE876" s="15"/>
      <c r="AF876" s="15"/>
    </row>
    <row r="877" ht="15.0" customHeight="1">
      <c r="A877" s="199"/>
      <c r="H877" s="5"/>
      <c r="I877" s="5"/>
      <c r="J877" s="5"/>
      <c r="N877" s="199"/>
      <c r="P877" s="15"/>
      <c r="Q877" s="15"/>
      <c r="R877" s="15"/>
      <c r="S877" s="15"/>
      <c r="T877" s="15"/>
      <c r="U877" s="199"/>
      <c r="AE877" s="15"/>
      <c r="AF877" s="15"/>
    </row>
    <row r="878" ht="15.0" customHeight="1">
      <c r="A878" s="199"/>
      <c r="H878" s="5"/>
      <c r="I878" s="5"/>
      <c r="J878" s="5"/>
      <c r="N878" s="199"/>
      <c r="P878" s="15"/>
      <c r="Q878" s="15"/>
      <c r="R878" s="15"/>
      <c r="S878" s="15"/>
      <c r="T878" s="15"/>
      <c r="U878" s="199"/>
      <c r="AE878" s="15"/>
      <c r="AF878" s="15"/>
    </row>
    <row r="879" ht="15.0" customHeight="1">
      <c r="A879" s="199"/>
      <c r="H879" s="5"/>
      <c r="I879" s="5"/>
      <c r="J879" s="5"/>
      <c r="N879" s="199"/>
      <c r="P879" s="15"/>
      <c r="Q879" s="15"/>
      <c r="R879" s="15"/>
      <c r="S879" s="15"/>
      <c r="T879" s="15"/>
      <c r="U879" s="199"/>
      <c r="AE879" s="15"/>
      <c r="AF879" s="15"/>
    </row>
    <row r="880" ht="15.0" customHeight="1">
      <c r="A880" s="199"/>
      <c r="H880" s="5"/>
      <c r="I880" s="5"/>
      <c r="J880" s="5"/>
      <c r="N880" s="199"/>
      <c r="P880" s="15"/>
      <c r="Q880" s="15"/>
      <c r="R880" s="15"/>
      <c r="S880" s="15"/>
      <c r="T880" s="15"/>
      <c r="U880" s="199"/>
      <c r="AE880" s="15"/>
      <c r="AF880" s="15"/>
    </row>
    <row r="881" ht="15.0" customHeight="1">
      <c r="A881" s="199"/>
      <c r="H881" s="5"/>
      <c r="I881" s="5"/>
      <c r="J881" s="5"/>
      <c r="N881" s="199"/>
      <c r="P881" s="15"/>
      <c r="Q881" s="15"/>
      <c r="R881" s="15"/>
      <c r="S881" s="15"/>
      <c r="T881" s="15"/>
      <c r="U881" s="199"/>
      <c r="AE881" s="15"/>
      <c r="AF881" s="15"/>
    </row>
    <row r="882" ht="15.0" customHeight="1">
      <c r="A882" s="199"/>
      <c r="H882" s="5"/>
      <c r="I882" s="5"/>
      <c r="J882" s="5"/>
      <c r="N882" s="199"/>
      <c r="P882" s="15"/>
      <c r="Q882" s="15"/>
      <c r="R882" s="15"/>
      <c r="S882" s="15"/>
      <c r="T882" s="15"/>
      <c r="U882" s="199"/>
      <c r="AE882" s="15"/>
      <c r="AF882" s="15"/>
    </row>
    <row r="883" ht="15.0" customHeight="1">
      <c r="A883" s="199"/>
      <c r="H883" s="5"/>
      <c r="I883" s="5"/>
      <c r="J883" s="5"/>
      <c r="N883" s="199"/>
      <c r="P883" s="15"/>
      <c r="Q883" s="15"/>
      <c r="R883" s="15"/>
      <c r="S883" s="15"/>
      <c r="T883" s="15"/>
      <c r="U883" s="199"/>
      <c r="AE883" s="15"/>
      <c r="AF883" s="15"/>
    </row>
    <row r="884" ht="15.0" customHeight="1">
      <c r="A884" s="199"/>
      <c r="H884" s="5"/>
      <c r="I884" s="5"/>
      <c r="J884" s="5"/>
      <c r="N884" s="199"/>
      <c r="P884" s="15"/>
      <c r="Q884" s="15"/>
      <c r="R884" s="15"/>
      <c r="S884" s="15"/>
      <c r="T884" s="15"/>
      <c r="U884" s="199"/>
      <c r="AE884" s="15"/>
      <c r="AF884" s="15"/>
    </row>
    <row r="885" ht="15.0" customHeight="1">
      <c r="A885" s="199"/>
      <c r="H885" s="5"/>
      <c r="I885" s="5"/>
      <c r="J885" s="5"/>
      <c r="N885" s="199"/>
      <c r="P885" s="15"/>
      <c r="Q885" s="15"/>
      <c r="R885" s="15"/>
      <c r="S885" s="15"/>
      <c r="T885" s="15"/>
      <c r="U885" s="199"/>
      <c r="AE885" s="15"/>
      <c r="AF885" s="15"/>
    </row>
    <row r="886" ht="15.0" customHeight="1">
      <c r="A886" s="199"/>
      <c r="H886" s="5"/>
      <c r="I886" s="5"/>
      <c r="J886" s="5"/>
      <c r="N886" s="199"/>
      <c r="P886" s="15"/>
      <c r="Q886" s="15"/>
      <c r="R886" s="15"/>
      <c r="S886" s="15"/>
      <c r="T886" s="15"/>
      <c r="U886" s="199"/>
      <c r="AE886" s="15"/>
      <c r="AF886" s="15"/>
    </row>
    <row r="887" ht="15.0" customHeight="1">
      <c r="A887" s="199"/>
      <c r="H887" s="5"/>
      <c r="I887" s="5"/>
      <c r="J887" s="5"/>
      <c r="N887" s="199"/>
      <c r="P887" s="15"/>
      <c r="Q887" s="15"/>
      <c r="R887" s="15"/>
      <c r="S887" s="15"/>
      <c r="T887" s="15"/>
      <c r="U887" s="199"/>
      <c r="AE887" s="15"/>
      <c r="AF887" s="15"/>
    </row>
    <row r="888" ht="15.0" customHeight="1">
      <c r="A888" s="199"/>
      <c r="H888" s="5"/>
      <c r="I888" s="5"/>
      <c r="J888" s="5"/>
      <c r="N888" s="199"/>
      <c r="P888" s="15"/>
      <c r="Q888" s="15"/>
      <c r="R888" s="15"/>
      <c r="S888" s="15"/>
      <c r="T888" s="15"/>
      <c r="U888" s="199"/>
      <c r="AE888" s="15"/>
      <c r="AF888" s="15"/>
    </row>
    <row r="889" ht="15.0" customHeight="1">
      <c r="A889" s="199"/>
      <c r="H889" s="5"/>
      <c r="I889" s="5"/>
      <c r="J889" s="5"/>
      <c r="N889" s="199"/>
      <c r="P889" s="15"/>
      <c r="Q889" s="15"/>
      <c r="R889" s="15"/>
      <c r="S889" s="15"/>
      <c r="T889" s="15"/>
      <c r="U889" s="199"/>
      <c r="AE889" s="15"/>
      <c r="AF889" s="15"/>
    </row>
    <row r="890" ht="15.0" customHeight="1">
      <c r="A890" s="199"/>
      <c r="H890" s="5"/>
      <c r="I890" s="5"/>
      <c r="J890" s="5"/>
      <c r="N890" s="199"/>
      <c r="P890" s="15"/>
      <c r="Q890" s="15"/>
      <c r="R890" s="15"/>
      <c r="S890" s="15"/>
      <c r="T890" s="15"/>
      <c r="U890" s="199"/>
      <c r="AE890" s="15"/>
      <c r="AF890" s="15"/>
    </row>
    <row r="891" ht="15.0" customHeight="1">
      <c r="A891" s="199"/>
      <c r="H891" s="5"/>
      <c r="I891" s="5"/>
      <c r="J891" s="5"/>
      <c r="N891" s="199"/>
      <c r="P891" s="15"/>
      <c r="Q891" s="15"/>
      <c r="R891" s="15"/>
      <c r="S891" s="15"/>
      <c r="T891" s="15"/>
      <c r="U891" s="199"/>
      <c r="AE891" s="15"/>
      <c r="AF891" s="15"/>
    </row>
    <row r="892" ht="15.0" customHeight="1">
      <c r="A892" s="199"/>
      <c r="H892" s="5"/>
      <c r="I892" s="5"/>
      <c r="J892" s="5"/>
      <c r="N892" s="199"/>
      <c r="P892" s="15"/>
      <c r="Q892" s="15"/>
      <c r="R892" s="15"/>
      <c r="S892" s="15"/>
      <c r="T892" s="15"/>
      <c r="U892" s="199"/>
      <c r="AE892" s="15"/>
      <c r="AF892" s="15"/>
    </row>
    <row r="893" ht="15.0" customHeight="1">
      <c r="A893" s="199"/>
      <c r="H893" s="5"/>
      <c r="I893" s="5"/>
      <c r="J893" s="5"/>
      <c r="N893" s="199"/>
      <c r="P893" s="15"/>
      <c r="Q893" s="15"/>
      <c r="R893" s="15"/>
      <c r="S893" s="15"/>
      <c r="T893" s="15"/>
      <c r="U893" s="199"/>
      <c r="AE893" s="15"/>
      <c r="AF893" s="15"/>
    </row>
    <row r="894" ht="15.0" customHeight="1">
      <c r="A894" s="199"/>
      <c r="H894" s="5"/>
      <c r="I894" s="5"/>
      <c r="J894" s="5"/>
      <c r="N894" s="199"/>
      <c r="P894" s="15"/>
      <c r="Q894" s="15"/>
      <c r="R894" s="15"/>
      <c r="S894" s="15"/>
      <c r="T894" s="15"/>
      <c r="U894" s="199"/>
      <c r="AE894" s="15"/>
      <c r="AF894" s="15"/>
    </row>
    <row r="895" ht="15.0" customHeight="1">
      <c r="A895" s="199"/>
      <c r="H895" s="5"/>
      <c r="I895" s="5"/>
      <c r="J895" s="5"/>
      <c r="N895" s="199"/>
      <c r="P895" s="15"/>
      <c r="Q895" s="15"/>
      <c r="R895" s="15"/>
      <c r="S895" s="15"/>
      <c r="T895" s="15"/>
      <c r="U895" s="199"/>
      <c r="AE895" s="15"/>
      <c r="AF895" s="15"/>
    </row>
    <row r="896" ht="15.0" customHeight="1">
      <c r="A896" s="199"/>
      <c r="H896" s="5"/>
      <c r="I896" s="5"/>
      <c r="J896" s="5"/>
      <c r="N896" s="199"/>
      <c r="P896" s="15"/>
      <c r="Q896" s="15"/>
      <c r="R896" s="15"/>
      <c r="S896" s="15"/>
      <c r="T896" s="15"/>
      <c r="U896" s="199"/>
      <c r="AE896" s="15"/>
      <c r="AF896" s="15"/>
    </row>
    <row r="897" ht="15.0" customHeight="1">
      <c r="A897" s="199"/>
      <c r="H897" s="5"/>
      <c r="I897" s="5"/>
      <c r="J897" s="5"/>
      <c r="N897" s="199"/>
      <c r="P897" s="15"/>
      <c r="Q897" s="15"/>
      <c r="R897" s="15"/>
      <c r="S897" s="15"/>
      <c r="T897" s="15"/>
      <c r="U897" s="199"/>
      <c r="AE897" s="15"/>
      <c r="AF897" s="15"/>
    </row>
    <row r="898" ht="15.0" customHeight="1">
      <c r="A898" s="199"/>
      <c r="H898" s="5"/>
      <c r="I898" s="5"/>
      <c r="J898" s="5"/>
      <c r="N898" s="199"/>
      <c r="P898" s="15"/>
      <c r="Q898" s="15"/>
      <c r="R898" s="15"/>
      <c r="S898" s="15"/>
      <c r="T898" s="15"/>
      <c r="U898" s="199"/>
      <c r="AE898" s="15"/>
      <c r="AF898" s="15"/>
    </row>
    <row r="899" ht="15.0" customHeight="1">
      <c r="A899" s="199"/>
      <c r="H899" s="5"/>
      <c r="I899" s="5"/>
      <c r="J899" s="5"/>
      <c r="N899" s="199"/>
      <c r="P899" s="15"/>
      <c r="Q899" s="15"/>
      <c r="R899" s="15"/>
      <c r="S899" s="15"/>
      <c r="T899" s="15"/>
      <c r="U899" s="199"/>
      <c r="AE899" s="15"/>
      <c r="AF899" s="15"/>
    </row>
    <row r="900" ht="15.0" customHeight="1">
      <c r="A900" s="199"/>
      <c r="H900" s="5"/>
      <c r="I900" s="5"/>
      <c r="J900" s="5"/>
      <c r="N900" s="199"/>
      <c r="P900" s="15"/>
      <c r="Q900" s="15"/>
      <c r="R900" s="15"/>
      <c r="S900" s="15"/>
      <c r="T900" s="15"/>
      <c r="U900" s="199"/>
      <c r="AE900" s="15"/>
      <c r="AF900" s="15"/>
    </row>
    <row r="901" ht="15.0" customHeight="1">
      <c r="A901" s="199"/>
      <c r="H901" s="5"/>
      <c r="I901" s="5"/>
      <c r="J901" s="5"/>
      <c r="N901" s="199"/>
      <c r="P901" s="15"/>
      <c r="Q901" s="15"/>
      <c r="R901" s="15"/>
      <c r="S901" s="15"/>
      <c r="T901" s="15"/>
      <c r="U901" s="199"/>
      <c r="AE901" s="15"/>
      <c r="AF901" s="15"/>
    </row>
    <row r="902" ht="15.0" customHeight="1">
      <c r="A902" s="199"/>
      <c r="H902" s="5"/>
      <c r="I902" s="5"/>
      <c r="J902" s="5"/>
      <c r="N902" s="199"/>
      <c r="P902" s="15"/>
      <c r="Q902" s="15"/>
      <c r="R902" s="15"/>
      <c r="S902" s="15"/>
      <c r="T902" s="15"/>
      <c r="U902" s="199"/>
      <c r="AE902" s="15"/>
      <c r="AF902" s="15"/>
    </row>
    <row r="903" ht="15.0" customHeight="1">
      <c r="A903" s="199"/>
      <c r="H903" s="5"/>
      <c r="I903" s="5"/>
      <c r="J903" s="5"/>
      <c r="N903" s="199"/>
      <c r="P903" s="15"/>
      <c r="Q903" s="15"/>
      <c r="R903" s="15"/>
      <c r="S903" s="15"/>
      <c r="T903" s="15"/>
      <c r="U903" s="199"/>
      <c r="AE903" s="15"/>
      <c r="AF903" s="15"/>
    </row>
    <row r="904" ht="15.0" customHeight="1">
      <c r="A904" s="199"/>
      <c r="H904" s="5"/>
      <c r="I904" s="5"/>
      <c r="J904" s="5"/>
      <c r="N904" s="199"/>
      <c r="P904" s="15"/>
      <c r="Q904" s="15"/>
      <c r="R904" s="15"/>
      <c r="S904" s="15"/>
      <c r="T904" s="15"/>
      <c r="U904" s="199"/>
      <c r="AE904" s="15"/>
      <c r="AF904" s="15"/>
    </row>
    <row r="905" ht="15.0" customHeight="1">
      <c r="A905" s="199"/>
      <c r="H905" s="5"/>
      <c r="I905" s="5"/>
      <c r="J905" s="5"/>
      <c r="N905" s="199"/>
      <c r="P905" s="15"/>
      <c r="Q905" s="15"/>
      <c r="R905" s="15"/>
      <c r="S905" s="15"/>
      <c r="T905" s="15"/>
      <c r="U905" s="199"/>
      <c r="AE905" s="15"/>
      <c r="AF905" s="15"/>
    </row>
    <row r="906" ht="15.0" customHeight="1">
      <c r="A906" s="199"/>
      <c r="H906" s="5"/>
      <c r="I906" s="5"/>
      <c r="J906" s="5"/>
      <c r="N906" s="199"/>
      <c r="P906" s="15"/>
      <c r="Q906" s="15"/>
      <c r="R906" s="15"/>
      <c r="S906" s="15"/>
      <c r="T906" s="15"/>
      <c r="U906" s="199"/>
      <c r="AE906" s="15"/>
      <c r="AF906" s="15"/>
    </row>
    <row r="907" ht="15.0" customHeight="1">
      <c r="A907" s="199"/>
      <c r="H907" s="5"/>
      <c r="I907" s="5"/>
      <c r="J907" s="5"/>
      <c r="N907" s="199"/>
      <c r="P907" s="15"/>
      <c r="Q907" s="15"/>
      <c r="R907" s="15"/>
      <c r="S907" s="15"/>
      <c r="T907" s="15"/>
      <c r="U907" s="199"/>
      <c r="AE907" s="15"/>
      <c r="AF907" s="15"/>
    </row>
    <row r="908" ht="15.0" customHeight="1">
      <c r="A908" s="199"/>
      <c r="H908" s="5"/>
      <c r="I908" s="5"/>
      <c r="J908" s="5"/>
      <c r="N908" s="199"/>
      <c r="P908" s="15"/>
      <c r="Q908" s="15"/>
      <c r="R908" s="15"/>
      <c r="S908" s="15"/>
      <c r="T908" s="15"/>
      <c r="U908" s="199"/>
      <c r="AE908" s="15"/>
      <c r="AF908" s="15"/>
    </row>
    <row r="909" ht="15.0" customHeight="1">
      <c r="A909" s="199"/>
      <c r="H909" s="5"/>
      <c r="I909" s="5"/>
      <c r="J909" s="5"/>
      <c r="N909" s="199"/>
      <c r="P909" s="15"/>
      <c r="Q909" s="15"/>
      <c r="R909" s="15"/>
      <c r="S909" s="15"/>
      <c r="T909" s="15"/>
      <c r="U909" s="199"/>
      <c r="AE909" s="15"/>
      <c r="AF909" s="15"/>
    </row>
    <row r="910" ht="15.0" customHeight="1">
      <c r="A910" s="199"/>
      <c r="H910" s="5"/>
      <c r="I910" s="5"/>
      <c r="J910" s="5"/>
      <c r="N910" s="199"/>
      <c r="P910" s="15"/>
      <c r="Q910" s="15"/>
      <c r="R910" s="15"/>
      <c r="S910" s="15"/>
      <c r="T910" s="15"/>
      <c r="U910" s="199"/>
      <c r="AE910" s="15"/>
      <c r="AF910" s="15"/>
    </row>
    <row r="911" ht="15.0" customHeight="1">
      <c r="A911" s="199"/>
      <c r="H911" s="5"/>
      <c r="I911" s="5"/>
      <c r="J911" s="5"/>
      <c r="N911" s="199"/>
      <c r="P911" s="15"/>
      <c r="Q911" s="15"/>
      <c r="R911" s="15"/>
      <c r="S911" s="15"/>
      <c r="T911" s="15"/>
      <c r="U911" s="199"/>
      <c r="AE911" s="15"/>
      <c r="AF911" s="15"/>
    </row>
    <row r="912" ht="15.0" customHeight="1">
      <c r="A912" s="199"/>
      <c r="H912" s="5"/>
      <c r="I912" s="5"/>
      <c r="J912" s="5"/>
      <c r="N912" s="199"/>
      <c r="P912" s="15"/>
      <c r="Q912" s="15"/>
      <c r="R912" s="15"/>
      <c r="S912" s="15"/>
      <c r="T912" s="15"/>
      <c r="U912" s="199"/>
      <c r="AE912" s="15"/>
      <c r="AF912" s="15"/>
    </row>
    <row r="913" ht="15.0" customHeight="1">
      <c r="A913" s="199"/>
      <c r="H913" s="5"/>
      <c r="I913" s="5"/>
      <c r="J913" s="5"/>
      <c r="N913" s="199"/>
      <c r="P913" s="15"/>
      <c r="Q913" s="15"/>
      <c r="R913" s="15"/>
      <c r="S913" s="15"/>
      <c r="T913" s="15"/>
      <c r="U913" s="199"/>
      <c r="AE913" s="15"/>
      <c r="AF913" s="15"/>
    </row>
    <row r="914" ht="15.0" customHeight="1">
      <c r="A914" s="199"/>
      <c r="H914" s="5"/>
      <c r="I914" s="5"/>
      <c r="J914" s="5"/>
      <c r="N914" s="199"/>
      <c r="P914" s="15"/>
      <c r="Q914" s="15"/>
      <c r="R914" s="15"/>
      <c r="S914" s="15"/>
      <c r="T914" s="15"/>
      <c r="U914" s="199"/>
      <c r="AE914" s="15"/>
      <c r="AF914" s="15"/>
    </row>
    <row r="915" ht="15.0" customHeight="1">
      <c r="A915" s="199"/>
      <c r="H915" s="5"/>
      <c r="I915" s="5"/>
      <c r="J915" s="5"/>
      <c r="N915" s="199"/>
      <c r="P915" s="15"/>
      <c r="Q915" s="15"/>
      <c r="R915" s="15"/>
      <c r="S915" s="15"/>
      <c r="T915" s="15"/>
      <c r="U915" s="199"/>
      <c r="AE915" s="15"/>
      <c r="AF915" s="15"/>
    </row>
    <row r="916" ht="15.0" customHeight="1">
      <c r="A916" s="199"/>
      <c r="H916" s="5"/>
      <c r="I916" s="5"/>
      <c r="J916" s="5"/>
      <c r="N916" s="199"/>
      <c r="P916" s="15"/>
      <c r="Q916" s="15"/>
      <c r="R916" s="15"/>
      <c r="S916" s="15"/>
      <c r="T916" s="15"/>
      <c r="U916" s="199"/>
      <c r="AE916" s="15"/>
      <c r="AF916" s="15"/>
    </row>
    <row r="917" ht="15.0" customHeight="1">
      <c r="A917" s="199"/>
      <c r="H917" s="5"/>
      <c r="I917" s="5"/>
      <c r="J917" s="5"/>
      <c r="N917" s="199"/>
      <c r="P917" s="15"/>
      <c r="Q917" s="15"/>
      <c r="R917" s="15"/>
      <c r="S917" s="15"/>
      <c r="T917" s="15"/>
      <c r="U917" s="199"/>
      <c r="AE917" s="15"/>
      <c r="AF917" s="15"/>
    </row>
    <row r="918" ht="15.0" customHeight="1">
      <c r="A918" s="199"/>
      <c r="H918" s="5"/>
      <c r="I918" s="5"/>
      <c r="J918" s="5"/>
      <c r="N918" s="199"/>
      <c r="P918" s="15"/>
      <c r="Q918" s="15"/>
      <c r="R918" s="15"/>
      <c r="S918" s="15"/>
      <c r="T918" s="15"/>
      <c r="U918" s="199"/>
      <c r="AE918" s="15"/>
      <c r="AF918" s="15"/>
    </row>
    <row r="919" ht="15.0" customHeight="1">
      <c r="A919" s="199"/>
      <c r="H919" s="5"/>
      <c r="I919" s="5"/>
      <c r="J919" s="5"/>
      <c r="N919" s="199"/>
      <c r="P919" s="15"/>
      <c r="Q919" s="15"/>
      <c r="R919" s="15"/>
      <c r="S919" s="15"/>
      <c r="T919" s="15"/>
      <c r="U919" s="199"/>
      <c r="AE919" s="15"/>
      <c r="AF919" s="15"/>
    </row>
    <row r="920" ht="15.0" customHeight="1">
      <c r="A920" s="199"/>
      <c r="H920" s="5"/>
      <c r="I920" s="5"/>
      <c r="J920" s="5"/>
      <c r="N920" s="199"/>
      <c r="P920" s="15"/>
      <c r="Q920" s="15"/>
      <c r="R920" s="15"/>
      <c r="S920" s="15"/>
      <c r="T920" s="15"/>
      <c r="U920" s="199"/>
      <c r="AE920" s="15"/>
      <c r="AF920" s="15"/>
    </row>
    <row r="921" ht="15.0" customHeight="1">
      <c r="A921" s="199"/>
      <c r="H921" s="5"/>
      <c r="I921" s="5"/>
      <c r="J921" s="5"/>
      <c r="N921" s="199"/>
      <c r="P921" s="15"/>
      <c r="Q921" s="15"/>
      <c r="R921" s="15"/>
      <c r="S921" s="15"/>
      <c r="T921" s="15"/>
      <c r="U921" s="199"/>
      <c r="AE921" s="15"/>
      <c r="AF921" s="15"/>
    </row>
    <row r="922" ht="15.0" customHeight="1">
      <c r="A922" s="199"/>
      <c r="H922" s="5"/>
      <c r="I922" s="5"/>
      <c r="J922" s="5"/>
      <c r="N922" s="199"/>
      <c r="P922" s="15"/>
      <c r="Q922" s="15"/>
      <c r="R922" s="15"/>
      <c r="S922" s="15"/>
      <c r="T922" s="15"/>
      <c r="U922" s="199"/>
      <c r="AE922" s="15"/>
      <c r="AF922" s="15"/>
    </row>
    <row r="923" ht="15.0" customHeight="1">
      <c r="A923" s="199"/>
      <c r="H923" s="5"/>
      <c r="I923" s="5"/>
      <c r="J923" s="5"/>
      <c r="N923" s="199"/>
      <c r="P923" s="15"/>
      <c r="Q923" s="15"/>
      <c r="R923" s="15"/>
      <c r="S923" s="15"/>
      <c r="T923" s="15"/>
      <c r="U923" s="199"/>
      <c r="AE923" s="15"/>
      <c r="AF923" s="15"/>
    </row>
    <row r="924" ht="15.0" customHeight="1">
      <c r="A924" s="199"/>
      <c r="H924" s="5"/>
      <c r="I924" s="5"/>
      <c r="J924" s="5"/>
      <c r="N924" s="199"/>
      <c r="P924" s="15"/>
      <c r="Q924" s="15"/>
      <c r="R924" s="15"/>
      <c r="S924" s="15"/>
      <c r="T924" s="15"/>
      <c r="U924" s="199"/>
      <c r="AE924" s="15"/>
      <c r="AF924" s="15"/>
    </row>
    <row r="925" ht="15.0" customHeight="1">
      <c r="A925" s="199"/>
      <c r="H925" s="5"/>
      <c r="I925" s="5"/>
      <c r="J925" s="5"/>
      <c r="N925" s="199"/>
      <c r="P925" s="15"/>
      <c r="Q925" s="15"/>
      <c r="R925" s="15"/>
      <c r="S925" s="15"/>
      <c r="T925" s="15"/>
      <c r="U925" s="199"/>
      <c r="AE925" s="15"/>
      <c r="AF925" s="15"/>
    </row>
    <row r="926" ht="15.0" customHeight="1">
      <c r="A926" s="199"/>
      <c r="H926" s="5"/>
      <c r="I926" s="5"/>
      <c r="J926" s="5"/>
      <c r="N926" s="199"/>
      <c r="P926" s="15"/>
      <c r="Q926" s="15"/>
      <c r="R926" s="15"/>
      <c r="S926" s="15"/>
      <c r="T926" s="15"/>
      <c r="U926" s="199"/>
      <c r="AE926" s="15"/>
      <c r="AF926" s="15"/>
    </row>
    <row r="927" ht="15.0" customHeight="1">
      <c r="A927" s="199"/>
      <c r="H927" s="5"/>
      <c r="I927" s="5"/>
      <c r="J927" s="5"/>
      <c r="N927" s="199"/>
      <c r="P927" s="15"/>
      <c r="Q927" s="15"/>
      <c r="R927" s="15"/>
      <c r="S927" s="15"/>
      <c r="T927" s="15"/>
      <c r="U927" s="199"/>
      <c r="AE927" s="15"/>
      <c r="AF927" s="15"/>
    </row>
    <row r="928" ht="15.0" customHeight="1">
      <c r="A928" s="199"/>
      <c r="H928" s="5"/>
      <c r="I928" s="5"/>
      <c r="J928" s="5"/>
      <c r="N928" s="199"/>
      <c r="P928" s="15"/>
      <c r="Q928" s="15"/>
      <c r="R928" s="15"/>
      <c r="S928" s="15"/>
      <c r="T928" s="15"/>
      <c r="U928" s="199"/>
      <c r="AE928" s="15"/>
      <c r="AF928" s="15"/>
    </row>
    <row r="929" ht="15.0" customHeight="1">
      <c r="A929" s="199"/>
      <c r="H929" s="5"/>
      <c r="I929" s="5"/>
      <c r="J929" s="5"/>
      <c r="N929" s="199"/>
      <c r="P929" s="15"/>
      <c r="Q929" s="15"/>
      <c r="R929" s="15"/>
      <c r="S929" s="15"/>
      <c r="T929" s="15"/>
      <c r="U929" s="199"/>
      <c r="AE929" s="15"/>
      <c r="AF929" s="15"/>
    </row>
    <row r="930" ht="15.0" customHeight="1">
      <c r="A930" s="199"/>
      <c r="H930" s="5"/>
      <c r="I930" s="5"/>
      <c r="J930" s="5"/>
      <c r="N930" s="199"/>
      <c r="P930" s="15"/>
      <c r="Q930" s="15"/>
      <c r="R930" s="15"/>
      <c r="S930" s="15"/>
      <c r="T930" s="15"/>
      <c r="U930" s="199"/>
      <c r="AE930" s="15"/>
      <c r="AF930" s="15"/>
    </row>
    <row r="931" ht="15.0" customHeight="1">
      <c r="A931" s="199"/>
      <c r="H931" s="5"/>
      <c r="I931" s="5"/>
      <c r="J931" s="5"/>
      <c r="N931" s="199"/>
      <c r="P931" s="15"/>
      <c r="Q931" s="15"/>
      <c r="R931" s="15"/>
      <c r="S931" s="15"/>
      <c r="T931" s="15"/>
      <c r="U931" s="199"/>
      <c r="AE931" s="15"/>
      <c r="AF931" s="15"/>
    </row>
    <row r="932" ht="15.0" customHeight="1">
      <c r="A932" s="199"/>
      <c r="H932" s="5"/>
      <c r="I932" s="5"/>
      <c r="J932" s="5"/>
      <c r="N932" s="199"/>
      <c r="P932" s="15"/>
      <c r="Q932" s="15"/>
      <c r="R932" s="15"/>
      <c r="S932" s="15"/>
      <c r="T932" s="15"/>
      <c r="U932" s="199"/>
      <c r="AE932" s="15"/>
      <c r="AF932" s="15"/>
    </row>
    <row r="933" ht="15.0" customHeight="1">
      <c r="A933" s="199"/>
      <c r="H933" s="5"/>
      <c r="I933" s="5"/>
      <c r="J933" s="5"/>
      <c r="N933" s="199"/>
      <c r="P933" s="15"/>
      <c r="Q933" s="15"/>
      <c r="R933" s="15"/>
      <c r="S933" s="15"/>
      <c r="T933" s="15"/>
      <c r="U933" s="199"/>
      <c r="AE933" s="15"/>
      <c r="AF933" s="15"/>
    </row>
    <row r="934" ht="15.0" customHeight="1">
      <c r="A934" s="199"/>
      <c r="H934" s="5"/>
      <c r="I934" s="5"/>
      <c r="J934" s="5"/>
      <c r="N934" s="199"/>
      <c r="P934" s="15"/>
      <c r="Q934" s="15"/>
      <c r="R934" s="15"/>
      <c r="S934" s="15"/>
      <c r="T934" s="15"/>
      <c r="U934" s="199"/>
      <c r="AE934" s="15"/>
      <c r="AF934" s="15"/>
    </row>
    <row r="935" ht="15.0" customHeight="1">
      <c r="A935" s="199"/>
      <c r="H935" s="5"/>
      <c r="I935" s="5"/>
      <c r="J935" s="5"/>
      <c r="N935" s="199"/>
      <c r="P935" s="15"/>
      <c r="Q935" s="15"/>
      <c r="R935" s="15"/>
      <c r="S935" s="15"/>
      <c r="T935" s="15"/>
      <c r="U935" s="199"/>
      <c r="AE935" s="15"/>
      <c r="AF935" s="15"/>
    </row>
    <row r="936" ht="15.0" customHeight="1">
      <c r="A936" s="199"/>
      <c r="H936" s="5"/>
      <c r="I936" s="5"/>
      <c r="J936" s="5"/>
      <c r="N936" s="199"/>
      <c r="P936" s="15"/>
      <c r="Q936" s="15"/>
      <c r="R936" s="15"/>
      <c r="S936" s="15"/>
      <c r="T936" s="15"/>
      <c r="U936" s="199"/>
      <c r="AE936" s="15"/>
      <c r="AF936" s="15"/>
    </row>
    <row r="937" ht="15.0" customHeight="1">
      <c r="A937" s="199"/>
      <c r="H937" s="5"/>
      <c r="I937" s="5"/>
      <c r="J937" s="5"/>
      <c r="N937" s="199"/>
      <c r="P937" s="15"/>
      <c r="Q937" s="15"/>
      <c r="R937" s="15"/>
      <c r="S937" s="15"/>
      <c r="T937" s="15"/>
      <c r="U937" s="199"/>
      <c r="AE937" s="15"/>
      <c r="AF937" s="15"/>
    </row>
    <row r="938" ht="15.0" customHeight="1">
      <c r="A938" s="199"/>
      <c r="H938" s="5"/>
      <c r="I938" s="5"/>
      <c r="J938" s="5"/>
      <c r="N938" s="199"/>
      <c r="P938" s="15"/>
      <c r="Q938" s="15"/>
      <c r="R938" s="15"/>
      <c r="S938" s="15"/>
      <c r="T938" s="15"/>
      <c r="U938" s="199"/>
      <c r="AE938" s="15"/>
      <c r="AF938" s="15"/>
    </row>
    <row r="939" ht="15.0" customHeight="1">
      <c r="A939" s="199"/>
      <c r="H939" s="5"/>
      <c r="I939" s="5"/>
      <c r="J939" s="5"/>
      <c r="N939" s="199"/>
      <c r="P939" s="15"/>
      <c r="Q939" s="15"/>
      <c r="R939" s="15"/>
      <c r="S939" s="15"/>
      <c r="T939" s="15"/>
      <c r="U939" s="199"/>
      <c r="AE939" s="15"/>
      <c r="AF939" s="15"/>
    </row>
    <row r="940" ht="15.0" customHeight="1">
      <c r="A940" s="199"/>
      <c r="H940" s="5"/>
      <c r="I940" s="5"/>
      <c r="J940" s="5"/>
      <c r="N940" s="199"/>
      <c r="P940" s="15"/>
      <c r="Q940" s="15"/>
      <c r="R940" s="15"/>
      <c r="S940" s="15"/>
      <c r="T940" s="15"/>
      <c r="U940" s="199"/>
      <c r="AE940" s="15"/>
      <c r="AF940" s="15"/>
    </row>
    <row r="941" ht="15.0" customHeight="1">
      <c r="A941" s="199"/>
      <c r="H941" s="5"/>
      <c r="I941" s="5"/>
      <c r="J941" s="5"/>
      <c r="N941" s="199"/>
      <c r="P941" s="15"/>
      <c r="Q941" s="15"/>
      <c r="R941" s="15"/>
      <c r="S941" s="15"/>
      <c r="T941" s="15"/>
      <c r="U941" s="199"/>
      <c r="AE941" s="15"/>
      <c r="AF941" s="15"/>
    </row>
    <row r="942" ht="15.0" customHeight="1">
      <c r="A942" s="199"/>
      <c r="H942" s="5"/>
      <c r="I942" s="5"/>
      <c r="J942" s="5"/>
      <c r="N942" s="199"/>
      <c r="P942" s="15"/>
      <c r="Q942" s="15"/>
      <c r="R942" s="15"/>
      <c r="S942" s="15"/>
      <c r="T942" s="15"/>
      <c r="U942" s="199"/>
      <c r="AE942" s="15"/>
      <c r="AF942" s="15"/>
    </row>
    <row r="943" ht="15.0" customHeight="1">
      <c r="A943" s="199"/>
      <c r="H943" s="5"/>
      <c r="I943" s="5"/>
      <c r="J943" s="5"/>
      <c r="N943" s="199"/>
      <c r="P943" s="15"/>
      <c r="Q943" s="15"/>
      <c r="R943" s="15"/>
      <c r="S943" s="15"/>
      <c r="T943" s="15"/>
      <c r="U943" s="199"/>
      <c r="AE943" s="15"/>
      <c r="AF943" s="15"/>
    </row>
    <row r="944" ht="15.0" customHeight="1">
      <c r="A944" s="199"/>
      <c r="H944" s="5"/>
      <c r="I944" s="5"/>
      <c r="J944" s="5"/>
      <c r="N944" s="199"/>
      <c r="P944" s="15"/>
      <c r="Q944" s="15"/>
      <c r="R944" s="15"/>
      <c r="S944" s="15"/>
      <c r="T944" s="15"/>
      <c r="U944" s="199"/>
      <c r="AE944" s="15"/>
      <c r="AF944" s="15"/>
    </row>
    <row r="945" ht="15.0" customHeight="1">
      <c r="A945" s="199"/>
      <c r="H945" s="5"/>
      <c r="I945" s="5"/>
      <c r="J945" s="5"/>
      <c r="N945" s="199"/>
      <c r="P945" s="15"/>
      <c r="Q945" s="15"/>
      <c r="R945" s="15"/>
      <c r="S945" s="15"/>
      <c r="T945" s="15"/>
      <c r="U945" s="199"/>
      <c r="AE945" s="15"/>
      <c r="AF945" s="15"/>
    </row>
    <row r="946" ht="15.0" customHeight="1">
      <c r="A946" s="199"/>
      <c r="H946" s="5"/>
      <c r="I946" s="5"/>
      <c r="J946" s="5"/>
      <c r="N946" s="199"/>
      <c r="P946" s="15"/>
      <c r="Q946" s="15"/>
      <c r="R946" s="15"/>
      <c r="S946" s="15"/>
      <c r="T946" s="15"/>
      <c r="U946" s="199"/>
      <c r="AE946" s="15"/>
      <c r="AF946" s="15"/>
    </row>
    <row r="947" ht="15.0" customHeight="1">
      <c r="A947" s="199"/>
      <c r="H947" s="5"/>
      <c r="I947" s="5"/>
      <c r="J947" s="5"/>
      <c r="N947" s="199"/>
      <c r="P947" s="15"/>
      <c r="Q947" s="15"/>
      <c r="R947" s="15"/>
      <c r="S947" s="15"/>
      <c r="T947" s="15"/>
      <c r="U947" s="199"/>
      <c r="AE947" s="15"/>
      <c r="AF947" s="15"/>
    </row>
    <row r="948" ht="15.0" customHeight="1">
      <c r="A948" s="199"/>
      <c r="H948" s="5"/>
      <c r="I948" s="5"/>
      <c r="J948" s="5"/>
      <c r="N948" s="199"/>
      <c r="P948" s="15"/>
      <c r="Q948" s="15"/>
      <c r="R948" s="15"/>
      <c r="S948" s="15"/>
      <c r="T948" s="15"/>
      <c r="U948" s="199"/>
      <c r="AE948" s="15"/>
      <c r="AF948" s="15"/>
    </row>
    <row r="949" ht="15.0" customHeight="1">
      <c r="A949" s="199"/>
      <c r="H949" s="5"/>
      <c r="I949" s="5"/>
      <c r="J949" s="5"/>
      <c r="N949" s="199"/>
      <c r="P949" s="15"/>
      <c r="Q949" s="15"/>
      <c r="R949" s="15"/>
      <c r="S949" s="15"/>
      <c r="T949" s="15"/>
      <c r="U949" s="199"/>
      <c r="AE949" s="15"/>
      <c r="AF949" s="15"/>
    </row>
    <row r="950" ht="15.0" customHeight="1">
      <c r="A950" s="199"/>
      <c r="H950" s="5"/>
      <c r="I950" s="5"/>
      <c r="J950" s="5"/>
      <c r="N950" s="199"/>
      <c r="P950" s="15"/>
      <c r="Q950" s="15"/>
      <c r="R950" s="15"/>
      <c r="S950" s="15"/>
      <c r="T950" s="15"/>
      <c r="U950" s="199"/>
      <c r="AE950" s="15"/>
      <c r="AF950" s="15"/>
    </row>
    <row r="951" ht="15.0" customHeight="1">
      <c r="A951" s="199"/>
      <c r="H951" s="5"/>
      <c r="I951" s="5"/>
      <c r="J951" s="5"/>
      <c r="N951" s="199"/>
      <c r="P951" s="15"/>
      <c r="Q951" s="15"/>
      <c r="R951" s="15"/>
      <c r="S951" s="15"/>
      <c r="T951" s="15"/>
      <c r="U951" s="199"/>
      <c r="AE951" s="15"/>
      <c r="AF951" s="15"/>
    </row>
    <row r="952" ht="15.0" customHeight="1">
      <c r="A952" s="199"/>
      <c r="H952" s="5"/>
      <c r="I952" s="5"/>
      <c r="J952" s="5"/>
      <c r="N952" s="199"/>
      <c r="P952" s="15"/>
      <c r="Q952" s="15"/>
      <c r="R952" s="15"/>
      <c r="S952" s="15"/>
      <c r="T952" s="15"/>
      <c r="U952" s="199"/>
      <c r="AE952" s="15"/>
      <c r="AF952" s="15"/>
    </row>
    <row r="953" ht="15.0" customHeight="1">
      <c r="A953" s="199"/>
      <c r="H953" s="5"/>
      <c r="I953" s="5"/>
      <c r="J953" s="5"/>
      <c r="N953" s="199"/>
      <c r="P953" s="15"/>
      <c r="Q953" s="15"/>
      <c r="R953" s="15"/>
      <c r="S953" s="15"/>
      <c r="T953" s="15"/>
      <c r="U953" s="199"/>
      <c r="AE953" s="15"/>
      <c r="AF953" s="15"/>
    </row>
    <row r="954" ht="15.0" customHeight="1">
      <c r="A954" s="199"/>
      <c r="H954" s="5"/>
      <c r="I954" s="5"/>
      <c r="J954" s="5"/>
      <c r="N954" s="199"/>
      <c r="P954" s="15"/>
      <c r="Q954" s="15"/>
      <c r="R954" s="15"/>
      <c r="S954" s="15"/>
      <c r="T954" s="15"/>
      <c r="U954" s="199"/>
      <c r="AE954" s="15"/>
      <c r="AF954" s="15"/>
    </row>
    <row r="955" ht="15.0" customHeight="1">
      <c r="A955" s="199"/>
      <c r="H955" s="5"/>
      <c r="I955" s="5"/>
      <c r="J955" s="5"/>
      <c r="N955" s="199"/>
      <c r="P955" s="15"/>
      <c r="Q955" s="15"/>
      <c r="R955" s="15"/>
      <c r="S955" s="15"/>
      <c r="T955" s="15"/>
      <c r="U955" s="199"/>
      <c r="AE955" s="15"/>
      <c r="AF955" s="15"/>
    </row>
    <row r="956" ht="15.0" customHeight="1">
      <c r="A956" s="199"/>
      <c r="H956" s="5"/>
      <c r="I956" s="5"/>
      <c r="J956" s="5"/>
      <c r="N956" s="199"/>
      <c r="P956" s="15"/>
      <c r="Q956" s="15"/>
      <c r="R956" s="15"/>
      <c r="S956" s="15"/>
      <c r="T956" s="15"/>
      <c r="U956" s="199"/>
      <c r="AE956" s="15"/>
      <c r="AF956" s="15"/>
    </row>
    <row r="957" ht="15.0" customHeight="1">
      <c r="A957" s="199"/>
      <c r="H957" s="5"/>
      <c r="I957" s="5"/>
      <c r="J957" s="5"/>
      <c r="N957" s="199"/>
      <c r="P957" s="15"/>
      <c r="Q957" s="15"/>
      <c r="R957" s="15"/>
      <c r="S957" s="15"/>
      <c r="T957" s="15"/>
      <c r="U957" s="199"/>
      <c r="AE957" s="15"/>
      <c r="AF957" s="15"/>
    </row>
    <row r="958" ht="15.0" customHeight="1">
      <c r="A958" s="199"/>
      <c r="H958" s="5"/>
      <c r="I958" s="5"/>
      <c r="J958" s="5"/>
      <c r="N958" s="199"/>
      <c r="P958" s="15"/>
      <c r="Q958" s="15"/>
      <c r="R958" s="15"/>
      <c r="S958" s="15"/>
      <c r="T958" s="15"/>
      <c r="U958" s="199"/>
      <c r="AE958" s="15"/>
      <c r="AF958" s="15"/>
    </row>
    <row r="959" ht="15.0" customHeight="1">
      <c r="A959" s="199"/>
      <c r="H959" s="5"/>
      <c r="I959" s="5"/>
      <c r="J959" s="5"/>
      <c r="N959" s="199"/>
      <c r="P959" s="15"/>
      <c r="Q959" s="15"/>
      <c r="R959" s="15"/>
      <c r="S959" s="15"/>
      <c r="T959" s="15"/>
      <c r="U959" s="199"/>
      <c r="AE959" s="15"/>
      <c r="AF959" s="15"/>
    </row>
    <row r="960" ht="15.0" customHeight="1">
      <c r="A960" s="199"/>
      <c r="H960" s="5"/>
      <c r="I960" s="5"/>
      <c r="J960" s="5"/>
      <c r="N960" s="199"/>
      <c r="P960" s="15"/>
      <c r="Q960" s="15"/>
      <c r="R960" s="15"/>
      <c r="S960" s="15"/>
      <c r="T960" s="15"/>
      <c r="U960" s="199"/>
      <c r="AE960" s="15"/>
      <c r="AF960" s="15"/>
    </row>
    <row r="961" ht="15.0" customHeight="1">
      <c r="A961" s="199"/>
      <c r="H961" s="5"/>
      <c r="I961" s="5"/>
      <c r="J961" s="5"/>
      <c r="N961" s="199"/>
      <c r="P961" s="15"/>
      <c r="Q961" s="15"/>
      <c r="R961" s="15"/>
      <c r="S961" s="15"/>
      <c r="T961" s="15"/>
      <c r="U961" s="199"/>
      <c r="AE961" s="15"/>
      <c r="AF961" s="15"/>
    </row>
    <row r="962" ht="15.0" customHeight="1">
      <c r="A962" s="199"/>
      <c r="H962" s="5"/>
      <c r="I962" s="5"/>
      <c r="J962" s="5"/>
      <c r="N962" s="199"/>
      <c r="P962" s="15"/>
      <c r="Q962" s="15"/>
      <c r="R962" s="15"/>
      <c r="S962" s="15"/>
      <c r="T962" s="15"/>
      <c r="U962" s="199"/>
      <c r="AE962" s="15"/>
      <c r="AF962" s="15"/>
    </row>
    <row r="963" ht="15.0" customHeight="1">
      <c r="A963" s="199"/>
      <c r="H963" s="5"/>
      <c r="I963" s="5"/>
      <c r="J963" s="5"/>
      <c r="N963" s="199"/>
      <c r="P963" s="15"/>
      <c r="Q963" s="15"/>
      <c r="R963" s="15"/>
      <c r="S963" s="15"/>
      <c r="T963" s="15"/>
      <c r="U963" s="199"/>
      <c r="AE963" s="15"/>
      <c r="AF963" s="15"/>
    </row>
    <row r="964" ht="15.0" customHeight="1">
      <c r="A964" s="199"/>
      <c r="H964" s="5"/>
      <c r="I964" s="5"/>
      <c r="J964" s="5"/>
      <c r="N964" s="199"/>
      <c r="P964" s="15"/>
      <c r="Q964" s="15"/>
      <c r="R964" s="15"/>
      <c r="S964" s="15"/>
      <c r="T964" s="15"/>
      <c r="U964" s="199"/>
      <c r="AE964" s="15"/>
      <c r="AF964" s="15"/>
    </row>
    <row r="965" ht="15.0" customHeight="1">
      <c r="A965" s="199"/>
      <c r="H965" s="5"/>
      <c r="I965" s="5"/>
      <c r="J965" s="5"/>
      <c r="N965" s="199"/>
      <c r="P965" s="15"/>
      <c r="Q965" s="15"/>
      <c r="R965" s="15"/>
      <c r="S965" s="15"/>
      <c r="T965" s="15"/>
      <c r="U965" s="199"/>
      <c r="AE965" s="15"/>
      <c r="AF965" s="15"/>
    </row>
    <row r="966" ht="15.0" customHeight="1">
      <c r="A966" s="199"/>
      <c r="H966" s="5"/>
      <c r="I966" s="5"/>
      <c r="J966" s="5"/>
      <c r="N966" s="199"/>
      <c r="P966" s="15"/>
      <c r="Q966" s="15"/>
      <c r="R966" s="15"/>
      <c r="S966" s="15"/>
      <c r="T966" s="15"/>
      <c r="U966" s="199"/>
      <c r="AE966" s="15"/>
      <c r="AF966" s="15"/>
    </row>
    <row r="967" ht="15.0" customHeight="1">
      <c r="A967" s="199"/>
      <c r="H967" s="5"/>
      <c r="I967" s="5"/>
      <c r="J967" s="5"/>
      <c r="N967" s="199"/>
      <c r="P967" s="15"/>
      <c r="Q967" s="15"/>
      <c r="R967" s="15"/>
      <c r="S967" s="15"/>
      <c r="T967" s="15"/>
      <c r="U967" s="199"/>
      <c r="AE967" s="15"/>
      <c r="AF967" s="15"/>
    </row>
    <row r="968" ht="15.0" customHeight="1">
      <c r="A968" s="199"/>
      <c r="H968" s="5"/>
      <c r="I968" s="5"/>
      <c r="J968" s="5"/>
      <c r="N968" s="199"/>
      <c r="P968" s="15"/>
      <c r="Q968" s="15"/>
      <c r="R968" s="15"/>
      <c r="S968" s="15"/>
      <c r="T968" s="15"/>
      <c r="U968" s="199"/>
      <c r="AE968" s="15"/>
      <c r="AF968" s="15"/>
    </row>
    <row r="969" ht="15.0" customHeight="1">
      <c r="A969" s="199"/>
      <c r="H969" s="5"/>
      <c r="I969" s="5"/>
      <c r="J969" s="5"/>
      <c r="N969" s="199"/>
      <c r="P969" s="15"/>
      <c r="Q969" s="15"/>
      <c r="R969" s="15"/>
      <c r="S969" s="15"/>
      <c r="T969" s="15"/>
      <c r="U969" s="199"/>
      <c r="AE969" s="15"/>
      <c r="AF969" s="15"/>
    </row>
    <row r="970" ht="15.0" customHeight="1">
      <c r="A970" s="199"/>
      <c r="H970" s="5"/>
      <c r="I970" s="5"/>
      <c r="J970" s="5"/>
      <c r="N970" s="199"/>
      <c r="P970" s="15"/>
      <c r="Q970" s="15"/>
      <c r="R970" s="15"/>
      <c r="S970" s="15"/>
      <c r="T970" s="15"/>
      <c r="U970" s="199"/>
      <c r="AE970" s="15"/>
      <c r="AF970" s="15"/>
    </row>
    <row r="971" ht="15.0" customHeight="1">
      <c r="A971" s="199"/>
      <c r="H971" s="5"/>
      <c r="I971" s="5"/>
      <c r="J971" s="5"/>
      <c r="N971" s="199"/>
      <c r="P971" s="15"/>
      <c r="Q971" s="15"/>
      <c r="R971" s="15"/>
      <c r="S971" s="15"/>
      <c r="T971" s="15"/>
      <c r="U971" s="199"/>
      <c r="AE971" s="15"/>
      <c r="AF971" s="15"/>
    </row>
    <row r="972" ht="15.0" customHeight="1">
      <c r="A972" s="199"/>
      <c r="H972" s="5"/>
      <c r="I972" s="5"/>
      <c r="J972" s="5"/>
      <c r="N972" s="199"/>
      <c r="P972" s="15"/>
      <c r="Q972" s="15"/>
      <c r="R972" s="15"/>
      <c r="S972" s="15"/>
      <c r="T972" s="15"/>
      <c r="U972" s="199"/>
      <c r="AE972" s="15"/>
      <c r="AF972" s="15"/>
    </row>
    <row r="973" ht="15.0" customHeight="1">
      <c r="A973" s="199"/>
      <c r="H973" s="5"/>
      <c r="I973" s="5"/>
      <c r="J973" s="5"/>
      <c r="N973" s="199"/>
      <c r="P973" s="15"/>
      <c r="Q973" s="15"/>
      <c r="R973" s="15"/>
      <c r="S973" s="15"/>
      <c r="T973" s="15"/>
      <c r="U973" s="199"/>
      <c r="AE973" s="15"/>
      <c r="AF973" s="15"/>
    </row>
    <row r="974" ht="15.0" customHeight="1">
      <c r="A974" s="199"/>
      <c r="H974" s="5"/>
      <c r="I974" s="5"/>
      <c r="J974" s="5"/>
      <c r="N974" s="199"/>
      <c r="P974" s="15"/>
      <c r="Q974" s="15"/>
      <c r="R974" s="15"/>
      <c r="S974" s="15"/>
      <c r="T974" s="15"/>
      <c r="U974" s="199"/>
      <c r="AE974" s="15"/>
      <c r="AF974" s="15"/>
    </row>
    <row r="975" ht="15.0" customHeight="1">
      <c r="A975" s="199"/>
      <c r="H975" s="5"/>
      <c r="I975" s="5"/>
      <c r="J975" s="5"/>
      <c r="N975" s="199"/>
      <c r="P975" s="15"/>
      <c r="Q975" s="15"/>
      <c r="R975" s="15"/>
      <c r="S975" s="15"/>
      <c r="T975" s="15"/>
      <c r="U975" s="199"/>
      <c r="AE975" s="15"/>
      <c r="AF975" s="15"/>
    </row>
    <row r="976" ht="15.0" customHeight="1">
      <c r="A976" s="199"/>
      <c r="H976" s="5"/>
      <c r="I976" s="5"/>
      <c r="J976" s="5"/>
      <c r="N976" s="199"/>
      <c r="P976" s="15"/>
      <c r="Q976" s="15"/>
      <c r="R976" s="15"/>
      <c r="S976" s="15"/>
      <c r="T976" s="15"/>
      <c r="U976" s="199"/>
      <c r="AE976" s="15"/>
      <c r="AF976" s="15"/>
    </row>
    <row r="977" ht="15.0" customHeight="1">
      <c r="A977" s="199"/>
      <c r="H977" s="5"/>
      <c r="I977" s="5"/>
      <c r="J977" s="5"/>
      <c r="N977" s="199"/>
      <c r="P977" s="15"/>
      <c r="Q977" s="15"/>
      <c r="R977" s="15"/>
      <c r="S977" s="15"/>
      <c r="T977" s="15"/>
      <c r="U977" s="199"/>
      <c r="AE977" s="15"/>
      <c r="AF977" s="15"/>
    </row>
    <row r="978" ht="15.0" customHeight="1">
      <c r="A978" s="199"/>
      <c r="H978" s="5"/>
      <c r="I978" s="5"/>
      <c r="J978" s="5"/>
      <c r="N978" s="199"/>
      <c r="P978" s="15"/>
      <c r="Q978" s="15"/>
      <c r="R978" s="15"/>
      <c r="S978" s="15"/>
      <c r="T978" s="15"/>
      <c r="U978" s="199"/>
      <c r="AE978" s="15"/>
      <c r="AF978" s="15"/>
    </row>
    <row r="979" ht="15.0" customHeight="1">
      <c r="A979" s="199"/>
      <c r="H979" s="5"/>
      <c r="I979" s="5"/>
      <c r="J979" s="5"/>
      <c r="N979" s="199"/>
      <c r="P979" s="15"/>
      <c r="Q979" s="15"/>
      <c r="R979" s="15"/>
      <c r="S979" s="15"/>
      <c r="T979" s="15"/>
      <c r="U979" s="199"/>
      <c r="AE979" s="15"/>
      <c r="AF979" s="15"/>
    </row>
    <row r="980" ht="15.0" customHeight="1">
      <c r="A980" s="199"/>
      <c r="H980" s="5"/>
      <c r="I980" s="5"/>
      <c r="J980" s="5"/>
      <c r="N980" s="199"/>
      <c r="P980" s="15"/>
      <c r="Q980" s="15"/>
      <c r="R980" s="15"/>
      <c r="S980" s="15"/>
      <c r="T980" s="15"/>
      <c r="U980" s="199"/>
      <c r="AE980" s="15"/>
      <c r="AF980" s="15"/>
    </row>
    <row r="981" ht="15.0" customHeight="1">
      <c r="A981" s="199"/>
      <c r="H981" s="5"/>
      <c r="I981" s="5"/>
      <c r="J981" s="5"/>
      <c r="N981" s="199"/>
      <c r="P981" s="15"/>
      <c r="Q981" s="15"/>
      <c r="R981" s="15"/>
      <c r="S981" s="15"/>
      <c r="T981" s="15"/>
      <c r="U981" s="199"/>
      <c r="AE981" s="15"/>
      <c r="AF981" s="15"/>
    </row>
    <row r="982" ht="15.0" customHeight="1">
      <c r="A982" s="199"/>
      <c r="H982" s="5"/>
      <c r="I982" s="5"/>
      <c r="J982" s="5"/>
      <c r="N982" s="199"/>
      <c r="P982" s="15"/>
      <c r="Q982" s="15"/>
      <c r="R982" s="15"/>
      <c r="S982" s="15"/>
      <c r="T982" s="15"/>
      <c r="U982" s="199"/>
      <c r="AE982" s="15"/>
      <c r="AF982" s="15"/>
    </row>
    <row r="983" ht="15.0" customHeight="1">
      <c r="A983" s="199"/>
      <c r="H983" s="5"/>
      <c r="I983" s="5"/>
      <c r="J983" s="5"/>
      <c r="N983" s="199"/>
      <c r="P983" s="15"/>
      <c r="Q983" s="15"/>
      <c r="R983" s="15"/>
      <c r="S983" s="15"/>
      <c r="T983" s="15"/>
      <c r="U983" s="199"/>
      <c r="AE983" s="15"/>
      <c r="AF983" s="15"/>
    </row>
    <row r="984" ht="15.0" customHeight="1">
      <c r="A984" s="199"/>
      <c r="H984" s="5"/>
      <c r="I984" s="5"/>
      <c r="J984" s="5"/>
      <c r="N984" s="199"/>
      <c r="P984" s="15"/>
      <c r="Q984" s="15"/>
      <c r="R984" s="15"/>
      <c r="S984" s="15"/>
      <c r="T984" s="15"/>
      <c r="U984" s="199"/>
      <c r="AE984" s="15"/>
      <c r="AF984" s="15"/>
    </row>
    <row r="985" ht="15.0" customHeight="1">
      <c r="A985" s="199"/>
      <c r="H985" s="5"/>
      <c r="I985" s="5"/>
      <c r="J985" s="5"/>
      <c r="N985" s="199"/>
      <c r="P985" s="15"/>
      <c r="Q985" s="15"/>
      <c r="R985" s="15"/>
      <c r="S985" s="15"/>
      <c r="T985" s="15"/>
      <c r="U985" s="199"/>
      <c r="AE985" s="15"/>
      <c r="AF985" s="15"/>
    </row>
    <row r="986" ht="15.0" customHeight="1">
      <c r="A986" s="199"/>
      <c r="H986" s="5"/>
      <c r="I986" s="5"/>
      <c r="J986" s="5"/>
      <c r="N986" s="199"/>
      <c r="P986" s="15"/>
      <c r="Q986" s="15"/>
      <c r="R986" s="15"/>
      <c r="S986" s="15"/>
      <c r="T986" s="15"/>
      <c r="U986" s="199"/>
      <c r="AE986" s="15"/>
      <c r="AF986" s="15"/>
    </row>
    <row r="987" ht="15.0" customHeight="1">
      <c r="A987" s="199"/>
      <c r="H987" s="5"/>
      <c r="I987" s="5"/>
      <c r="J987" s="5"/>
      <c r="N987" s="199"/>
      <c r="P987" s="15"/>
      <c r="Q987" s="15"/>
      <c r="R987" s="15"/>
      <c r="S987" s="15"/>
      <c r="T987" s="15"/>
      <c r="U987" s="199"/>
      <c r="AE987" s="15"/>
      <c r="AF987" s="15"/>
    </row>
    <row r="988" ht="15.0" customHeight="1">
      <c r="A988" s="199"/>
      <c r="H988" s="5"/>
      <c r="I988" s="5"/>
      <c r="J988" s="5"/>
      <c r="N988" s="199"/>
      <c r="P988" s="15"/>
      <c r="Q988" s="15"/>
      <c r="R988" s="15"/>
      <c r="S988" s="15"/>
      <c r="T988" s="15"/>
      <c r="U988" s="199"/>
      <c r="AE988" s="15"/>
      <c r="AF988" s="15"/>
    </row>
    <row r="989" ht="15.0" customHeight="1">
      <c r="A989" s="199"/>
      <c r="H989" s="5"/>
      <c r="I989" s="5"/>
      <c r="J989" s="5"/>
      <c r="N989" s="199"/>
      <c r="P989" s="15"/>
      <c r="Q989" s="15"/>
      <c r="R989" s="15"/>
      <c r="S989" s="15"/>
      <c r="T989" s="15"/>
      <c r="U989" s="199"/>
      <c r="AE989" s="15"/>
      <c r="AF989" s="15"/>
    </row>
    <row r="990" ht="15.0" customHeight="1">
      <c r="A990" s="199"/>
      <c r="H990" s="5"/>
      <c r="I990" s="5"/>
      <c r="J990" s="5"/>
      <c r="N990" s="199"/>
      <c r="P990" s="15"/>
      <c r="Q990" s="15"/>
      <c r="R990" s="15"/>
      <c r="S990" s="15"/>
      <c r="T990" s="15"/>
      <c r="U990" s="199"/>
      <c r="AE990" s="15"/>
      <c r="AF990" s="15"/>
    </row>
    <row r="991" ht="15.0" customHeight="1">
      <c r="A991" s="199"/>
      <c r="H991" s="5"/>
      <c r="I991" s="5"/>
      <c r="J991" s="5"/>
      <c r="N991" s="199"/>
      <c r="P991" s="15"/>
      <c r="Q991" s="15"/>
      <c r="R991" s="15"/>
      <c r="S991" s="15"/>
      <c r="T991" s="15"/>
      <c r="U991" s="199"/>
      <c r="AE991" s="15"/>
      <c r="AF991" s="15"/>
    </row>
    <row r="992" ht="15.0" customHeight="1">
      <c r="A992" s="199"/>
      <c r="H992" s="5"/>
      <c r="I992" s="5"/>
      <c r="J992" s="5"/>
      <c r="N992" s="199"/>
      <c r="P992" s="15"/>
      <c r="Q992" s="15"/>
      <c r="R992" s="15"/>
      <c r="S992" s="15"/>
      <c r="T992" s="15"/>
      <c r="U992" s="199"/>
      <c r="AE992" s="15"/>
      <c r="AF992" s="15"/>
    </row>
    <row r="993" ht="15.0" customHeight="1">
      <c r="A993" s="199"/>
      <c r="H993" s="5"/>
      <c r="I993" s="5"/>
      <c r="J993" s="5"/>
      <c r="N993" s="199"/>
      <c r="P993" s="15"/>
      <c r="Q993" s="15"/>
      <c r="R993" s="15"/>
      <c r="S993" s="15"/>
      <c r="T993" s="15"/>
      <c r="U993" s="199"/>
      <c r="AE993" s="15"/>
      <c r="AF993" s="15"/>
    </row>
    <row r="994" ht="15.0" customHeight="1">
      <c r="A994" s="199"/>
      <c r="H994" s="5"/>
      <c r="I994" s="5"/>
      <c r="J994" s="5"/>
      <c r="N994" s="199"/>
      <c r="P994" s="15"/>
      <c r="Q994" s="15"/>
      <c r="R994" s="15"/>
      <c r="S994" s="15"/>
      <c r="T994" s="15"/>
      <c r="U994" s="199"/>
      <c r="AE994" s="15"/>
      <c r="AF994" s="15"/>
    </row>
    <row r="995" ht="15.0" customHeight="1">
      <c r="A995" s="199"/>
      <c r="H995" s="5"/>
      <c r="I995" s="5"/>
      <c r="J995" s="5"/>
      <c r="N995" s="199"/>
      <c r="P995" s="15"/>
      <c r="Q995" s="15"/>
      <c r="R995" s="15"/>
      <c r="S995" s="15"/>
      <c r="T995" s="15"/>
      <c r="U995" s="199"/>
      <c r="AE995" s="15"/>
      <c r="AF995" s="15"/>
    </row>
    <row r="996" ht="15.0" customHeight="1">
      <c r="A996" s="199"/>
      <c r="H996" s="5"/>
      <c r="I996" s="5"/>
      <c r="J996" s="5"/>
      <c r="N996" s="199"/>
      <c r="P996" s="15"/>
      <c r="Q996" s="15"/>
      <c r="R996" s="15"/>
      <c r="S996" s="15"/>
      <c r="T996" s="15"/>
      <c r="U996" s="199"/>
      <c r="AE996" s="15"/>
      <c r="AF996" s="15"/>
    </row>
    <row r="997" ht="15.0" customHeight="1">
      <c r="A997" s="199"/>
      <c r="H997" s="5"/>
      <c r="I997" s="5"/>
      <c r="J997" s="5"/>
      <c r="N997" s="199"/>
      <c r="P997" s="15"/>
      <c r="Q997" s="15"/>
      <c r="R997" s="15"/>
      <c r="S997" s="15"/>
      <c r="T997" s="15"/>
      <c r="U997" s="199"/>
      <c r="AE997" s="15"/>
      <c r="AF997" s="15"/>
    </row>
    <row r="998" ht="15.0" customHeight="1">
      <c r="A998" s="199"/>
      <c r="H998" s="5"/>
      <c r="I998" s="5"/>
      <c r="J998" s="5"/>
      <c r="N998" s="199"/>
      <c r="P998" s="15"/>
      <c r="Q998" s="15"/>
      <c r="R998" s="15"/>
      <c r="S998" s="15"/>
      <c r="T998" s="15"/>
      <c r="U998" s="199"/>
      <c r="AE998" s="15"/>
      <c r="AF998" s="15"/>
    </row>
    <row r="999" ht="15.0" customHeight="1">
      <c r="A999" s="199"/>
      <c r="H999" s="5"/>
      <c r="I999" s="5"/>
      <c r="J999" s="5"/>
      <c r="N999" s="199"/>
      <c r="P999" s="15"/>
      <c r="Q999" s="15"/>
      <c r="R999" s="15"/>
      <c r="S999" s="15"/>
      <c r="T999" s="15"/>
      <c r="U999" s="199"/>
      <c r="AE999" s="15"/>
      <c r="AF999" s="15"/>
    </row>
    <row r="1000" ht="15.0" customHeight="1">
      <c r="A1000" s="199"/>
      <c r="H1000" s="5"/>
      <c r="I1000" s="5"/>
      <c r="J1000" s="5"/>
      <c r="N1000" s="199"/>
      <c r="P1000" s="15"/>
      <c r="Q1000" s="15"/>
      <c r="R1000" s="15"/>
      <c r="S1000" s="15"/>
      <c r="T1000" s="15"/>
      <c r="U1000" s="199"/>
      <c r="AE1000" s="15"/>
      <c r="AF1000" s="15"/>
    </row>
  </sheetData>
  <conditionalFormatting sqref="H1:H1000 I4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8:I4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Q1 S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 AC2:AC12 AC14:AC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DG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DG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DG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:DG1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:DG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DG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:DG1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DG1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DG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:DG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:DG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:DG1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:DG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DG1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DG1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DG1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1:DG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DG1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DG1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DG1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DG1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:DG1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:DG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7 BR2:DG1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2:DG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DG18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2:DG1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:DG1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2:DG1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:DG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2:DG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:DG1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2:DG1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:DG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:DG1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:DG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:DG17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:DG1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:DG1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:DG1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2:DG1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1:DG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2:DG17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N2:DG1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N2:DG1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:DG1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P2:DG17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Q2:DG1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1:DG1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:DG1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2:DG1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2:DG17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2:DG1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2:DG1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1:DG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2:DG17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2:DG1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B2:DG1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2:DG1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2:DG1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2:DG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G2:DG1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.75"/>
    <col customWidth="1" min="3" max="3" width="10.0"/>
    <col customWidth="1" min="4" max="4" width="10.25"/>
    <col customWidth="1" min="5" max="5" width="7.5"/>
    <col customWidth="1" min="6" max="6" width="5.88"/>
    <col customWidth="1" min="7" max="7" width="5.25"/>
    <col customWidth="1" min="8" max="8" width="4.25"/>
    <col customWidth="1" min="9" max="9" width="5.25"/>
    <col customWidth="1" min="10" max="10" width="7.25"/>
    <col customWidth="1" min="11" max="12" width="6.0"/>
    <col customWidth="1" min="13" max="15" width="5.38"/>
    <col customWidth="1" min="16" max="16" width="6.25"/>
    <col customWidth="1" min="17" max="17" width="6.0"/>
    <col customWidth="1" min="18" max="18" width="6.88"/>
    <col customWidth="1" min="19" max="19" width="7.63"/>
    <col customWidth="1" min="20" max="20" width="7.0"/>
    <col customWidth="1" min="21" max="21" width="11.75"/>
    <col customWidth="1" min="22" max="25" width="8.5"/>
    <col customWidth="1" min="26" max="26" width="11.63"/>
    <col customWidth="1" min="27" max="27" width="5.75"/>
    <col customWidth="1" min="28" max="28" width="5.25"/>
    <col customWidth="1" min="29" max="29" width="4.75"/>
    <col customWidth="1" min="30" max="31" width="5.25"/>
    <col customWidth="1" min="32" max="32" width="8.5"/>
    <col customWidth="1" min="33" max="33" width="11.63"/>
    <col customWidth="1" min="34" max="34" width="5.75"/>
    <col customWidth="1" min="35" max="36" width="4.75"/>
    <col customWidth="1" min="37" max="38" width="4.38"/>
    <col customWidth="1" min="39" max="39" width="8.5"/>
    <col customWidth="1" min="40" max="40" width="11.63"/>
    <col customWidth="1" min="41" max="41" width="5.75"/>
    <col customWidth="1" min="42" max="110" width="8.5"/>
  </cols>
  <sheetData>
    <row r="1" ht="14.25" customHeight="1">
      <c r="A1" s="105" t="s">
        <v>215</v>
      </c>
      <c r="B1" s="106" t="s">
        <v>216</v>
      </c>
      <c r="C1" s="107" t="s">
        <v>1</v>
      </c>
      <c r="D1" s="107" t="s">
        <v>217</v>
      </c>
      <c r="E1" s="107" t="s">
        <v>2</v>
      </c>
      <c r="F1" s="107" t="s">
        <v>170</v>
      </c>
      <c r="G1" s="107" t="s">
        <v>218</v>
      </c>
      <c r="H1" s="107" t="s">
        <v>219</v>
      </c>
      <c r="I1" s="107" t="s">
        <v>220</v>
      </c>
      <c r="J1" s="108" t="s">
        <v>221</v>
      </c>
      <c r="K1" s="108" t="s">
        <v>222</v>
      </c>
      <c r="L1" s="108" t="s">
        <v>223</v>
      </c>
      <c r="M1" s="109" t="s">
        <v>261</v>
      </c>
      <c r="N1" s="110" t="s">
        <v>225</v>
      </c>
      <c r="O1" s="108" t="s">
        <v>262</v>
      </c>
      <c r="P1" s="109" t="s">
        <v>227</v>
      </c>
      <c r="Q1" s="108" t="s">
        <v>263</v>
      </c>
      <c r="R1" s="108" t="s">
        <v>264</v>
      </c>
      <c r="S1" s="110" t="s">
        <v>265</v>
      </c>
      <c r="T1" s="111" t="s">
        <v>266</v>
      </c>
      <c r="U1" s="5" t="s">
        <v>267</v>
      </c>
      <c r="V1" s="5"/>
      <c r="W1" s="5"/>
      <c r="X1" s="5"/>
      <c r="Y1" s="5"/>
      <c r="Z1" s="112"/>
      <c r="AA1" s="107"/>
      <c r="AB1" s="107"/>
      <c r="AC1" s="107"/>
      <c r="AD1" s="107"/>
      <c r="AE1" s="113"/>
      <c r="AF1" s="5"/>
      <c r="AG1" s="112"/>
      <c r="AH1" s="107"/>
      <c r="AI1" s="107"/>
      <c r="AJ1" s="107"/>
      <c r="AK1" s="107"/>
      <c r="AL1" s="113"/>
      <c r="AM1" s="5"/>
      <c r="AN1" s="112"/>
      <c r="AO1" s="107"/>
      <c r="AP1" s="107"/>
      <c r="AQ1" s="107"/>
      <c r="AR1" s="107"/>
      <c r="AS1" s="113"/>
      <c r="AT1" s="5"/>
      <c r="AU1" s="112"/>
      <c r="AV1" s="107"/>
      <c r="AW1" s="107"/>
      <c r="AX1" s="107"/>
      <c r="AY1" s="107"/>
      <c r="AZ1" s="113"/>
      <c r="BA1" s="5"/>
      <c r="BB1" s="112"/>
      <c r="BC1" s="107"/>
      <c r="BD1" s="107"/>
      <c r="BE1" s="107"/>
      <c r="BF1" s="107"/>
      <c r="BG1" s="113"/>
      <c r="BH1" s="5"/>
      <c r="BI1" s="112"/>
      <c r="BJ1" s="107"/>
      <c r="BK1" s="107"/>
      <c r="BL1" s="107"/>
      <c r="BM1" s="107"/>
      <c r="BN1" s="113"/>
      <c r="BO1" s="5"/>
      <c r="BP1" s="112"/>
      <c r="BQ1" s="107"/>
      <c r="BR1" s="107"/>
      <c r="BS1" s="107"/>
      <c r="BT1" s="107"/>
      <c r="BU1" s="113"/>
      <c r="BV1" s="5"/>
      <c r="BW1" s="112"/>
      <c r="BX1" s="107"/>
      <c r="BY1" s="107"/>
      <c r="BZ1" s="107"/>
      <c r="CA1" s="107"/>
      <c r="CB1" s="113"/>
      <c r="CC1" s="5"/>
      <c r="CD1" s="112"/>
      <c r="CE1" s="107"/>
      <c r="CF1" s="107"/>
      <c r="CG1" s="107"/>
      <c r="CH1" s="107"/>
      <c r="CI1" s="113"/>
      <c r="CJ1" s="5"/>
      <c r="CK1" s="112"/>
      <c r="CL1" s="107"/>
      <c r="CM1" s="107"/>
      <c r="CN1" s="107"/>
      <c r="CO1" s="107"/>
      <c r="CP1" s="113"/>
      <c r="CQ1" s="5"/>
      <c r="CR1" s="112"/>
      <c r="CS1" s="107"/>
      <c r="CT1" s="107"/>
      <c r="CU1" s="107"/>
      <c r="CV1" s="107"/>
      <c r="CW1" s="113"/>
      <c r="CX1" s="5"/>
      <c r="CY1" s="112"/>
      <c r="CZ1" s="107"/>
      <c r="DA1" s="107"/>
      <c r="DB1" s="107"/>
      <c r="DC1" s="107"/>
      <c r="DD1" s="113"/>
      <c r="DE1" s="5"/>
      <c r="DF1" s="112"/>
    </row>
    <row r="2" ht="14.25" customHeight="1">
      <c r="A2" s="115" t="s">
        <v>238</v>
      </c>
      <c r="B2" s="116" t="s">
        <v>278</v>
      </c>
      <c r="C2" s="116" t="s">
        <v>279</v>
      </c>
      <c r="D2" s="116" t="s">
        <v>240</v>
      </c>
      <c r="E2" s="117">
        <v>1.0</v>
      </c>
      <c r="F2" s="118" t="s">
        <v>276</v>
      </c>
      <c r="G2" s="119">
        <v>21.2264887</v>
      </c>
      <c r="H2" s="119">
        <v>0.4763378</v>
      </c>
      <c r="I2" s="119">
        <v>5.44257676</v>
      </c>
      <c r="J2" s="120">
        <f t="shared" ref="J2:J481" si="1">G2/H2</f>
        <v>44.56183973</v>
      </c>
      <c r="K2" s="121">
        <v>-0.31</v>
      </c>
      <c r="L2" s="121">
        <v>-0.612</v>
      </c>
      <c r="M2" s="122">
        <v>0.302</v>
      </c>
      <c r="N2" s="120">
        <v>41.4</v>
      </c>
      <c r="O2" s="120">
        <v>18.02177735099338</v>
      </c>
      <c r="P2" s="123">
        <v>8.691604955968948</v>
      </c>
      <c r="Q2" s="120">
        <v>0.7142857142857143</v>
      </c>
      <c r="R2" s="120">
        <v>0.48228345000000006</v>
      </c>
      <c r="S2" s="120">
        <v>110.02702702702703</v>
      </c>
      <c r="T2" s="124">
        <v>23.9</v>
      </c>
      <c r="U2" s="8">
        <f t="shared" ref="U2:U97" si="2">S2/T2</f>
        <v>4.603641298</v>
      </c>
      <c r="Z2" s="125"/>
      <c r="AA2" s="126"/>
      <c r="AB2" s="126"/>
      <c r="AC2" s="126"/>
      <c r="AD2" s="126"/>
      <c r="AE2" s="127"/>
      <c r="AG2" s="125"/>
      <c r="AH2" s="128"/>
      <c r="AI2" s="129"/>
      <c r="AJ2" s="129"/>
      <c r="AK2" s="129"/>
      <c r="AL2" s="130"/>
      <c r="AN2" s="125"/>
      <c r="AO2" s="128"/>
      <c r="AP2" s="129"/>
      <c r="AQ2" s="129"/>
      <c r="AR2" s="129"/>
      <c r="AS2" s="130"/>
      <c r="AU2" s="125"/>
      <c r="AV2" s="128"/>
      <c r="AW2" s="129"/>
      <c r="AX2" s="129"/>
      <c r="AY2" s="129"/>
      <c r="AZ2" s="130"/>
      <c r="BB2" s="125"/>
      <c r="BC2" s="128"/>
      <c r="BD2" s="129"/>
      <c r="BE2" s="129"/>
      <c r="BF2" s="129"/>
      <c r="BG2" s="130"/>
      <c r="BI2" s="125"/>
      <c r="BJ2" s="128"/>
      <c r="BK2" s="129"/>
      <c r="BL2" s="129"/>
      <c r="BM2" s="129"/>
      <c r="BN2" s="130"/>
      <c r="BP2" s="125"/>
      <c r="BQ2" s="128"/>
      <c r="BR2" s="129"/>
      <c r="BS2" s="129"/>
      <c r="BT2" s="129"/>
      <c r="BU2" s="129"/>
      <c r="BW2" s="125"/>
      <c r="BX2" s="128"/>
      <c r="BY2" s="129"/>
      <c r="BZ2" s="129"/>
      <c r="CA2" s="129"/>
      <c r="CB2" s="130"/>
      <c r="CD2" s="125"/>
      <c r="CE2" s="128"/>
      <c r="CF2" s="129"/>
      <c r="CG2" s="129"/>
      <c r="CH2" s="129"/>
      <c r="CI2" s="130"/>
      <c r="CK2" s="125"/>
      <c r="CL2" s="128"/>
      <c r="CM2" s="129"/>
      <c r="CN2" s="129"/>
      <c r="CO2" s="129"/>
      <c r="CP2" s="129"/>
      <c r="CR2" s="125"/>
      <c r="CS2" s="128"/>
      <c r="CT2" s="129"/>
      <c r="CU2" s="129"/>
      <c r="CV2" s="129"/>
      <c r="CW2" s="130"/>
      <c r="CY2" s="125"/>
      <c r="CZ2" s="128"/>
      <c r="DA2" s="129"/>
      <c r="DB2" s="129"/>
      <c r="DC2" s="129"/>
      <c r="DD2" s="129"/>
      <c r="DF2" s="131"/>
    </row>
    <row r="3" ht="14.25" customHeight="1">
      <c r="A3" s="134" t="s">
        <v>238</v>
      </c>
      <c r="B3" s="135" t="s">
        <v>278</v>
      </c>
      <c r="C3" s="116" t="s">
        <v>279</v>
      </c>
      <c r="D3" s="135" t="s">
        <v>240</v>
      </c>
      <c r="E3" s="8">
        <v>2.0</v>
      </c>
      <c r="F3" s="136" t="s">
        <v>276</v>
      </c>
      <c r="G3" s="137">
        <v>12.7785882</v>
      </c>
      <c r="H3" s="137">
        <v>0.34166575</v>
      </c>
      <c r="I3" s="137">
        <v>5.47102595</v>
      </c>
      <c r="J3" s="120">
        <f t="shared" si="1"/>
        <v>37.40084629</v>
      </c>
      <c r="K3" s="121"/>
      <c r="L3" s="121">
        <v>-0.72</v>
      </c>
      <c r="M3" s="122"/>
      <c r="N3" s="120">
        <v>42.0</v>
      </c>
      <c r="O3" s="120">
        <v>13.026252261904762</v>
      </c>
      <c r="P3" s="123">
        <v>7.805338822397305</v>
      </c>
      <c r="Q3" s="120">
        <v>1.1428571428571428</v>
      </c>
      <c r="R3" s="120">
        <v>0.5992006500000001</v>
      </c>
      <c r="S3" s="120">
        <v>176.1391304347826</v>
      </c>
      <c r="T3" s="124">
        <v>16.1</v>
      </c>
      <c r="U3" s="8">
        <f t="shared" si="2"/>
        <v>10.94031866</v>
      </c>
      <c r="Z3" s="32"/>
      <c r="AA3" s="120"/>
      <c r="AB3" s="120"/>
      <c r="AC3" s="120"/>
      <c r="AD3" s="120"/>
      <c r="AE3" s="124"/>
      <c r="AG3" s="32"/>
      <c r="AH3" s="138"/>
      <c r="AI3" s="139"/>
      <c r="AJ3" s="139"/>
      <c r="AK3" s="139"/>
      <c r="AL3" s="140"/>
      <c r="AN3" s="32"/>
      <c r="AO3" s="138"/>
      <c r="AP3" s="139"/>
      <c r="AQ3" s="139"/>
      <c r="AR3" s="139"/>
      <c r="AS3" s="140"/>
      <c r="AU3" s="32"/>
      <c r="AV3" s="138"/>
      <c r="AW3" s="139"/>
      <c r="AX3" s="139"/>
      <c r="AY3" s="139"/>
      <c r="AZ3" s="140"/>
      <c r="BB3" s="32"/>
      <c r="BC3" s="138"/>
      <c r="BD3" s="139"/>
      <c r="BE3" s="139"/>
      <c r="BF3" s="139"/>
      <c r="BG3" s="140"/>
      <c r="BI3" s="32"/>
      <c r="BJ3" s="138"/>
      <c r="BK3" s="139"/>
      <c r="BL3" s="139"/>
      <c r="BM3" s="139"/>
      <c r="BN3" s="140"/>
      <c r="BP3" s="32"/>
      <c r="BQ3" s="138"/>
      <c r="BR3" s="139"/>
      <c r="BS3" s="139"/>
      <c r="BT3" s="139"/>
      <c r="BU3" s="139"/>
      <c r="BW3" s="32"/>
      <c r="BX3" s="138"/>
      <c r="BY3" s="139"/>
      <c r="BZ3" s="139"/>
      <c r="CA3" s="139"/>
      <c r="CB3" s="140"/>
      <c r="CD3" s="32"/>
      <c r="CE3" s="138"/>
      <c r="CF3" s="139"/>
      <c r="CG3" s="139"/>
      <c r="CH3" s="139"/>
      <c r="CI3" s="140"/>
      <c r="CK3" s="32"/>
      <c r="CL3" s="138"/>
      <c r="CM3" s="139"/>
      <c r="CN3" s="139"/>
      <c r="CO3" s="139"/>
      <c r="CP3" s="139"/>
      <c r="CR3" s="32"/>
      <c r="CS3" s="138"/>
      <c r="CT3" s="139"/>
      <c r="CU3" s="139"/>
      <c r="CV3" s="139"/>
      <c r="CW3" s="140"/>
      <c r="CY3" s="32"/>
      <c r="CZ3" s="138"/>
      <c r="DA3" s="139"/>
      <c r="DB3" s="139"/>
      <c r="DC3" s="139"/>
      <c r="DD3" s="139"/>
      <c r="DF3" s="141"/>
    </row>
    <row r="4" ht="14.25" customHeight="1">
      <c r="A4" s="134" t="s">
        <v>238</v>
      </c>
      <c r="B4" s="135" t="s">
        <v>278</v>
      </c>
      <c r="C4" s="116" t="s">
        <v>279</v>
      </c>
      <c r="D4" s="135" t="s">
        <v>240</v>
      </c>
      <c r="E4" s="8">
        <v>3.0</v>
      </c>
      <c r="F4" s="136" t="s">
        <v>276</v>
      </c>
      <c r="G4" s="137">
        <v>16.833082</v>
      </c>
      <c r="H4" s="137">
        <v>0.36492115</v>
      </c>
      <c r="I4" s="137">
        <v>7.04139305</v>
      </c>
      <c r="J4" s="120">
        <f t="shared" si="1"/>
        <v>46.12799779</v>
      </c>
      <c r="K4" s="121">
        <v>-0.31</v>
      </c>
      <c r="L4" s="121">
        <v>-0.63</v>
      </c>
      <c r="M4" s="122">
        <v>0.32</v>
      </c>
      <c r="N4" s="120">
        <v>39.2</v>
      </c>
      <c r="O4" s="120">
        <v>22.004353281249998</v>
      </c>
      <c r="P4" s="123">
        <v>13.185022788954633</v>
      </c>
      <c r="Q4" s="120">
        <v>1.1428571428571428</v>
      </c>
      <c r="R4" s="120">
        <v>0.5992006500000001</v>
      </c>
      <c r="S4" s="120">
        <v>179.03489361702128</v>
      </c>
      <c r="T4" s="124">
        <v>15.2</v>
      </c>
      <c r="U4" s="8">
        <f t="shared" si="2"/>
        <v>11.77861142</v>
      </c>
      <c r="Z4" s="32"/>
      <c r="AA4" s="120"/>
      <c r="AB4" s="120"/>
      <c r="AC4" s="120"/>
      <c r="AD4" s="120"/>
      <c r="AE4" s="124"/>
      <c r="AG4" s="32"/>
      <c r="AH4" s="138"/>
      <c r="AI4" s="139"/>
      <c r="AJ4" s="139"/>
      <c r="AK4" s="139"/>
      <c r="AL4" s="140"/>
      <c r="AN4" s="32"/>
      <c r="AO4" s="138"/>
      <c r="AP4" s="139"/>
      <c r="AQ4" s="139"/>
      <c r="AR4" s="139"/>
      <c r="AS4" s="140"/>
      <c r="AU4" s="32"/>
      <c r="AV4" s="138"/>
      <c r="AW4" s="139"/>
      <c r="AX4" s="139"/>
      <c r="AY4" s="139"/>
      <c r="AZ4" s="140"/>
      <c r="BB4" s="32"/>
      <c r="BC4" s="138"/>
      <c r="BD4" s="139"/>
      <c r="BE4" s="139"/>
      <c r="BF4" s="139"/>
      <c r="BG4" s="140"/>
      <c r="BI4" s="32"/>
      <c r="BJ4" s="138"/>
      <c r="BK4" s="139"/>
      <c r="BL4" s="139"/>
      <c r="BM4" s="139"/>
      <c r="BN4" s="140"/>
      <c r="BP4" s="32"/>
      <c r="BQ4" s="138"/>
      <c r="BR4" s="139"/>
      <c r="BS4" s="139"/>
      <c r="BT4" s="139"/>
      <c r="BU4" s="139"/>
      <c r="BW4" s="32"/>
      <c r="BX4" s="138"/>
      <c r="BY4" s="139"/>
      <c r="BZ4" s="139"/>
      <c r="CA4" s="139"/>
      <c r="CB4" s="140"/>
      <c r="CD4" s="32"/>
      <c r="CE4" s="138"/>
      <c r="CF4" s="139"/>
      <c r="CG4" s="139"/>
      <c r="CH4" s="139"/>
      <c r="CI4" s="140"/>
      <c r="CK4" s="32"/>
      <c r="CL4" s="138"/>
      <c r="CM4" s="139"/>
      <c r="CN4" s="139"/>
      <c r="CO4" s="139"/>
      <c r="CP4" s="139"/>
      <c r="CR4" s="32"/>
      <c r="CS4" s="138"/>
      <c r="CT4" s="139"/>
      <c r="CU4" s="139"/>
      <c r="CV4" s="139"/>
      <c r="CW4" s="140"/>
      <c r="CY4" s="32"/>
      <c r="CZ4" s="138"/>
      <c r="DA4" s="139"/>
      <c r="DB4" s="139"/>
      <c r="DC4" s="139"/>
      <c r="DD4" s="139"/>
      <c r="DF4" s="141"/>
    </row>
    <row r="5" ht="14.25" customHeight="1">
      <c r="A5" s="134" t="s">
        <v>238</v>
      </c>
      <c r="B5" s="135" t="s">
        <v>278</v>
      </c>
      <c r="C5" s="116" t="s">
        <v>279</v>
      </c>
      <c r="D5" s="135" t="s">
        <v>240</v>
      </c>
      <c r="E5" s="8">
        <v>4.0</v>
      </c>
      <c r="F5" s="136" t="s">
        <v>276</v>
      </c>
      <c r="G5" s="137">
        <v>13.9478851</v>
      </c>
      <c r="H5" s="137">
        <v>0.3517747</v>
      </c>
      <c r="I5" s="137">
        <v>7.71859993</v>
      </c>
      <c r="J5" s="120">
        <f t="shared" si="1"/>
        <v>39.65005187</v>
      </c>
      <c r="K5" s="121"/>
      <c r="L5" s="121">
        <v>-0.884</v>
      </c>
      <c r="M5" s="122"/>
      <c r="N5" s="120">
        <v>40.6</v>
      </c>
      <c r="O5" s="120">
        <v>13.216780702054793</v>
      </c>
      <c r="P5" s="123">
        <v>7.726344963491406</v>
      </c>
      <c r="Q5" s="120">
        <v>1.2857142857142858</v>
      </c>
      <c r="R5" s="120">
        <v>0.5845860000000002</v>
      </c>
      <c r="S5" s="120">
        <v>154.95</v>
      </c>
      <c r="T5" s="124">
        <v>10.8</v>
      </c>
      <c r="U5" s="8">
        <f t="shared" si="2"/>
        <v>14.34722222</v>
      </c>
      <c r="Z5" s="32"/>
      <c r="AA5" s="120"/>
      <c r="AB5" s="120"/>
      <c r="AC5" s="120"/>
      <c r="AD5" s="120"/>
      <c r="AE5" s="124"/>
      <c r="AG5" s="32"/>
      <c r="AH5" s="138"/>
      <c r="AI5" s="139"/>
      <c r="AJ5" s="139"/>
      <c r="AK5" s="139"/>
      <c r="AL5" s="140"/>
      <c r="AN5" s="32"/>
      <c r="AO5" s="138"/>
      <c r="AP5" s="139"/>
      <c r="AQ5" s="139"/>
      <c r="AR5" s="139"/>
      <c r="AS5" s="140"/>
      <c r="AU5" s="32"/>
      <c r="AV5" s="138"/>
      <c r="AW5" s="139"/>
      <c r="AX5" s="139"/>
      <c r="AY5" s="139"/>
      <c r="AZ5" s="140"/>
      <c r="BB5" s="32"/>
      <c r="BC5" s="138"/>
      <c r="BD5" s="139"/>
      <c r="BE5" s="139"/>
      <c r="BF5" s="139"/>
      <c r="BG5" s="140"/>
      <c r="BI5" s="32"/>
      <c r="BJ5" s="138"/>
      <c r="BK5" s="139"/>
      <c r="BL5" s="139"/>
      <c r="BM5" s="139"/>
      <c r="BN5" s="140"/>
      <c r="BP5" s="32"/>
      <c r="BQ5" s="138"/>
      <c r="BR5" s="139"/>
      <c r="BS5" s="139"/>
      <c r="BT5" s="139"/>
      <c r="BU5" s="139"/>
      <c r="BW5" s="32"/>
      <c r="BX5" s="138"/>
      <c r="BY5" s="139"/>
      <c r="BZ5" s="139"/>
      <c r="CA5" s="139"/>
      <c r="CB5" s="140"/>
      <c r="CD5" s="32"/>
      <c r="CE5" s="138"/>
      <c r="CF5" s="139"/>
      <c r="CG5" s="139"/>
      <c r="CH5" s="139"/>
      <c r="CI5" s="140"/>
      <c r="CK5" s="32"/>
      <c r="CL5" s="138"/>
      <c r="CM5" s="139"/>
      <c r="CN5" s="139"/>
      <c r="CO5" s="139"/>
      <c r="CP5" s="139"/>
      <c r="CR5" s="32"/>
      <c r="CS5" s="138"/>
      <c r="CT5" s="139"/>
      <c r="CU5" s="139"/>
      <c r="CV5" s="139"/>
      <c r="CW5" s="140"/>
      <c r="CY5" s="32"/>
      <c r="CZ5" s="138"/>
      <c r="DA5" s="139"/>
      <c r="DB5" s="139"/>
      <c r="DC5" s="139"/>
      <c r="DD5" s="139"/>
      <c r="DF5" s="141"/>
    </row>
    <row r="6" ht="14.25" customHeight="1">
      <c r="A6" s="134" t="s">
        <v>238</v>
      </c>
      <c r="B6" s="135" t="s">
        <v>278</v>
      </c>
      <c r="C6" s="116" t="s">
        <v>279</v>
      </c>
      <c r="D6" s="135" t="s">
        <v>240</v>
      </c>
      <c r="E6" s="8">
        <v>5.0</v>
      </c>
      <c r="F6" s="136" t="s">
        <v>276</v>
      </c>
      <c r="G6" s="137">
        <v>14.8285041</v>
      </c>
      <c r="H6" s="137">
        <v>0.29662361</v>
      </c>
      <c r="I6" s="137">
        <v>5.52177016</v>
      </c>
      <c r="J6" s="120">
        <f t="shared" si="1"/>
        <v>49.99097712</v>
      </c>
      <c r="K6" s="121">
        <v>-0.276</v>
      </c>
      <c r="L6" s="121">
        <v>-0.76</v>
      </c>
      <c r="M6" s="122">
        <v>0.484</v>
      </c>
      <c r="N6" s="120">
        <v>47.6</v>
      </c>
      <c r="O6" s="120">
        <v>11.408616033057852</v>
      </c>
      <c r="P6" s="123">
        <v>6.836050142608687</v>
      </c>
      <c r="Q6" s="120">
        <v>1.1428571428571428</v>
      </c>
      <c r="R6" s="120">
        <v>0.5992006500000001</v>
      </c>
      <c r="S6" s="120">
        <v>117.4617857142857</v>
      </c>
      <c r="T6" s="124">
        <v>24.2</v>
      </c>
      <c r="U6" s="8">
        <f t="shared" si="2"/>
        <v>4.853792798</v>
      </c>
      <c r="Z6" s="32"/>
      <c r="AA6" s="120"/>
      <c r="AB6" s="120"/>
      <c r="AC6" s="120"/>
      <c r="AD6" s="120"/>
      <c r="AE6" s="124"/>
      <c r="AG6" s="32"/>
      <c r="AH6" s="138"/>
      <c r="AI6" s="139"/>
      <c r="AJ6" s="139"/>
      <c r="AK6" s="139"/>
      <c r="AL6" s="140"/>
      <c r="AN6" s="32"/>
      <c r="AO6" s="138"/>
      <c r="AP6" s="139"/>
      <c r="AQ6" s="139"/>
      <c r="AR6" s="139"/>
      <c r="AS6" s="140"/>
      <c r="AU6" s="32"/>
      <c r="AV6" s="138"/>
      <c r="AW6" s="139"/>
      <c r="AX6" s="139"/>
      <c r="AY6" s="139"/>
      <c r="AZ6" s="140"/>
      <c r="BB6" s="32"/>
      <c r="BC6" s="138"/>
      <c r="BD6" s="139"/>
      <c r="BE6" s="139"/>
      <c r="BF6" s="139"/>
      <c r="BG6" s="140"/>
      <c r="BI6" s="32"/>
      <c r="BJ6" s="138"/>
      <c r="BK6" s="139"/>
      <c r="BL6" s="139"/>
      <c r="BM6" s="139"/>
      <c r="BN6" s="140"/>
      <c r="BP6" s="32"/>
      <c r="BQ6" s="138"/>
      <c r="BR6" s="139"/>
      <c r="BS6" s="139"/>
      <c r="BT6" s="139"/>
      <c r="BU6" s="139"/>
      <c r="BW6" s="32"/>
      <c r="BX6" s="138"/>
      <c r="BY6" s="139"/>
      <c r="BZ6" s="139"/>
      <c r="CA6" s="139"/>
      <c r="CB6" s="140"/>
      <c r="CD6" s="32"/>
      <c r="CE6" s="138"/>
      <c r="CF6" s="139"/>
      <c r="CG6" s="139"/>
      <c r="CH6" s="139"/>
      <c r="CI6" s="140"/>
      <c r="CK6" s="32"/>
      <c r="CL6" s="138"/>
      <c r="CM6" s="139"/>
      <c r="CN6" s="139"/>
      <c r="CO6" s="139"/>
      <c r="CP6" s="139"/>
      <c r="CR6" s="32"/>
      <c r="CS6" s="138"/>
      <c r="CT6" s="139"/>
      <c r="CU6" s="139"/>
      <c r="CV6" s="139"/>
      <c r="CW6" s="140"/>
      <c r="CY6" s="32"/>
      <c r="CZ6" s="138"/>
      <c r="DA6" s="139"/>
      <c r="DB6" s="139"/>
      <c r="DC6" s="139"/>
      <c r="DD6" s="139"/>
      <c r="DF6" s="141"/>
    </row>
    <row r="7" ht="14.25" customHeight="1">
      <c r="A7" s="134" t="s">
        <v>238</v>
      </c>
      <c r="B7" s="135" t="s">
        <v>278</v>
      </c>
      <c r="C7" s="116" t="s">
        <v>279</v>
      </c>
      <c r="D7" s="135" t="s">
        <v>240</v>
      </c>
      <c r="E7" s="8">
        <v>6.0</v>
      </c>
      <c r="F7" s="136" t="s">
        <v>276</v>
      </c>
      <c r="G7" s="137">
        <v>13.8134669</v>
      </c>
      <c r="H7" s="137">
        <v>0.35870375</v>
      </c>
      <c r="I7" s="137">
        <v>8.82545658</v>
      </c>
      <c r="J7" s="120">
        <f t="shared" si="1"/>
        <v>38.50940198</v>
      </c>
      <c r="K7" s="121"/>
      <c r="L7" s="121">
        <v>-0.809</v>
      </c>
      <c r="M7" s="122"/>
      <c r="N7" s="120">
        <v>34.9</v>
      </c>
      <c r="O7" s="120">
        <v>17.33881449901768</v>
      </c>
      <c r="P7" s="123">
        <v>9.122425391450477</v>
      </c>
      <c r="Q7" s="120">
        <v>0.8571428571428571</v>
      </c>
      <c r="R7" s="120">
        <v>0.5261274000000001</v>
      </c>
      <c r="S7" s="120">
        <v>53.23809523809524</v>
      </c>
      <c r="T7" s="124">
        <v>16.1</v>
      </c>
      <c r="U7" s="8">
        <f t="shared" si="2"/>
        <v>3.30671399</v>
      </c>
      <c r="Z7" s="32"/>
      <c r="AA7" s="120"/>
      <c r="AB7" s="120"/>
      <c r="AC7" s="120"/>
      <c r="AD7" s="120"/>
      <c r="AE7" s="124"/>
      <c r="AG7" s="32"/>
      <c r="AH7" s="138"/>
      <c r="AI7" s="139"/>
      <c r="AJ7" s="139"/>
      <c r="AK7" s="139"/>
      <c r="AL7" s="140"/>
      <c r="AN7" s="32"/>
      <c r="AO7" s="138"/>
      <c r="AP7" s="139"/>
      <c r="AQ7" s="139"/>
      <c r="AR7" s="139"/>
      <c r="AS7" s="140"/>
      <c r="AU7" s="32"/>
      <c r="AV7" s="138"/>
      <c r="AW7" s="139"/>
      <c r="AX7" s="139"/>
      <c r="AY7" s="139"/>
      <c r="AZ7" s="140"/>
      <c r="BB7" s="32"/>
      <c r="BC7" s="138"/>
      <c r="BD7" s="139"/>
      <c r="BE7" s="139"/>
      <c r="BF7" s="139"/>
      <c r="BG7" s="140"/>
      <c r="BI7" s="32"/>
      <c r="BJ7" s="138"/>
      <c r="BK7" s="139"/>
      <c r="BL7" s="139"/>
      <c r="BM7" s="139"/>
      <c r="BN7" s="140"/>
      <c r="BP7" s="32"/>
      <c r="BQ7" s="138"/>
      <c r="BR7" s="139"/>
      <c r="BS7" s="139"/>
      <c r="BT7" s="139"/>
      <c r="BU7" s="139"/>
      <c r="BW7" s="32"/>
      <c r="BX7" s="138"/>
      <c r="BY7" s="139"/>
      <c r="BZ7" s="139"/>
      <c r="CA7" s="139"/>
      <c r="CB7" s="140"/>
      <c r="CD7" s="32"/>
      <c r="CE7" s="138"/>
      <c r="CF7" s="139"/>
      <c r="CG7" s="139"/>
      <c r="CH7" s="139"/>
      <c r="CI7" s="140"/>
      <c r="CK7" s="32"/>
      <c r="CL7" s="138"/>
      <c r="CM7" s="139"/>
      <c r="CN7" s="139"/>
      <c r="CO7" s="139"/>
      <c r="CP7" s="139"/>
      <c r="CR7" s="32"/>
      <c r="CS7" s="138"/>
      <c r="CT7" s="139"/>
      <c r="CU7" s="139"/>
      <c r="CV7" s="139"/>
      <c r="CW7" s="140"/>
      <c r="CY7" s="32"/>
      <c r="CZ7" s="138"/>
      <c r="DA7" s="139"/>
      <c r="DB7" s="139"/>
      <c r="DC7" s="139"/>
      <c r="DD7" s="139"/>
      <c r="DF7" s="141"/>
    </row>
    <row r="8" ht="14.25" customHeight="1">
      <c r="A8" s="134" t="s">
        <v>244</v>
      </c>
      <c r="B8" s="3" t="s">
        <v>278</v>
      </c>
      <c r="C8" s="3" t="s">
        <v>280</v>
      </c>
      <c r="D8" s="135" t="s">
        <v>240</v>
      </c>
      <c r="E8" s="8">
        <v>1.0</v>
      </c>
      <c r="F8" s="136" t="s">
        <v>276</v>
      </c>
      <c r="G8" s="137">
        <v>14.6583968</v>
      </c>
      <c r="H8" s="137">
        <v>0.29060719</v>
      </c>
      <c r="I8" s="137">
        <v>4.06381125</v>
      </c>
      <c r="J8" s="120">
        <f t="shared" si="1"/>
        <v>50.44058545</v>
      </c>
      <c r="K8" s="121">
        <v>-0.307</v>
      </c>
      <c r="L8" s="121">
        <v>-0.702</v>
      </c>
      <c r="M8" s="122">
        <v>0.395</v>
      </c>
      <c r="N8" s="120">
        <v>42.5</v>
      </c>
      <c r="O8" s="120">
        <v>10.288129746835443</v>
      </c>
      <c r="P8" s="123">
        <v>5.713581785374367</v>
      </c>
      <c r="Q8" s="120">
        <v>1.2857142857142858</v>
      </c>
      <c r="R8" s="120">
        <v>0.5553567</v>
      </c>
      <c r="S8" s="120">
        <v>122.61666666666667</v>
      </c>
      <c r="T8" s="124">
        <v>11.3</v>
      </c>
      <c r="U8" s="8">
        <f t="shared" si="2"/>
        <v>10.85103245</v>
      </c>
      <c r="Z8" s="32"/>
      <c r="AA8" s="120"/>
      <c r="AB8" s="120"/>
      <c r="AC8" s="120"/>
      <c r="AD8" s="120"/>
      <c r="AE8" s="124"/>
      <c r="AG8" s="32"/>
      <c r="AH8" s="138"/>
      <c r="AI8" s="139"/>
      <c r="AJ8" s="139"/>
      <c r="AK8" s="139"/>
      <c r="AL8" s="140"/>
      <c r="AN8" s="32"/>
      <c r="AO8" s="138"/>
      <c r="AP8" s="139"/>
      <c r="AQ8" s="139"/>
      <c r="AR8" s="139"/>
      <c r="AS8" s="140"/>
      <c r="AU8" s="32"/>
      <c r="AV8" s="138"/>
      <c r="AW8" s="139"/>
      <c r="AX8" s="139"/>
      <c r="AY8" s="139"/>
      <c r="AZ8" s="140"/>
      <c r="BB8" s="32"/>
      <c r="BC8" s="138"/>
      <c r="BD8" s="139"/>
      <c r="BE8" s="139"/>
      <c r="BF8" s="139"/>
      <c r="BG8" s="140"/>
      <c r="BI8" s="32"/>
      <c r="BJ8" s="138"/>
      <c r="BK8" s="139"/>
      <c r="BL8" s="139"/>
      <c r="BM8" s="139"/>
      <c r="BN8" s="140"/>
      <c r="BP8" s="32"/>
      <c r="BQ8" s="138"/>
      <c r="BR8" s="139"/>
      <c r="BS8" s="139"/>
      <c r="BT8" s="139"/>
      <c r="BU8" s="139"/>
      <c r="BW8" s="32"/>
      <c r="BX8" s="138"/>
      <c r="BY8" s="139"/>
      <c r="BZ8" s="139"/>
      <c r="CA8" s="139"/>
      <c r="CB8" s="140"/>
      <c r="CD8" s="32"/>
      <c r="CE8" s="138"/>
      <c r="CF8" s="139"/>
      <c r="CG8" s="139"/>
      <c r="CH8" s="139"/>
      <c r="CI8" s="140"/>
      <c r="CK8" s="32"/>
      <c r="CL8" s="138"/>
      <c r="CM8" s="139"/>
      <c r="CN8" s="139"/>
      <c r="CO8" s="139"/>
      <c r="CP8" s="139"/>
      <c r="CR8" s="32"/>
      <c r="CS8" s="138"/>
      <c r="CT8" s="139"/>
      <c r="CU8" s="139"/>
      <c r="CV8" s="139"/>
      <c r="CW8" s="140"/>
      <c r="CY8" s="32"/>
      <c r="CZ8" s="138"/>
      <c r="DA8" s="139"/>
      <c r="DB8" s="139"/>
      <c r="DC8" s="139"/>
      <c r="DD8" s="139"/>
      <c r="DF8" s="141"/>
    </row>
    <row r="9" ht="14.25" customHeight="1">
      <c r="A9" s="134" t="s">
        <v>244</v>
      </c>
      <c r="B9" s="3" t="s">
        <v>278</v>
      </c>
      <c r="C9" s="3" t="s">
        <v>280</v>
      </c>
      <c r="D9" s="135" t="s">
        <v>240</v>
      </c>
      <c r="E9" s="8">
        <v>2.0</v>
      </c>
      <c r="F9" s="136" t="s">
        <v>276</v>
      </c>
      <c r="G9" s="137">
        <v>15.9668213</v>
      </c>
      <c r="H9" s="137">
        <v>0.38940098</v>
      </c>
      <c r="I9" s="137">
        <v>5.71769313</v>
      </c>
      <c r="J9" s="120">
        <f t="shared" si="1"/>
        <v>41.00354678</v>
      </c>
      <c r="K9" s="121"/>
      <c r="L9" s="121">
        <v>-0.77</v>
      </c>
      <c r="M9" s="122"/>
      <c r="N9" s="120">
        <v>38.4</v>
      </c>
      <c r="O9" s="120">
        <v>12.705984733333333</v>
      </c>
      <c r="P9" s="123">
        <v>7.056353751754379</v>
      </c>
      <c r="Q9" s="120">
        <v>1.1428571428571428</v>
      </c>
      <c r="R9" s="120">
        <v>0.5553567</v>
      </c>
      <c r="S9" s="120">
        <v>119.0344827586207</v>
      </c>
      <c r="T9" s="124">
        <v>17.8</v>
      </c>
      <c r="U9" s="8">
        <f t="shared" si="2"/>
        <v>6.687330492</v>
      </c>
      <c r="Z9" s="32"/>
      <c r="AA9" s="120"/>
      <c r="AB9" s="120"/>
      <c r="AC9" s="120"/>
      <c r="AD9" s="120"/>
      <c r="AE9" s="124"/>
      <c r="AG9" s="32"/>
      <c r="AH9" s="138"/>
      <c r="AI9" s="139"/>
      <c r="AJ9" s="139"/>
      <c r="AK9" s="139"/>
      <c r="AL9" s="140"/>
      <c r="AN9" s="32"/>
      <c r="AO9" s="138"/>
      <c r="AP9" s="139"/>
      <c r="AQ9" s="139"/>
      <c r="AR9" s="139"/>
      <c r="AS9" s="140"/>
      <c r="AU9" s="32"/>
      <c r="AV9" s="138"/>
      <c r="AW9" s="139"/>
      <c r="AX9" s="139"/>
      <c r="AY9" s="139"/>
      <c r="AZ9" s="140"/>
      <c r="BB9" s="32"/>
      <c r="BC9" s="138"/>
      <c r="BD9" s="139"/>
      <c r="BE9" s="139"/>
      <c r="BF9" s="139"/>
      <c r="BG9" s="140"/>
      <c r="BI9" s="32"/>
      <c r="BJ9" s="138"/>
      <c r="BK9" s="139"/>
      <c r="BL9" s="139"/>
      <c r="BM9" s="139"/>
      <c r="BN9" s="140"/>
      <c r="BP9" s="32"/>
      <c r="BQ9" s="138"/>
      <c r="BR9" s="139"/>
      <c r="BS9" s="139"/>
      <c r="BT9" s="139"/>
      <c r="BU9" s="139"/>
      <c r="BW9" s="32"/>
      <c r="BX9" s="138"/>
      <c r="BY9" s="139"/>
      <c r="BZ9" s="139"/>
      <c r="CA9" s="139"/>
      <c r="CB9" s="140"/>
      <c r="CD9" s="32"/>
      <c r="CE9" s="138"/>
      <c r="CF9" s="139"/>
      <c r="CG9" s="139"/>
      <c r="CH9" s="139"/>
      <c r="CI9" s="140"/>
      <c r="CK9" s="32"/>
      <c r="CL9" s="138"/>
      <c r="CM9" s="139"/>
      <c r="CN9" s="139"/>
      <c r="CO9" s="139"/>
      <c r="CP9" s="139"/>
      <c r="CR9" s="32"/>
      <c r="CS9" s="138"/>
      <c r="CT9" s="139"/>
      <c r="CU9" s="139"/>
      <c r="CV9" s="139"/>
      <c r="CW9" s="140"/>
      <c r="CY9" s="32"/>
      <c r="CZ9" s="138"/>
      <c r="DA9" s="139"/>
      <c r="DB9" s="139"/>
      <c r="DC9" s="139"/>
      <c r="DD9" s="139"/>
      <c r="DF9" s="141"/>
    </row>
    <row r="10" ht="14.25" customHeight="1">
      <c r="A10" s="134" t="s">
        <v>244</v>
      </c>
      <c r="B10" s="3" t="s">
        <v>278</v>
      </c>
      <c r="C10" s="3" t="s">
        <v>280</v>
      </c>
      <c r="D10" s="135" t="s">
        <v>240</v>
      </c>
      <c r="E10" s="8">
        <v>3.0</v>
      </c>
      <c r="F10" s="136" t="s">
        <v>276</v>
      </c>
      <c r="G10" s="137">
        <v>18.2957699</v>
      </c>
      <c r="H10" s="137">
        <v>0.18243967</v>
      </c>
      <c r="I10" s="137">
        <v>5.08661469</v>
      </c>
      <c r="J10" s="120">
        <f t="shared" si="1"/>
        <v>100.2839454</v>
      </c>
      <c r="K10" s="121">
        <v>-0.32</v>
      </c>
      <c r="L10" s="121">
        <v>-0.87</v>
      </c>
      <c r="M10" s="122">
        <v>0.55</v>
      </c>
      <c r="N10" s="120">
        <v>42.9</v>
      </c>
      <c r="O10" s="120">
        <v>9.248390345454546</v>
      </c>
      <c r="P10" s="123">
        <v>5.811965482374484</v>
      </c>
      <c r="Q10" s="120">
        <v>1.1428571428571428</v>
      </c>
      <c r="R10" s="120">
        <v>0.6284299500000001</v>
      </c>
      <c r="S10" s="120">
        <v>154.44000000000003</v>
      </c>
      <c r="T10" s="124">
        <v>22.1</v>
      </c>
      <c r="U10" s="8">
        <f t="shared" si="2"/>
        <v>6.988235294</v>
      </c>
      <c r="Z10" s="32"/>
      <c r="AA10" s="120"/>
      <c r="AB10" s="120"/>
      <c r="AC10" s="120"/>
      <c r="AD10" s="120"/>
      <c r="AE10" s="124"/>
      <c r="AG10" s="32"/>
      <c r="AH10" s="138"/>
      <c r="AI10" s="139"/>
      <c r="AJ10" s="139"/>
      <c r="AK10" s="139"/>
      <c r="AL10" s="140"/>
      <c r="AN10" s="32"/>
      <c r="AO10" s="138"/>
      <c r="AP10" s="139"/>
      <c r="AQ10" s="139"/>
      <c r="AR10" s="139"/>
      <c r="AS10" s="140"/>
      <c r="AU10" s="32"/>
      <c r="AV10" s="138"/>
      <c r="AW10" s="139"/>
      <c r="AX10" s="139"/>
      <c r="AY10" s="139"/>
      <c r="AZ10" s="140"/>
      <c r="BB10" s="32"/>
      <c r="BC10" s="138"/>
      <c r="BD10" s="139"/>
      <c r="BE10" s="139"/>
      <c r="BF10" s="139"/>
      <c r="BG10" s="140"/>
      <c r="BI10" s="32"/>
      <c r="BJ10" s="138"/>
      <c r="BK10" s="139"/>
      <c r="BL10" s="139"/>
      <c r="BM10" s="139"/>
      <c r="BN10" s="140"/>
      <c r="BP10" s="32"/>
      <c r="BQ10" s="138"/>
      <c r="BR10" s="139"/>
      <c r="BS10" s="139"/>
      <c r="BT10" s="139"/>
      <c r="BU10" s="139"/>
      <c r="BW10" s="32"/>
      <c r="BX10" s="138"/>
      <c r="BY10" s="139"/>
      <c r="BZ10" s="139"/>
      <c r="CA10" s="139"/>
      <c r="CB10" s="140"/>
      <c r="CD10" s="32"/>
      <c r="CE10" s="138"/>
      <c r="CF10" s="139"/>
      <c r="CG10" s="139"/>
      <c r="CH10" s="139"/>
      <c r="CI10" s="140"/>
      <c r="CK10" s="32"/>
      <c r="CL10" s="138"/>
      <c r="CM10" s="139"/>
      <c r="CN10" s="139"/>
      <c r="CO10" s="139"/>
      <c r="CP10" s="139"/>
      <c r="CR10" s="32"/>
      <c r="CS10" s="138"/>
      <c r="CT10" s="139"/>
      <c r="CU10" s="139"/>
      <c r="CV10" s="139"/>
      <c r="CW10" s="140"/>
      <c r="CY10" s="32"/>
      <c r="CZ10" s="138"/>
      <c r="DA10" s="139"/>
      <c r="DB10" s="139"/>
      <c r="DC10" s="139"/>
      <c r="DD10" s="139"/>
      <c r="DF10" s="141"/>
    </row>
    <row r="11" ht="14.25" customHeight="1">
      <c r="A11" s="134" t="s">
        <v>244</v>
      </c>
      <c r="B11" s="3" t="s">
        <v>278</v>
      </c>
      <c r="C11" s="3" t="s">
        <v>280</v>
      </c>
      <c r="D11" s="135" t="s">
        <v>240</v>
      </c>
      <c r="E11" s="8">
        <v>4.0</v>
      </c>
      <c r="F11" s="136" t="s">
        <v>276</v>
      </c>
      <c r="G11" s="137">
        <v>12.1165926</v>
      </c>
      <c r="H11" s="137">
        <v>0.22813307</v>
      </c>
      <c r="I11" s="137">
        <v>5.60569543</v>
      </c>
      <c r="J11" s="120">
        <f t="shared" si="1"/>
        <v>53.11195172</v>
      </c>
      <c r="K11" s="121"/>
      <c r="L11" s="121">
        <v>-0.86</v>
      </c>
      <c r="M11" s="122"/>
      <c r="N11" s="120">
        <v>44.2</v>
      </c>
      <c r="O11" s="120">
        <v>10.380917462962962</v>
      </c>
      <c r="P11" s="123">
        <v>6.068539016003668</v>
      </c>
      <c r="Q11" s="120">
        <v>0.42857142857142855</v>
      </c>
      <c r="R11" s="120">
        <v>0.5845860000000002</v>
      </c>
      <c r="S11" s="120">
        <v>153.49245283018865</v>
      </c>
      <c r="T11" s="124">
        <v>29.7</v>
      </c>
      <c r="U11" s="8">
        <f t="shared" si="2"/>
        <v>5.168096055</v>
      </c>
      <c r="Z11" s="32"/>
      <c r="AA11" s="120"/>
      <c r="AB11" s="120"/>
      <c r="AC11" s="120"/>
      <c r="AD11" s="120"/>
      <c r="AE11" s="124"/>
      <c r="AG11" s="32"/>
      <c r="AH11" s="138"/>
      <c r="AI11" s="139"/>
      <c r="AJ11" s="139"/>
      <c r="AK11" s="139"/>
      <c r="AL11" s="140"/>
      <c r="AN11" s="32"/>
      <c r="AO11" s="138"/>
      <c r="AP11" s="139"/>
      <c r="AQ11" s="139"/>
      <c r="AR11" s="139"/>
      <c r="AS11" s="140"/>
      <c r="AU11" s="32"/>
      <c r="AV11" s="138"/>
      <c r="AW11" s="139"/>
      <c r="AX11" s="139"/>
      <c r="AY11" s="139"/>
      <c r="AZ11" s="140"/>
      <c r="BB11" s="32"/>
      <c r="BC11" s="138"/>
      <c r="BD11" s="139"/>
      <c r="BE11" s="139"/>
      <c r="BF11" s="139"/>
      <c r="BG11" s="140"/>
      <c r="BI11" s="32"/>
      <c r="BJ11" s="138"/>
      <c r="BK11" s="139"/>
      <c r="BL11" s="139"/>
      <c r="BM11" s="139"/>
      <c r="BN11" s="140"/>
      <c r="BP11" s="32"/>
      <c r="BQ11" s="138"/>
      <c r="BR11" s="139"/>
      <c r="BS11" s="139"/>
      <c r="BT11" s="139"/>
      <c r="BU11" s="139"/>
      <c r="BW11" s="32"/>
      <c r="BX11" s="138"/>
      <c r="BY11" s="139"/>
      <c r="BZ11" s="139"/>
      <c r="CA11" s="139"/>
      <c r="CB11" s="140"/>
      <c r="CD11" s="32"/>
      <c r="CE11" s="138"/>
      <c r="CF11" s="139"/>
      <c r="CG11" s="139"/>
      <c r="CH11" s="139"/>
      <c r="CI11" s="140"/>
      <c r="CK11" s="32"/>
      <c r="CL11" s="138"/>
      <c r="CM11" s="139"/>
      <c r="CN11" s="139"/>
      <c r="CO11" s="139"/>
      <c r="CP11" s="139"/>
      <c r="CR11" s="32"/>
      <c r="CS11" s="138"/>
      <c r="CT11" s="139"/>
      <c r="CU11" s="139"/>
      <c r="CV11" s="139"/>
      <c r="CW11" s="140"/>
      <c r="CY11" s="32"/>
      <c r="CZ11" s="138"/>
      <c r="DA11" s="139"/>
      <c r="DB11" s="139"/>
      <c r="DC11" s="139"/>
      <c r="DD11" s="139"/>
      <c r="DF11" s="141"/>
    </row>
    <row r="12" ht="14.25" customHeight="1">
      <c r="A12" s="134" t="s">
        <v>244</v>
      </c>
      <c r="B12" s="3" t="s">
        <v>278</v>
      </c>
      <c r="C12" s="3" t="s">
        <v>280</v>
      </c>
      <c r="D12" s="135" t="s">
        <v>240</v>
      </c>
      <c r="E12" s="8">
        <v>5.0</v>
      </c>
      <c r="F12" s="136" t="s">
        <v>276</v>
      </c>
      <c r="G12" s="137">
        <v>9.8156713</v>
      </c>
      <c r="H12" s="137">
        <v>0.1474799</v>
      </c>
      <c r="I12" s="137">
        <v>3.25326783</v>
      </c>
      <c r="J12" s="120">
        <f t="shared" si="1"/>
        <v>66.55599373</v>
      </c>
      <c r="K12" s="121">
        <v>-0.34</v>
      </c>
      <c r="L12" s="121">
        <v>-0.89</v>
      </c>
      <c r="M12" s="122">
        <v>0.55</v>
      </c>
      <c r="N12" s="120">
        <v>40.2</v>
      </c>
      <c r="O12" s="120">
        <v>5.915032418181817</v>
      </c>
      <c r="P12" s="123">
        <v>3.9765219123975224</v>
      </c>
      <c r="Q12" s="120">
        <v>1.0</v>
      </c>
      <c r="R12" s="120">
        <v>0.6722739000000001</v>
      </c>
      <c r="S12" s="120">
        <v>174.0865671641791</v>
      </c>
      <c r="T12" s="124">
        <v>7.1</v>
      </c>
      <c r="U12" s="8">
        <f t="shared" si="2"/>
        <v>24.51923481</v>
      </c>
      <c r="Z12" s="32"/>
      <c r="AA12" s="120"/>
      <c r="AB12" s="120"/>
      <c r="AC12" s="120"/>
      <c r="AD12" s="120"/>
      <c r="AE12" s="124"/>
      <c r="AG12" s="32"/>
      <c r="AH12" s="138"/>
      <c r="AI12" s="139"/>
      <c r="AJ12" s="139"/>
      <c r="AK12" s="139"/>
      <c r="AL12" s="140"/>
      <c r="AN12" s="32"/>
      <c r="AO12" s="138"/>
      <c r="AP12" s="139"/>
      <c r="AQ12" s="139"/>
      <c r="AR12" s="139"/>
      <c r="AS12" s="140"/>
      <c r="AU12" s="32"/>
      <c r="AV12" s="138"/>
      <c r="AW12" s="139"/>
      <c r="AX12" s="139"/>
      <c r="AY12" s="139"/>
      <c r="AZ12" s="140"/>
      <c r="BB12" s="32"/>
      <c r="BC12" s="138"/>
      <c r="BD12" s="139"/>
      <c r="BE12" s="139"/>
      <c r="BF12" s="139"/>
      <c r="BG12" s="140"/>
      <c r="BI12" s="32"/>
      <c r="BJ12" s="138"/>
      <c r="BK12" s="139"/>
      <c r="BL12" s="139"/>
      <c r="BM12" s="139"/>
      <c r="BN12" s="140"/>
      <c r="BP12" s="32"/>
      <c r="BQ12" s="138"/>
      <c r="BR12" s="139"/>
      <c r="BS12" s="139"/>
      <c r="BT12" s="139"/>
      <c r="BU12" s="139"/>
      <c r="BW12" s="32"/>
      <c r="BX12" s="138"/>
      <c r="BY12" s="139"/>
      <c r="BZ12" s="139"/>
      <c r="CA12" s="139"/>
      <c r="CB12" s="140"/>
      <c r="CD12" s="32"/>
      <c r="CE12" s="138"/>
      <c r="CF12" s="139"/>
      <c r="CG12" s="139"/>
      <c r="CH12" s="139"/>
      <c r="CI12" s="140"/>
      <c r="CK12" s="32"/>
      <c r="CL12" s="138"/>
      <c r="CM12" s="139"/>
      <c r="CN12" s="139"/>
      <c r="CO12" s="139"/>
      <c r="CP12" s="139"/>
      <c r="CR12" s="32"/>
      <c r="CS12" s="138"/>
      <c r="CT12" s="139"/>
      <c r="CU12" s="139"/>
      <c r="CV12" s="139"/>
      <c r="CW12" s="140"/>
      <c r="CY12" s="32"/>
      <c r="CZ12" s="138"/>
      <c r="DA12" s="139"/>
      <c r="DB12" s="139"/>
      <c r="DC12" s="139"/>
      <c r="DD12" s="139"/>
      <c r="DF12" s="141"/>
    </row>
    <row r="13" ht="14.25" customHeight="1">
      <c r="A13" s="134" t="s">
        <v>244</v>
      </c>
      <c r="B13" s="3" t="s">
        <v>278</v>
      </c>
      <c r="C13" s="3" t="s">
        <v>280</v>
      </c>
      <c r="D13" s="135" t="s">
        <v>240</v>
      </c>
      <c r="E13" s="8">
        <v>6.0</v>
      </c>
      <c r="F13" s="136" t="s">
        <v>276</v>
      </c>
      <c r="G13" s="137">
        <v>15.8609668</v>
      </c>
      <c r="H13" s="137">
        <v>0.40540302</v>
      </c>
      <c r="I13" s="137">
        <v>8.76973698</v>
      </c>
      <c r="J13" s="120">
        <f t="shared" si="1"/>
        <v>39.12394831</v>
      </c>
      <c r="K13" s="121"/>
      <c r="L13" s="121">
        <v>-0.698</v>
      </c>
      <c r="M13" s="122"/>
      <c r="N13" s="120">
        <v>43.5</v>
      </c>
      <c r="O13" s="120">
        <v>23.20036238095238</v>
      </c>
      <c r="P13" s="123">
        <v>14.918867747114577</v>
      </c>
      <c r="Q13" s="120">
        <v>1.1428571428571428</v>
      </c>
      <c r="R13" s="120">
        <v>0.6430446000000002</v>
      </c>
      <c r="S13" s="120">
        <v>218.1214285714286</v>
      </c>
      <c r="T13" s="124">
        <v>18.2</v>
      </c>
      <c r="U13" s="8">
        <f t="shared" si="2"/>
        <v>11.98469388</v>
      </c>
      <c r="Z13" s="32"/>
      <c r="AA13" s="120"/>
      <c r="AB13" s="120"/>
      <c r="AC13" s="120"/>
      <c r="AD13" s="120"/>
      <c r="AE13" s="124"/>
      <c r="AG13" s="32"/>
      <c r="AH13" s="138"/>
      <c r="AI13" s="139"/>
      <c r="AJ13" s="139"/>
      <c r="AK13" s="139"/>
      <c r="AL13" s="140"/>
      <c r="AN13" s="32"/>
      <c r="AO13" s="138"/>
      <c r="AP13" s="139"/>
      <c r="AQ13" s="139"/>
      <c r="AR13" s="139"/>
      <c r="AS13" s="140"/>
      <c r="AU13" s="32"/>
      <c r="AV13" s="138"/>
      <c r="AW13" s="139"/>
      <c r="AX13" s="139"/>
      <c r="AY13" s="139"/>
      <c r="AZ13" s="140"/>
      <c r="BB13" s="32"/>
      <c r="BC13" s="138"/>
      <c r="BD13" s="139"/>
      <c r="BE13" s="139"/>
      <c r="BF13" s="139"/>
      <c r="BG13" s="140"/>
      <c r="BI13" s="32"/>
      <c r="BJ13" s="138"/>
      <c r="BK13" s="139"/>
      <c r="BL13" s="139"/>
      <c r="BM13" s="139"/>
      <c r="BN13" s="140"/>
      <c r="BP13" s="32"/>
      <c r="BQ13" s="138"/>
      <c r="BR13" s="139"/>
      <c r="BS13" s="139"/>
      <c r="BT13" s="139"/>
      <c r="BU13" s="139"/>
      <c r="BW13" s="32"/>
      <c r="BX13" s="138"/>
      <c r="BY13" s="139"/>
      <c r="BZ13" s="139"/>
      <c r="CA13" s="139"/>
      <c r="CB13" s="140"/>
      <c r="CD13" s="32"/>
      <c r="CE13" s="138"/>
      <c r="CF13" s="139"/>
      <c r="CG13" s="139"/>
      <c r="CH13" s="139"/>
      <c r="CI13" s="140"/>
      <c r="CK13" s="32"/>
      <c r="CL13" s="138"/>
      <c r="CM13" s="139"/>
      <c r="CN13" s="139"/>
      <c r="CO13" s="139"/>
      <c r="CP13" s="139"/>
      <c r="CR13" s="32"/>
      <c r="CS13" s="138"/>
      <c r="CT13" s="139"/>
      <c r="CU13" s="139"/>
      <c r="CV13" s="139"/>
      <c r="CW13" s="140"/>
      <c r="CY13" s="32"/>
      <c r="CZ13" s="138"/>
      <c r="DA13" s="139"/>
      <c r="DB13" s="139"/>
      <c r="DC13" s="139"/>
      <c r="DD13" s="139"/>
      <c r="DF13" s="141"/>
    </row>
    <row r="14" ht="14.25" customHeight="1">
      <c r="A14" s="134" t="s">
        <v>249</v>
      </c>
      <c r="B14" s="3" t="s">
        <v>278</v>
      </c>
      <c r="C14" s="3" t="s">
        <v>281</v>
      </c>
      <c r="D14" s="3" t="s">
        <v>251</v>
      </c>
      <c r="E14" s="8">
        <v>1.0</v>
      </c>
      <c r="F14" s="136" t="s">
        <v>276</v>
      </c>
      <c r="G14" s="137">
        <v>20.1966515</v>
      </c>
      <c r="H14" s="137">
        <v>0.58449653</v>
      </c>
      <c r="I14" s="137">
        <v>5.63718984</v>
      </c>
      <c r="J14" s="120">
        <f t="shared" si="1"/>
        <v>34.55392883</v>
      </c>
      <c r="K14" s="121">
        <v>-0.21</v>
      </c>
      <c r="L14" s="121">
        <v>-0.64</v>
      </c>
      <c r="M14" s="122">
        <v>0.43</v>
      </c>
      <c r="N14" s="120">
        <v>37.6</v>
      </c>
      <c r="O14" s="120">
        <v>13.109743813953486</v>
      </c>
      <c r="P14" s="123">
        <v>6.420743905746917</v>
      </c>
      <c r="Q14" s="120">
        <v>1.2857142857142858</v>
      </c>
      <c r="R14" s="120">
        <v>0.48976883125000015</v>
      </c>
      <c r="S14" s="120">
        <v>198.96969696969697</v>
      </c>
      <c r="T14" s="124">
        <v>37.9</v>
      </c>
      <c r="U14" s="8">
        <f t="shared" si="2"/>
        <v>5.249860078</v>
      </c>
      <c r="Z14" s="32"/>
      <c r="AA14" s="120"/>
      <c r="AB14" s="120"/>
      <c r="AC14" s="120"/>
      <c r="AD14" s="120"/>
      <c r="AE14" s="124"/>
      <c r="AG14" s="32"/>
      <c r="AH14" s="138"/>
      <c r="AI14" s="139"/>
      <c r="AJ14" s="139"/>
      <c r="AK14" s="139"/>
      <c r="AL14" s="140"/>
      <c r="AN14" s="32"/>
      <c r="AO14" s="138"/>
      <c r="AP14" s="139"/>
      <c r="AQ14" s="139"/>
      <c r="AR14" s="139"/>
      <c r="AS14" s="140"/>
      <c r="AU14" s="32"/>
      <c r="AV14" s="138"/>
      <c r="AW14" s="139"/>
      <c r="AX14" s="139"/>
      <c r="AY14" s="139"/>
      <c r="AZ14" s="140"/>
      <c r="BB14" s="32"/>
      <c r="BC14" s="138"/>
      <c r="BD14" s="139"/>
      <c r="BE14" s="139"/>
      <c r="BF14" s="139"/>
      <c r="BG14" s="140"/>
      <c r="BI14" s="32"/>
      <c r="BJ14" s="138"/>
      <c r="BK14" s="139"/>
      <c r="BL14" s="139"/>
      <c r="BM14" s="139"/>
      <c r="BN14" s="140"/>
      <c r="BP14" s="32"/>
      <c r="BQ14" s="138"/>
      <c r="BR14" s="139"/>
      <c r="BS14" s="139"/>
      <c r="BT14" s="139"/>
      <c r="BU14" s="139"/>
      <c r="BW14" s="32"/>
      <c r="BX14" s="138"/>
      <c r="BY14" s="139"/>
      <c r="BZ14" s="139"/>
      <c r="CA14" s="139"/>
      <c r="CB14" s="140"/>
      <c r="CD14" s="32"/>
      <c r="CE14" s="138"/>
      <c r="CF14" s="139"/>
      <c r="CG14" s="139"/>
      <c r="CH14" s="139"/>
      <c r="CI14" s="140"/>
      <c r="CK14" s="32"/>
      <c r="CL14" s="138"/>
      <c r="CM14" s="139"/>
      <c r="CN14" s="139"/>
      <c r="CO14" s="139"/>
      <c r="CP14" s="139"/>
      <c r="CR14" s="32"/>
      <c r="CS14" s="138"/>
      <c r="CT14" s="139"/>
      <c r="CU14" s="139"/>
      <c r="CV14" s="139"/>
      <c r="CW14" s="140"/>
      <c r="CY14" s="32"/>
      <c r="CZ14" s="138"/>
      <c r="DA14" s="139"/>
      <c r="DB14" s="139"/>
      <c r="DC14" s="139"/>
      <c r="DD14" s="139"/>
      <c r="DF14" s="141"/>
    </row>
    <row r="15" ht="14.25" customHeight="1">
      <c r="A15" s="134" t="s">
        <v>249</v>
      </c>
      <c r="B15" s="3" t="s">
        <v>278</v>
      </c>
      <c r="C15" s="3" t="s">
        <v>281</v>
      </c>
      <c r="D15" s="3" t="s">
        <v>251</v>
      </c>
      <c r="E15" s="8">
        <v>2.0</v>
      </c>
      <c r="F15" s="136" t="s">
        <v>276</v>
      </c>
      <c r="G15" s="137">
        <v>14.6826354</v>
      </c>
      <c r="H15" s="137">
        <v>0.3597277</v>
      </c>
      <c r="I15" s="137">
        <v>5.52749232</v>
      </c>
      <c r="J15" s="120">
        <f t="shared" si="1"/>
        <v>40.81597108</v>
      </c>
      <c r="K15" s="121"/>
      <c r="L15" s="121">
        <v>-0.76</v>
      </c>
      <c r="M15" s="122"/>
      <c r="N15" s="120">
        <v>34.9</v>
      </c>
      <c r="O15" s="120">
        <v>9.69735494736842</v>
      </c>
      <c r="P15" s="123">
        <v>4.51778111592128</v>
      </c>
      <c r="Q15" s="120">
        <v>1.4285714285714286</v>
      </c>
      <c r="R15" s="120">
        <v>0.4658776687500001</v>
      </c>
      <c r="S15" s="120">
        <v>109.38571428571429</v>
      </c>
      <c r="T15" s="124">
        <v>24.9</v>
      </c>
      <c r="U15" s="8">
        <f t="shared" si="2"/>
        <v>4.393000574</v>
      </c>
      <c r="Z15" s="32"/>
      <c r="AA15" s="120"/>
      <c r="AB15" s="120"/>
      <c r="AC15" s="120"/>
      <c r="AD15" s="120"/>
      <c r="AE15" s="124"/>
      <c r="AG15" s="32"/>
      <c r="AH15" s="138"/>
      <c r="AI15" s="139"/>
      <c r="AJ15" s="139"/>
      <c r="AK15" s="139"/>
      <c r="AL15" s="140"/>
      <c r="AN15" s="32"/>
      <c r="AO15" s="138"/>
      <c r="AP15" s="139"/>
      <c r="AQ15" s="139"/>
      <c r="AR15" s="139"/>
      <c r="AS15" s="140"/>
      <c r="AU15" s="32"/>
      <c r="AV15" s="138"/>
      <c r="AW15" s="139"/>
      <c r="AX15" s="139"/>
      <c r="AY15" s="139"/>
      <c r="AZ15" s="140"/>
      <c r="BB15" s="32"/>
      <c r="BC15" s="138"/>
      <c r="BD15" s="139"/>
      <c r="BE15" s="139"/>
      <c r="BF15" s="139"/>
      <c r="BG15" s="140"/>
      <c r="BI15" s="32"/>
      <c r="BJ15" s="138"/>
      <c r="BK15" s="139"/>
      <c r="BL15" s="139"/>
      <c r="BM15" s="139"/>
      <c r="BN15" s="140"/>
      <c r="BP15" s="32"/>
      <c r="BQ15" s="138"/>
      <c r="BR15" s="139"/>
      <c r="BS15" s="139"/>
      <c r="BT15" s="139"/>
      <c r="BU15" s="139"/>
      <c r="BW15" s="32"/>
      <c r="BX15" s="138"/>
      <c r="BY15" s="139"/>
      <c r="BZ15" s="139"/>
      <c r="CA15" s="139"/>
      <c r="CB15" s="140"/>
      <c r="CD15" s="32"/>
      <c r="CE15" s="138"/>
      <c r="CF15" s="139"/>
      <c r="CG15" s="139"/>
      <c r="CH15" s="139"/>
      <c r="CI15" s="140"/>
      <c r="CK15" s="32"/>
      <c r="CL15" s="138"/>
      <c r="CM15" s="139"/>
      <c r="CN15" s="139"/>
      <c r="CO15" s="139"/>
      <c r="CP15" s="139"/>
      <c r="CR15" s="32"/>
      <c r="CS15" s="138"/>
      <c r="CT15" s="139"/>
      <c r="CU15" s="139"/>
      <c r="CV15" s="139"/>
      <c r="CW15" s="140"/>
      <c r="CY15" s="32"/>
      <c r="CZ15" s="138"/>
      <c r="DA15" s="139"/>
      <c r="DB15" s="139"/>
      <c r="DC15" s="139"/>
      <c r="DD15" s="139"/>
      <c r="DF15" s="141"/>
    </row>
    <row r="16" ht="14.25" customHeight="1">
      <c r="A16" s="134" t="s">
        <v>249</v>
      </c>
      <c r="B16" s="3" t="s">
        <v>278</v>
      </c>
      <c r="C16" s="3" t="s">
        <v>281</v>
      </c>
      <c r="D16" s="3" t="s">
        <v>251</v>
      </c>
      <c r="E16" s="8">
        <v>3.0</v>
      </c>
      <c r="F16" s="136" t="s">
        <v>276</v>
      </c>
      <c r="G16" s="137">
        <v>18.5404211</v>
      </c>
      <c r="H16" s="137">
        <v>0.39998414</v>
      </c>
      <c r="I16" s="137">
        <v>8.49007544</v>
      </c>
      <c r="J16" s="120">
        <f t="shared" si="1"/>
        <v>46.35289064</v>
      </c>
      <c r="K16" s="121">
        <v>-0.192</v>
      </c>
      <c r="L16" s="121">
        <v>-0.58</v>
      </c>
      <c r="M16" s="122">
        <v>0.388</v>
      </c>
      <c r="N16" s="120">
        <v>33.7</v>
      </c>
      <c r="O16" s="120">
        <v>21.881637731958765</v>
      </c>
      <c r="P16" s="123">
        <v>10.978333019227525</v>
      </c>
      <c r="Q16" s="120">
        <v>1.2857142857142858</v>
      </c>
      <c r="R16" s="120">
        <v>0.5017144125</v>
      </c>
      <c r="S16" s="120">
        <v>187.38392857142856</v>
      </c>
      <c r="T16" s="124">
        <v>23.1</v>
      </c>
      <c r="U16" s="8">
        <f t="shared" si="2"/>
        <v>8.11185838</v>
      </c>
      <c r="Z16" s="32"/>
      <c r="AA16" s="120"/>
      <c r="AB16" s="120"/>
      <c r="AC16" s="120"/>
      <c r="AD16" s="120"/>
      <c r="AE16" s="124"/>
      <c r="AG16" s="32"/>
      <c r="AH16" s="138"/>
      <c r="AI16" s="139"/>
      <c r="AJ16" s="139"/>
      <c r="AK16" s="139"/>
      <c r="AL16" s="140"/>
      <c r="AN16" s="32"/>
      <c r="AO16" s="138"/>
      <c r="AP16" s="139"/>
      <c r="AQ16" s="139"/>
      <c r="AR16" s="139"/>
      <c r="AS16" s="140"/>
      <c r="AU16" s="32"/>
      <c r="AV16" s="138"/>
      <c r="AW16" s="139"/>
      <c r="AX16" s="139"/>
      <c r="AY16" s="139"/>
      <c r="AZ16" s="140"/>
      <c r="BB16" s="32"/>
      <c r="BC16" s="138"/>
      <c r="BD16" s="139"/>
      <c r="BE16" s="139"/>
      <c r="BF16" s="139"/>
      <c r="BG16" s="140"/>
      <c r="BI16" s="32"/>
      <c r="BJ16" s="138"/>
      <c r="BK16" s="139"/>
      <c r="BL16" s="139"/>
      <c r="BM16" s="139"/>
      <c r="BN16" s="140"/>
      <c r="BP16" s="32"/>
      <c r="BQ16" s="138"/>
      <c r="BR16" s="139"/>
      <c r="BS16" s="139"/>
      <c r="BT16" s="139"/>
      <c r="BU16" s="139"/>
      <c r="BW16" s="32"/>
      <c r="BX16" s="138"/>
      <c r="BY16" s="139"/>
      <c r="BZ16" s="139"/>
      <c r="CA16" s="139"/>
      <c r="CB16" s="140"/>
      <c r="CD16" s="32"/>
      <c r="CE16" s="138"/>
      <c r="CF16" s="139"/>
      <c r="CG16" s="139"/>
      <c r="CH16" s="139"/>
      <c r="CI16" s="140"/>
      <c r="CK16" s="32"/>
      <c r="CL16" s="138"/>
      <c r="CM16" s="139"/>
      <c r="CN16" s="139"/>
      <c r="CO16" s="139"/>
      <c r="CP16" s="139"/>
      <c r="CR16" s="32"/>
      <c r="CS16" s="138"/>
      <c r="CT16" s="139"/>
      <c r="CU16" s="139"/>
      <c r="CV16" s="139"/>
      <c r="CW16" s="140"/>
      <c r="CY16" s="32"/>
      <c r="CZ16" s="138"/>
      <c r="DA16" s="139"/>
      <c r="DB16" s="139"/>
      <c r="DC16" s="139"/>
      <c r="DD16" s="139"/>
      <c r="DF16" s="141"/>
    </row>
    <row r="17" ht="14.25" customHeight="1">
      <c r="A17" s="134" t="s">
        <v>249</v>
      </c>
      <c r="B17" s="3" t="s">
        <v>278</v>
      </c>
      <c r="C17" s="3" t="s">
        <v>281</v>
      </c>
      <c r="D17" s="3" t="s">
        <v>251</v>
      </c>
      <c r="E17" s="8">
        <v>4.0</v>
      </c>
      <c r="F17" s="136" t="s">
        <v>276</v>
      </c>
      <c r="G17" s="137">
        <v>14.1710633</v>
      </c>
      <c r="H17" s="137">
        <v>0.39239797</v>
      </c>
      <c r="I17" s="137">
        <v>7.77030961</v>
      </c>
      <c r="J17" s="120">
        <f t="shared" si="1"/>
        <v>36.11400767</v>
      </c>
      <c r="K17" s="121"/>
      <c r="L17" s="121">
        <v>-0.752</v>
      </c>
      <c r="M17" s="122"/>
      <c r="N17" s="120">
        <v>38.0</v>
      </c>
      <c r="O17" s="120">
        <v>13.82617368327402</v>
      </c>
      <c r="P17" s="123">
        <v>6.771628925516627</v>
      </c>
      <c r="Q17" s="120">
        <v>1.0</v>
      </c>
      <c r="R17" s="120">
        <v>0.48976883125000015</v>
      </c>
      <c r="S17" s="120">
        <v>197.31063829787232</v>
      </c>
      <c r="T17" s="124">
        <v>25.3</v>
      </c>
      <c r="U17" s="8">
        <f t="shared" si="2"/>
        <v>7.798839458</v>
      </c>
      <c r="Z17" s="144"/>
      <c r="AA17" s="145"/>
      <c r="AB17" s="145"/>
      <c r="AC17" s="145"/>
      <c r="AD17" s="145"/>
      <c r="AE17" s="146"/>
      <c r="AG17" s="144"/>
      <c r="AH17" s="147"/>
      <c r="AI17" s="148"/>
      <c r="AJ17" s="148"/>
      <c r="AK17" s="148"/>
      <c r="AL17" s="149"/>
      <c r="AN17" s="144"/>
      <c r="AO17" s="147"/>
      <c r="AP17" s="148"/>
      <c r="AQ17" s="148"/>
      <c r="AR17" s="148"/>
      <c r="AS17" s="149"/>
      <c r="AU17" s="144"/>
      <c r="AV17" s="147"/>
      <c r="AW17" s="148"/>
      <c r="AX17" s="148"/>
      <c r="AY17" s="148"/>
      <c r="AZ17" s="149"/>
      <c r="BB17" s="144"/>
      <c r="BC17" s="147"/>
      <c r="BD17" s="148"/>
      <c r="BE17" s="148"/>
      <c r="BF17" s="148"/>
      <c r="BG17" s="149"/>
      <c r="BI17" s="144"/>
      <c r="BJ17" s="147"/>
      <c r="BK17" s="148"/>
      <c r="BL17" s="148"/>
      <c r="BM17" s="148"/>
      <c r="BN17" s="149"/>
      <c r="BP17" s="144"/>
      <c r="BQ17" s="147"/>
      <c r="BR17" s="148"/>
      <c r="BS17" s="148"/>
      <c r="BT17" s="148"/>
      <c r="BU17" s="148"/>
      <c r="BW17" s="144"/>
      <c r="BX17" s="147"/>
      <c r="BY17" s="148"/>
      <c r="BZ17" s="148"/>
      <c r="CA17" s="148"/>
      <c r="CB17" s="149"/>
      <c r="CD17" s="144"/>
      <c r="CE17" s="147"/>
      <c r="CF17" s="148"/>
      <c r="CG17" s="148"/>
      <c r="CH17" s="148"/>
      <c r="CI17" s="149"/>
      <c r="CK17" s="144"/>
      <c r="CL17" s="147"/>
      <c r="CM17" s="148"/>
      <c r="CN17" s="148"/>
      <c r="CO17" s="148"/>
      <c r="CP17" s="148"/>
      <c r="CR17" s="144"/>
      <c r="CS17" s="147"/>
      <c r="CT17" s="148"/>
      <c r="CU17" s="148"/>
      <c r="CV17" s="148"/>
      <c r="CW17" s="149"/>
      <c r="CY17" s="144"/>
      <c r="CZ17" s="147"/>
      <c r="DA17" s="148"/>
      <c r="DB17" s="148"/>
      <c r="DC17" s="148"/>
      <c r="DD17" s="148"/>
      <c r="DF17" s="150"/>
    </row>
    <row r="18" ht="14.25" customHeight="1">
      <c r="A18" s="134" t="s">
        <v>249</v>
      </c>
      <c r="B18" s="3" t="s">
        <v>278</v>
      </c>
      <c r="C18" s="3" t="s">
        <v>281</v>
      </c>
      <c r="D18" s="3" t="s">
        <v>251</v>
      </c>
      <c r="E18" s="8">
        <v>5.0</v>
      </c>
      <c r="F18" s="136" t="s">
        <v>276</v>
      </c>
      <c r="G18" s="137">
        <v>14.9808296</v>
      </c>
      <c r="H18" s="137">
        <v>0.35661942</v>
      </c>
      <c r="I18" s="137">
        <v>6.23483729</v>
      </c>
      <c r="J18" s="120">
        <f t="shared" si="1"/>
        <v>42.00789065</v>
      </c>
      <c r="K18" s="121">
        <v>-0.16</v>
      </c>
      <c r="L18" s="121">
        <v>-0.64</v>
      </c>
      <c r="M18" s="122">
        <v>0.48</v>
      </c>
      <c r="N18" s="120">
        <v>39.4</v>
      </c>
      <c r="O18" s="120">
        <v>12.989244354166667</v>
      </c>
      <c r="P18" s="123">
        <v>7.758203690440086</v>
      </c>
      <c r="Q18" s="120">
        <v>1.2857142857142858</v>
      </c>
      <c r="R18" s="120">
        <v>0.5972790625000002</v>
      </c>
      <c r="S18" s="120">
        <v>209.13777777777779</v>
      </c>
      <c r="T18" s="124">
        <v>42.3</v>
      </c>
      <c r="U18" s="8">
        <f t="shared" si="2"/>
        <v>4.944155503</v>
      </c>
      <c r="AA18" s="15"/>
      <c r="AB18" s="15"/>
      <c r="AC18" s="15"/>
      <c r="AD18" s="15"/>
      <c r="AE18" s="15"/>
    </row>
    <row r="19" ht="14.25" customHeight="1">
      <c r="A19" s="134" t="s">
        <v>249</v>
      </c>
      <c r="B19" s="3" t="s">
        <v>278</v>
      </c>
      <c r="C19" s="3" t="s">
        <v>281</v>
      </c>
      <c r="D19" s="3" t="s">
        <v>251</v>
      </c>
      <c r="E19" s="8">
        <v>6.0</v>
      </c>
      <c r="F19" s="136" t="s">
        <v>276</v>
      </c>
      <c r="G19" s="137">
        <v>15.8745206</v>
      </c>
      <c r="H19" s="137">
        <v>0.49800311</v>
      </c>
      <c r="I19" s="137">
        <v>10.2916835</v>
      </c>
      <c r="J19" s="120">
        <f t="shared" si="1"/>
        <v>31.87634832</v>
      </c>
      <c r="K19" s="121"/>
      <c r="L19" s="121">
        <v>-0.895</v>
      </c>
      <c r="M19" s="122"/>
      <c r="N19" s="120">
        <v>32.1</v>
      </c>
      <c r="O19" s="120">
        <v>14.598132624113473</v>
      </c>
      <c r="P19" s="123">
        <v>8.196009429902293</v>
      </c>
      <c r="Q19" s="120">
        <v>1.1428571428571428</v>
      </c>
      <c r="R19" s="120">
        <v>0.5614423187500002</v>
      </c>
      <c r="S19" s="120">
        <v>180.41052631578947</v>
      </c>
      <c r="T19" s="124">
        <v>42.6</v>
      </c>
      <c r="U19" s="8">
        <f t="shared" si="2"/>
        <v>4.234988881</v>
      </c>
      <c r="AA19" s="15"/>
      <c r="AB19" s="15"/>
      <c r="AC19" s="15"/>
      <c r="AD19" s="15"/>
      <c r="AE19" s="15"/>
      <c r="AO19" s="139"/>
    </row>
    <row r="20" ht="14.25" customHeight="1">
      <c r="A20" s="134" t="s">
        <v>256</v>
      </c>
      <c r="B20" s="3" t="s">
        <v>282</v>
      </c>
      <c r="C20" s="3" t="s">
        <v>283</v>
      </c>
      <c r="D20" s="135" t="s">
        <v>240</v>
      </c>
      <c r="E20" s="8">
        <v>1.0</v>
      </c>
      <c r="F20" s="136" t="s">
        <v>276</v>
      </c>
      <c r="G20" s="137">
        <v>15.7555532</v>
      </c>
      <c r="H20" s="137">
        <v>0.20042633</v>
      </c>
      <c r="I20" s="137">
        <v>3.34321008</v>
      </c>
      <c r="J20" s="120">
        <f t="shared" si="1"/>
        <v>78.61019657</v>
      </c>
      <c r="K20" s="121">
        <v>-0.32</v>
      </c>
      <c r="L20" s="121">
        <v>-0.816</v>
      </c>
      <c r="M20" s="122">
        <v>0.496</v>
      </c>
      <c r="N20" s="120">
        <v>44.7</v>
      </c>
      <c r="O20" s="120">
        <v>6.740342903225807</v>
      </c>
      <c r="P20" s="123">
        <v>4.0553839266061935</v>
      </c>
      <c r="Q20" s="120">
        <v>1.1428571428571428</v>
      </c>
      <c r="R20" s="120">
        <v>0.6016584</v>
      </c>
      <c r="S20" s="120">
        <v>196.4404761904762</v>
      </c>
      <c r="T20" s="124">
        <v>19.3</v>
      </c>
      <c r="U20" s="8">
        <f t="shared" si="2"/>
        <v>10.17826302</v>
      </c>
      <c r="AA20" s="15"/>
      <c r="AB20" s="15"/>
      <c r="AC20" s="15"/>
      <c r="AD20" s="15"/>
      <c r="AE20" s="15"/>
    </row>
    <row r="21" ht="14.25" customHeight="1">
      <c r="A21" s="134" t="s">
        <v>256</v>
      </c>
      <c r="B21" s="3" t="s">
        <v>282</v>
      </c>
      <c r="C21" s="3" t="s">
        <v>283</v>
      </c>
      <c r="D21" s="135" t="s">
        <v>240</v>
      </c>
      <c r="E21" s="8">
        <v>2.0</v>
      </c>
      <c r="F21" s="136" t="s">
        <v>276</v>
      </c>
      <c r="G21" s="137">
        <v>17.275853</v>
      </c>
      <c r="H21" s="137">
        <v>0.34559237</v>
      </c>
      <c r="I21" s="137">
        <v>5.4933009</v>
      </c>
      <c r="J21" s="120">
        <f t="shared" si="1"/>
        <v>49.98910422</v>
      </c>
      <c r="K21" s="121"/>
      <c r="L21" s="121">
        <v>-0.782</v>
      </c>
      <c r="M21" s="122"/>
      <c r="N21" s="120">
        <v>50.7</v>
      </c>
      <c r="O21" s="120">
        <v>12.153320575221239</v>
      </c>
      <c r="P21" s="123">
        <v>6.441653672453895</v>
      </c>
      <c r="Q21" s="120">
        <v>1.0</v>
      </c>
      <c r="R21" s="120">
        <v>0.5300324000000001</v>
      </c>
      <c r="S21" s="120">
        <v>140.91093750000002</v>
      </c>
      <c r="T21" s="124">
        <v>20.6</v>
      </c>
      <c r="U21" s="8">
        <f t="shared" si="2"/>
        <v>6.840336772</v>
      </c>
      <c r="AA21" s="15"/>
      <c r="AB21" s="15"/>
      <c r="AC21" s="15"/>
      <c r="AD21" s="15"/>
      <c r="AE21" s="15"/>
    </row>
    <row r="22" ht="14.25" customHeight="1">
      <c r="A22" s="134" t="s">
        <v>256</v>
      </c>
      <c r="B22" s="3" t="s">
        <v>282</v>
      </c>
      <c r="C22" s="3" t="s">
        <v>283</v>
      </c>
      <c r="D22" s="135" t="s">
        <v>240</v>
      </c>
      <c r="E22" s="8">
        <v>3.0</v>
      </c>
      <c r="F22" s="136" t="s">
        <v>276</v>
      </c>
      <c r="G22" s="137">
        <v>18.309206</v>
      </c>
      <c r="H22" s="137">
        <v>0.28971083</v>
      </c>
      <c r="I22" s="137">
        <v>6.96458498</v>
      </c>
      <c r="J22" s="120">
        <f t="shared" si="1"/>
        <v>63.19821044</v>
      </c>
      <c r="K22" s="121">
        <v>-0.34</v>
      </c>
      <c r="L22" s="121">
        <v>-0.75</v>
      </c>
      <c r="M22" s="122">
        <v>0.41</v>
      </c>
      <c r="N22" s="120">
        <v>50.9</v>
      </c>
      <c r="O22" s="120">
        <v>16.98679263414634</v>
      </c>
      <c r="P22" s="123">
        <v>10.950264082920294</v>
      </c>
      <c r="Q22" s="120">
        <v>1.1428571428571428</v>
      </c>
      <c r="R22" s="120">
        <v>0.644634</v>
      </c>
      <c r="S22" s="120">
        <v>151.02941176470586</v>
      </c>
      <c r="T22" s="124">
        <v>31.6</v>
      </c>
      <c r="U22" s="8">
        <f t="shared" si="2"/>
        <v>4.779411765</v>
      </c>
      <c r="AA22" s="15"/>
      <c r="AB22" s="15"/>
      <c r="AC22" s="15"/>
      <c r="AD22" s="15"/>
      <c r="AE22" s="15"/>
    </row>
    <row r="23" ht="14.25" customHeight="1">
      <c r="A23" s="134" t="s">
        <v>256</v>
      </c>
      <c r="B23" s="3" t="s">
        <v>282</v>
      </c>
      <c r="C23" s="3" t="s">
        <v>283</v>
      </c>
      <c r="D23" s="135" t="s">
        <v>240</v>
      </c>
      <c r="E23" s="8">
        <v>4.0</v>
      </c>
      <c r="F23" s="136" t="s">
        <v>276</v>
      </c>
      <c r="G23" s="137">
        <v>13.5749641</v>
      </c>
      <c r="H23" s="137">
        <v>0.18559198</v>
      </c>
      <c r="I23" s="137">
        <v>4.72114847</v>
      </c>
      <c r="J23" s="120">
        <f t="shared" si="1"/>
        <v>73.14413101</v>
      </c>
      <c r="K23" s="121"/>
      <c r="L23" s="121">
        <v>-0.82</v>
      </c>
      <c r="M23" s="122"/>
      <c r="N23" s="120">
        <v>46.2</v>
      </c>
      <c r="O23" s="120">
        <v>9.634996877551021</v>
      </c>
      <c r="P23" s="123">
        <v>6.487093091703813</v>
      </c>
      <c r="Q23" s="120">
        <v>1.2857142857142858</v>
      </c>
      <c r="R23" s="120">
        <v>0.6732844</v>
      </c>
      <c r="S23" s="120">
        <v>171.89090909090908</v>
      </c>
      <c r="T23" s="124">
        <v>45.5</v>
      </c>
      <c r="U23" s="8">
        <f t="shared" si="2"/>
        <v>3.777822178</v>
      </c>
      <c r="AA23" s="15"/>
      <c r="AB23" s="15"/>
      <c r="AC23" s="15"/>
      <c r="AD23" s="15"/>
      <c r="AE23" s="15"/>
    </row>
    <row r="24" ht="14.25" customHeight="1">
      <c r="A24" s="134" t="s">
        <v>256</v>
      </c>
      <c r="B24" s="3" t="s">
        <v>282</v>
      </c>
      <c r="C24" s="3" t="s">
        <v>283</v>
      </c>
      <c r="D24" s="135" t="s">
        <v>240</v>
      </c>
      <c r="E24" s="8">
        <v>5.0</v>
      </c>
      <c r="F24" s="136" t="s">
        <v>276</v>
      </c>
      <c r="G24" s="137">
        <v>18.1698227</v>
      </c>
      <c r="H24" s="137">
        <v>0.24343114</v>
      </c>
      <c r="I24" s="137">
        <v>4.71383888</v>
      </c>
      <c r="J24" s="120">
        <f t="shared" si="1"/>
        <v>74.64050285</v>
      </c>
      <c r="K24" s="121">
        <v>-0.33</v>
      </c>
      <c r="L24" s="121">
        <v>-0.818</v>
      </c>
      <c r="M24" s="122">
        <v>0.488</v>
      </c>
      <c r="N24" s="120">
        <v>44.7</v>
      </c>
      <c r="O24" s="120">
        <v>9.659505901639346</v>
      </c>
      <c r="P24" s="123">
        <v>6.088471573455214</v>
      </c>
      <c r="Q24" s="120">
        <v>1.2857142857142858</v>
      </c>
      <c r="R24" s="120">
        <v>0.6303088000000001</v>
      </c>
      <c r="S24" s="120">
        <v>166.53913043478263</v>
      </c>
      <c r="T24" s="124">
        <v>29.6</v>
      </c>
      <c r="U24" s="8">
        <f t="shared" si="2"/>
        <v>5.626321974</v>
      </c>
      <c r="AA24" s="15"/>
      <c r="AB24" s="15"/>
      <c r="AC24" s="15"/>
      <c r="AD24" s="15"/>
      <c r="AE24" s="15"/>
    </row>
    <row r="25" ht="14.25" customHeight="1">
      <c r="A25" s="134" t="s">
        <v>256</v>
      </c>
      <c r="B25" s="3" t="s">
        <v>282</v>
      </c>
      <c r="C25" s="3" t="s">
        <v>283</v>
      </c>
      <c r="D25" s="135" t="s">
        <v>240</v>
      </c>
      <c r="E25" s="8">
        <v>6.0</v>
      </c>
      <c r="F25" s="136" t="s">
        <v>276</v>
      </c>
      <c r="G25" s="137">
        <v>10.1582607</v>
      </c>
      <c r="H25" s="137">
        <v>0.22879652</v>
      </c>
      <c r="I25" s="137">
        <v>6.18713639</v>
      </c>
      <c r="J25" s="120">
        <f t="shared" si="1"/>
        <v>44.39866786</v>
      </c>
      <c r="K25" s="121"/>
      <c r="L25" s="121">
        <v>-0.645</v>
      </c>
      <c r="M25" s="122"/>
      <c r="N25" s="120">
        <v>39.8</v>
      </c>
      <c r="O25" s="120">
        <v>19.641702825396827</v>
      </c>
      <c r="P25" s="123">
        <v>13.505823423089982</v>
      </c>
      <c r="Q25" s="120">
        <v>1.1428571428571428</v>
      </c>
      <c r="R25" s="120">
        <v>0.6876096</v>
      </c>
      <c r="S25" s="120">
        <v>133.24615384615385</v>
      </c>
      <c r="T25" s="124">
        <v>21.6</v>
      </c>
      <c r="U25" s="8">
        <f t="shared" si="2"/>
        <v>6.168803419</v>
      </c>
      <c r="AA25" s="15"/>
      <c r="AB25" s="15"/>
      <c r="AC25" s="15"/>
      <c r="AD25" s="15"/>
      <c r="AE25" s="15"/>
    </row>
    <row r="26" ht="14.25" customHeight="1">
      <c r="A26" s="134" t="s">
        <v>249</v>
      </c>
      <c r="B26" s="3" t="s">
        <v>282</v>
      </c>
      <c r="C26" s="3" t="s">
        <v>284</v>
      </c>
      <c r="D26" s="3" t="s">
        <v>251</v>
      </c>
      <c r="E26" s="8">
        <v>1.0</v>
      </c>
      <c r="F26" s="136" t="s">
        <v>276</v>
      </c>
      <c r="G26" s="137">
        <v>18.7447471</v>
      </c>
      <c r="H26" s="137">
        <v>0.48509236</v>
      </c>
      <c r="I26" s="137">
        <v>5.70615139</v>
      </c>
      <c r="J26" s="120">
        <f t="shared" si="1"/>
        <v>38.64160446</v>
      </c>
      <c r="K26" s="121">
        <v>-0.227</v>
      </c>
      <c r="L26" s="121">
        <v>-0.769</v>
      </c>
      <c r="M26" s="122">
        <v>0.542</v>
      </c>
      <c r="N26" s="120">
        <v>33.4</v>
      </c>
      <c r="O26" s="120">
        <v>10.52795459409594</v>
      </c>
      <c r="P26" s="123">
        <v>5.408407147737992</v>
      </c>
      <c r="Q26" s="120">
        <v>1.1428571428571428</v>
      </c>
      <c r="R26" s="120">
        <v>0.5137186999999999</v>
      </c>
      <c r="S26" s="120">
        <v>173.45362318840577</v>
      </c>
      <c r="T26" s="124">
        <v>49.6</v>
      </c>
      <c r="U26" s="8">
        <f t="shared" si="2"/>
        <v>3.497048855</v>
      </c>
      <c r="AA26" s="15"/>
      <c r="AB26" s="15"/>
      <c r="AC26" s="15"/>
      <c r="AD26" s="15"/>
      <c r="AE26" s="15"/>
    </row>
    <row r="27" ht="14.25" customHeight="1">
      <c r="A27" s="134" t="s">
        <v>249</v>
      </c>
      <c r="B27" s="3" t="s">
        <v>282</v>
      </c>
      <c r="C27" s="3" t="s">
        <v>284</v>
      </c>
      <c r="D27" s="3" t="s">
        <v>251</v>
      </c>
      <c r="E27" s="8">
        <v>2.0</v>
      </c>
      <c r="F27" s="136" t="s">
        <v>276</v>
      </c>
      <c r="G27" s="137">
        <v>16.9528005</v>
      </c>
      <c r="H27" s="137">
        <v>0.49701899</v>
      </c>
      <c r="I27" s="137">
        <v>7.04817187</v>
      </c>
      <c r="J27" s="120">
        <f t="shared" si="1"/>
        <v>34.1089593</v>
      </c>
      <c r="K27" s="121"/>
      <c r="L27" s="121">
        <v>-0.815</v>
      </c>
      <c r="M27" s="122"/>
      <c r="N27" s="120">
        <v>38.9</v>
      </c>
      <c r="O27" s="120">
        <v>12.257690208695653</v>
      </c>
      <c r="P27" s="123">
        <v>5.581435965489557</v>
      </c>
      <c r="Q27" s="120">
        <v>1.2857142857142858</v>
      </c>
      <c r="R27" s="120">
        <v>0.45534157499999994</v>
      </c>
      <c r="S27" s="120">
        <v>135.07977528089887</v>
      </c>
      <c r="T27" s="124">
        <v>29.9</v>
      </c>
      <c r="U27" s="8">
        <f t="shared" si="2"/>
        <v>4.517718237</v>
      </c>
      <c r="AA27" s="15"/>
      <c r="AB27" s="15"/>
      <c r="AC27" s="15"/>
      <c r="AD27" s="15"/>
      <c r="AE27" s="15"/>
    </row>
    <row r="28" ht="14.25" customHeight="1">
      <c r="A28" s="134" t="s">
        <v>249</v>
      </c>
      <c r="B28" s="3" t="s">
        <v>282</v>
      </c>
      <c r="C28" s="3" t="s">
        <v>284</v>
      </c>
      <c r="D28" s="3" t="s">
        <v>251</v>
      </c>
      <c r="E28" s="8">
        <v>3.0</v>
      </c>
      <c r="F28" s="136" t="s">
        <v>276</v>
      </c>
      <c r="G28" s="137">
        <v>13.9388879</v>
      </c>
      <c r="H28" s="137">
        <v>0.26579555</v>
      </c>
      <c r="I28" s="137">
        <v>6.57176224</v>
      </c>
      <c r="J28" s="120">
        <f t="shared" si="1"/>
        <v>52.44214171</v>
      </c>
      <c r="K28" s="121">
        <v>-0.18</v>
      </c>
      <c r="L28" s="121">
        <v>-0.69</v>
      </c>
      <c r="M28" s="122">
        <v>0.51</v>
      </c>
      <c r="N28" s="120">
        <v>44.7</v>
      </c>
      <c r="O28" s="120">
        <v>12.885808313725489</v>
      </c>
      <c r="P28" s="123">
        <v>7.823259003626478</v>
      </c>
      <c r="Q28" s="120">
        <v>1.2857142857142858</v>
      </c>
      <c r="R28" s="120">
        <v>0.6071221</v>
      </c>
      <c r="S28" s="120">
        <v>223.5956989247312</v>
      </c>
      <c r="T28" s="124">
        <v>51.4</v>
      </c>
      <c r="U28" s="8">
        <f t="shared" si="2"/>
        <v>4.350110874</v>
      </c>
      <c r="AA28" s="15"/>
      <c r="AB28" s="15"/>
      <c r="AC28" s="15"/>
      <c r="AD28" s="15"/>
      <c r="AE28" s="15"/>
    </row>
    <row r="29" ht="14.25" customHeight="1">
      <c r="A29" s="134" t="s">
        <v>249</v>
      </c>
      <c r="B29" s="3" t="s">
        <v>282</v>
      </c>
      <c r="C29" s="3" t="s">
        <v>284</v>
      </c>
      <c r="D29" s="3" t="s">
        <v>251</v>
      </c>
      <c r="E29" s="8">
        <v>4.0</v>
      </c>
      <c r="F29" s="136" t="s">
        <v>276</v>
      </c>
      <c r="G29" s="137">
        <v>20.0759707</v>
      </c>
      <c r="H29" s="137">
        <v>0.4241963</v>
      </c>
      <c r="I29" s="137">
        <v>8.30329038</v>
      </c>
      <c r="J29" s="120">
        <f t="shared" si="1"/>
        <v>47.3270764</v>
      </c>
      <c r="K29" s="121"/>
      <c r="L29" s="121">
        <v>-0.651</v>
      </c>
      <c r="M29" s="122"/>
      <c r="N29" s="120">
        <v>39.6</v>
      </c>
      <c r="O29" s="120">
        <v>20.202652992700727</v>
      </c>
      <c r="P29" s="123">
        <v>10.61435519177863</v>
      </c>
      <c r="Q29" s="120">
        <v>1.0</v>
      </c>
      <c r="R29" s="120">
        <v>0.5253941249999999</v>
      </c>
      <c r="S29" s="120">
        <v>218.925</v>
      </c>
      <c r="T29" s="124">
        <v>30.9</v>
      </c>
      <c r="U29" s="8">
        <f t="shared" si="2"/>
        <v>7.084951456</v>
      </c>
      <c r="AA29" s="15"/>
      <c r="AB29" s="15"/>
      <c r="AC29" s="15"/>
      <c r="AD29" s="15"/>
      <c r="AE29" s="15"/>
    </row>
    <row r="30" ht="14.25" customHeight="1">
      <c r="A30" s="134" t="s">
        <v>249</v>
      </c>
      <c r="B30" s="3" t="s">
        <v>282</v>
      </c>
      <c r="C30" s="3" t="s">
        <v>284</v>
      </c>
      <c r="D30" s="3" t="s">
        <v>251</v>
      </c>
      <c r="E30" s="8">
        <v>5.0</v>
      </c>
      <c r="F30" s="136" t="s">
        <v>276</v>
      </c>
      <c r="G30" s="137">
        <v>17.3261376</v>
      </c>
      <c r="H30" s="137">
        <v>0.22457158</v>
      </c>
      <c r="I30" s="137">
        <v>4.35641608</v>
      </c>
      <c r="J30" s="120">
        <f t="shared" si="1"/>
        <v>77.15196019</v>
      </c>
      <c r="K30" s="121">
        <v>-0.309</v>
      </c>
      <c r="L30" s="121">
        <v>-0.85</v>
      </c>
      <c r="M30" s="122">
        <v>0.541</v>
      </c>
      <c r="N30" s="120">
        <v>41.8</v>
      </c>
      <c r="O30" s="120">
        <v>8.052525101663587</v>
      </c>
      <c r="P30" s="123">
        <v>4.5127993384843474</v>
      </c>
      <c r="Q30" s="120">
        <v>1.0</v>
      </c>
      <c r="R30" s="120">
        <v>0.5604203999999999</v>
      </c>
      <c r="S30" s="120">
        <v>157.40307692307692</v>
      </c>
      <c r="T30" s="124">
        <v>8.9</v>
      </c>
      <c r="U30" s="8">
        <f t="shared" si="2"/>
        <v>17.68573898</v>
      </c>
      <c r="AA30" s="15"/>
      <c r="AB30" s="15"/>
      <c r="AC30" s="15"/>
      <c r="AD30" s="15"/>
      <c r="AE30" s="15"/>
    </row>
    <row r="31" ht="14.25" customHeight="1">
      <c r="A31" s="134" t="s">
        <v>249</v>
      </c>
      <c r="B31" s="3" t="s">
        <v>282</v>
      </c>
      <c r="C31" s="3" t="s">
        <v>284</v>
      </c>
      <c r="D31" s="3" t="s">
        <v>251</v>
      </c>
      <c r="E31" s="8">
        <v>6.0</v>
      </c>
      <c r="F31" s="136" t="s">
        <v>276</v>
      </c>
      <c r="G31" s="137">
        <v>12.5825878</v>
      </c>
      <c r="H31" s="137">
        <v>0.5139801</v>
      </c>
      <c r="I31" s="137">
        <v>10.0061563</v>
      </c>
      <c r="J31" s="120">
        <f t="shared" si="1"/>
        <v>24.48069059</v>
      </c>
      <c r="K31" s="121"/>
      <c r="L31" s="121">
        <v>-0.833</v>
      </c>
      <c r="M31" s="122"/>
      <c r="N31" s="120">
        <v>38.8</v>
      </c>
      <c r="O31" s="120">
        <v>16.87378802698145</v>
      </c>
      <c r="P31" s="123">
        <v>9.062397742446315</v>
      </c>
      <c r="Q31" s="120">
        <v>1.1428571428571428</v>
      </c>
      <c r="R31" s="120">
        <v>0.5370695499999999</v>
      </c>
      <c r="S31" s="120">
        <v>187.20000000000002</v>
      </c>
      <c r="T31" s="124">
        <v>40.1</v>
      </c>
      <c r="U31" s="8">
        <f t="shared" si="2"/>
        <v>4.668329177</v>
      </c>
      <c r="AA31" s="15"/>
      <c r="AB31" s="15"/>
      <c r="AC31" s="15"/>
      <c r="AD31" s="15"/>
      <c r="AE31" s="15"/>
    </row>
    <row r="32" ht="14.25" customHeight="1">
      <c r="A32" s="134" t="s">
        <v>256</v>
      </c>
      <c r="B32" s="3" t="s">
        <v>278</v>
      </c>
      <c r="C32" s="3" t="s">
        <v>285</v>
      </c>
      <c r="D32" s="135" t="s">
        <v>240</v>
      </c>
      <c r="E32" s="8">
        <v>1.0</v>
      </c>
      <c r="F32" s="136" t="s">
        <v>276</v>
      </c>
      <c r="G32" s="137">
        <v>14.5305797</v>
      </c>
      <c r="H32" s="137">
        <v>0.22325678</v>
      </c>
      <c r="I32" s="137">
        <v>3.82578847</v>
      </c>
      <c r="J32" s="120">
        <f t="shared" si="1"/>
        <v>65.08460661</v>
      </c>
      <c r="K32" s="121">
        <v>-0.223</v>
      </c>
      <c r="L32" s="121">
        <v>-0.596</v>
      </c>
      <c r="M32" s="122">
        <v>0.373</v>
      </c>
      <c r="N32" s="120">
        <v>45.5</v>
      </c>
      <c r="O32" s="120">
        <v>10.256805549597855</v>
      </c>
      <c r="P32" s="123">
        <v>6.595583421918935</v>
      </c>
      <c r="Q32" s="120">
        <v>1.1428571428571428</v>
      </c>
      <c r="R32" s="120">
        <v>0.6430446000000002</v>
      </c>
      <c r="S32" s="120">
        <v>116.13333333333334</v>
      </c>
      <c r="T32" s="124">
        <v>9.9</v>
      </c>
      <c r="U32" s="8">
        <f t="shared" si="2"/>
        <v>11.73063973</v>
      </c>
      <c r="AA32" s="15"/>
      <c r="AB32" s="15"/>
      <c r="AC32" s="15"/>
      <c r="AD32" s="15"/>
      <c r="AE32" s="15"/>
    </row>
    <row r="33" ht="14.25" customHeight="1">
      <c r="A33" s="134" t="s">
        <v>256</v>
      </c>
      <c r="B33" s="3" t="s">
        <v>278</v>
      </c>
      <c r="C33" s="3" t="s">
        <v>285</v>
      </c>
      <c r="D33" s="135" t="s">
        <v>240</v>
      </c>
      <c r="E33" s="8">
        <v>2.0</v>
      </c>
      <c r="F33" s="136" t="s">
        <v>276</v>
      </c>
      <c r="G33" s="137">
        <v>14.6792687</v>
      </c>
      <c r="H33" s="137">
        <v>0.28213447</v>
      </c>
      <c r="I33" s="137">
        <v>5.04642954</v>
      </c>
      <c r="J33" s="120">
        <f t="shared" si="1"/>
        <v>52.02933445</v>
      </c>
      <c r="K33" s="121"/>
      <c r="L33" s="121">
        <v>-0.683</v>
      </c>
      <c r="M33" s="122"/>
      <c r="N33" s="120">
        <v>45.4</v>
      </c>
      <c r="O33" s="120">
        <v>11.65457168591224</v>
      </c>
      <c r="P33" s="123">
        <v>7.835064360117797</v>
      </c>
      <c r="Q33" s="120">
        <v>1.0</v>
      </c>
      <c r="R33" s="120">
        <v>0.6722739000000001</v>
      </c>
      <c r="S33" s="120">
        <v>154.77878787878788</v>
      </c>
      <c r="T33" s="124">
        <v>13.7</v>
      </c>
      <c r="U33" s="8">
        <f t="shared" si="2"/>
        <v>11.29772174</v>
      </c>
      <c r="AA33" s="15"/>
      <c r="AB33" s="15"/>
      <c r="AC33" s="15"/>
      <c r="AD33" s="15"/>
      <c r="AE33" s="15"/>
    </row>
    <row r="34" ht="14.25" customHeight="1">
      <c r="A34" s="134" t="s">
        <v>256</v>
      </c>
      <c r="B34" s="3" t="s">
        <v>278</v>
      </c>
      <c r="C34" s="3" t="s">
        <v>285</v>
      </c>
      <c r="D34" s="135" t="s">
        <v>240</v>
      </c>
      <c r="E34" s="8">
        <v>3.0</v>
      </c>
      <c r="F34" s="136" t="s">
        <v>276</v>
      </c>
      <c r="G34" s="137">
        <v>17.5696213</v>
      </c>
      <c r="H34" s="137">
        <v>0.23243984</v>
      </c>
      <c r="I34" s="137">
        <v>5.61121204</v>
      </c>
      <c r="J34" s="120">
        <f t="shared" si="1"/>
        <v>75.58782221</v>
      </c>
      <c r="K34" s="121">
        <v>-0.237</v>
      </c>
      <c r="L34" s="121">
        <v>-0.58</v>
      </c>
      <c r="M34" s="122">
        <v>0.343</v>
      </c>
      <c r="N34" s="120">
        <v>41.3</v>
      </c>
      <c r="O34" s="120">
        <v>16.359218775510204</v>
      </c>
      <c r="P34" s="123">
        <v>9.80245452377792</v>
      </c>
      <c r="Q34" s="120">
        <v>1.1428571428571428</v>
      </c>
      <c r="R34" s="120">
        <v>0.5992006500000001</v>
      </c>
      <c r="S34" s="120">
        <v>162.24590163934428</v>
      </c>
      <c r="T34" s="124">
        <v>28.2</v>
      </c>
      <c r="U34" s="8">
        <f t="shared" si="2"/>
        <v>5.753400767</v>
      </c>
      <c r="AA34" s="15"/>
      <c r="AB34" s="15"/>
      <c r="AC34" s="15"/>
      <c r="AD34" s="15"/>
      <c r="AE34" s="15"/>
    </row>
    <row r="35" ht="14.25" customHeight="1">
      <c r="A35" s="134" t="s">
        <v>256</v>
      </c>
      <c r="B35" s="3" t="s">
        <v>278</v>
      </c>
      <c r="C35" s="3" t="s">
        <v>285</v>
      </c>
      <c r="D35" s="135" t="s">
        <v>240</v>
      </c>
      <c r="E35" s="8">
        <v>4.0</v>
      </c>
      <c r="F35" s="136" t="s">
        <v>276</v>
      </c>
      <c r="G35" s="137">
        <v>13.4209625</v>
      </c>
      <c r="H35" s="137">
        <v>0.23167707</v>
      </c>
      <c r="I35" s="137">
        <v>6.08291624</v>
      </c>
      <c r="J35" s="120">
        <f t="shared" si="1"/>
        <v>57.92961082</v>
      </c>
      <c r="K35" s="121"/>
      <c r="L35" s="121">
        <v>-0.88</v>
      </c>
      <c r="M35" s="122"/>
      <c r="N35" s="120">
        <v>46.7</v>
      </c>
      <c r="O35" s="120">
        <v>9.655422603174603</v>
      </c>
      <c r="P35" s="123">
        <v>5.926646121794401</v>
      </c>
      <c r="Q35" s="120">
        <v>0.8571428571428571</v>
      </c>
      <c r="R35" s="120">
        <v>0.6138153000000001</v>
      </c>
      <c r="S35" s="120">
        <v>220.7327868852459</v>
      </c>
      <c r="T35" s="124">
        <v>16.9</v>
      </c>
      <c r="U35" s="8">
        <f t="shared" si="2"/>
        <v>13.06111165</v>
      </c>
      <c r="AA35" s="15"/>
      <c r="AB35" s="15"/>
      <c r="AC35" s="15"/>
      <c r="AD35" s="15"/>
      <c r="AE35" s="15"/>
    </row>
    <row r="36" ht="14.25" customHeight="1">
      <c r="A36" s="134" t="s">
        <v>256</v>
      </c>
      <c r="B36" s="3" t="s">
        <v>278</v>
      </c>
      <c r="C36" s="3" t="s">
        <v>285</v>
      </c>
      <c r="D36" s="135" t="s">
        <v>240</v>
      </c>
      <c r="E36" s="8">
        <v>5.0</v>
      </c>
      <c r="F36" s="136" t="s">
        <v>276</v>
      </c>
      <c r="G36" s="137">
        <v>15.5154325</v>
      </c>
      <c r="H36" s="137">
        <v>0.28226754</v>
      </c>
      <c r="I36" s="137">
        <v>5.0501249</v>
      </c>
      <c r="J36" s="120">
        <f t="shared" si="1"/>
        <v>54.9671156</v>
      </c>
      <c r="K36" s="121">
        <v>-0.285</v>
      </c>
      <c r="L36" s="121">
        <v>-0.801</v>
      </c>
      <c r="M36" s="122">
        <v>0.516</v>
      </c>
      <c r="N36" s="120">
        <v>42.4</v>
      </c>
      <c r="O36" s="120">
        <v>9.787063759689923</v>
      </c>
      <c r="P36" s="123">
        <v>6.436553011899856</v>
      </c>
      <c r="Q36" s="120">
        <v>0.5714285714285714</v>
      </c>
      <c r="R36" s="120">
        <v>0.6576592500000001</v>
      </c>
      <c r="S36" s="120">
        <v>159.1862068965517</v>
      </c>
      <c r="T36" s="124">
        <v>8.1</v>
      </c>
      <c r="U36" s="8">
        <f t="shared" si="2"/>
        <v>19.65261814</v>
      </c>
      <c r="AA36" s="15"/>
      <c r="AB36" s="15"/>
      <c r="AC36" s="15"/>
      <c r="AD36" s="15"/>
      <c r="AE36" s="15"/>
    </row>
    <row r="37" ht="14.25" customHeight="1">
      <c r="A37" s="134" t="s">
        <v>256</v>
      </c>
      <c r="B37" s="3" t="s">
        <v>278</v>
      </c>
      <c r="C37" s="3" t="s">
        <v>285</v>
      </c>
      <c r="D37" s="135" t="s">
        <v>240</v>
      </c>
      <c r="E37" s="8">
        <v>6.0</v>
      </c>
      <c r="F37" s="136" t="s">
        <v>276</v>
      </c>
      <c r="G37" s="137">
        <v>10.0488647</v>
      </c>
      <c r="H37" s="137">
        <v>0.16564571</v>
      </c>
      <c r="I37" s="137">
        <v>4.98791527</v>
      </c>
      <c r="J37" s="120">
        <f t="shared" si="1"/>
        <v>60.66480502</v>
      </c>
      <c r="K37" s="121"/>
      <c r="L37" s="121">
        <v>-0.678</v>
      </c>
      <c r="M37" s="122"/>
      <c r="N37" s="120">
        <v>48.5</v>
      </c>
      <c r="O37" s="120">
        <v>11.654007640186915</v>
      </c>
      <c r="P37" s="123">
        <v>8.686281380691545</v>
      </c>
      <c r="Q37" s="120">
        <v>1.2857142857142858</v>
      </c>
      <c r="R37" s="120">
        <v>0.7453471500000002</v>
      </c>
      <c r="S37" s="120">
        <v>154.88666666666666</v>
      </c>
      <c r="T37" s="124">
        <v>17.1</v>
      </c>
      <c r="U37" s="8">
        <f t="shared" si="2"/>
        <v>9.057699805</v>
      </c>
      <c r="AA37" s="15"/>
      <c r="AB37" s="15"/>
      <c r="AC37" s="15"/>
      <c r="AD37" s="15"/>
      <c r="AE37" s="15"/>
    </row>
    <row r="38" ht="14.25" customHeight="1">
      <c r="A38" s="134" t="s">
        <v>244</v>
      </c>
      <c r="B38" s="3" t="s">
        <v>282</v>
      </c>
      <c r="C38" s="3" t="s">
        <v>286</v>
      </c>
      <c r="D38" s="3" t="s">
        <v>251</v>
      </c>
      <c r="E38" s="8">
        <v>1.0</v>
      </c>
      <c r="F38" s="136" t="s">
        <v>276</v>
      </c>
      <c r="G38" s="137">
        <v>17.6000684</v>
      </c>
      <c r="H38" s="137">
        <v>0.33718944</v>
      </c>
      <c r="I38" s="137">
        <v>7.71678038</v>
      </c>
      <c r="J38" s="120">
        <f t="shared" si="1"/>
        <v>52.19638076</v>
      </c>
      <c r="K38" s="121">
        <v>-0.187</v>
      </c>
      <c r="L38" s="121">
        <v>-0.62</v>
      </c>
      <c r="M38" s="122">
        <v>0.433</v>
      </c>
      <c r="N38" s="120">
        <v>32.9</v>
      </c>
      <c r="O38" s="120">
        <v>17.821663695150118</v>
      </c>
      <c r="P38" s="123">
        <v>10.195699394549454</v>
      </c>
      <c r="Q38" s="120">
        <v>1.2857142857142858</v>
      </c>
      <c r="R38" s="120">
        <v>0.572095825</v>
      </c>
      <c r="S38" s="120">
        <v>148.22736842105263</v>
      </c>
      <c r="T38" s="124">
        <v>11.7</v>
      </c>
      <c r="U38" s="8">
        <f t="shared" si="2"/>
        <v>12.66900585</v>
      </c>
      <c r="AA38" s="15"/>
      <c r="AB38" s="15"/>
      <c r="AC38" s="15"/>
      <c r="AD38" s="15"/>
      <c r="AE38" s="15"/>
    </row>
    <row r="39" ht="14.25" customHeight="1">
      <c r="A39" s="134" t="s">
        <v>244</v>
      </c>
      <c r="B39" s="3" t="s">
        <v>282</v>
      </c>
      <c r="C39" s="3" t="s">
        <v>286</v>
      </c>
      <c r="D39" s="3" t="s">
        <v>251</v>
      </c>
      <c r="E39" s="8">
        <v>2.0</v>
      </c>
      <c r="F39" s="136" t="s">
        <v>276</v>
      </c>
      <c r="G39" s="137">
        <v>17.8536395</v>
      </c>
      <c r="H39" s="137">
        <v>0.39192177</v>
      </c>
      <c r="I39" s="137">
        <v>6.26048473</v>
      </c>
      <c r="J39" s="120">
        <f t="shared" si="1"/>
        <v>45.55408979</v>
      </c>
      <c r="K39" s="121"/>
      <c r="L39" s="121">
        <v>-0.75</v>
      </c>
      <c r="M39" s="122"/>
      <c r="N39" s="120">
        <v>41.6</v>
      </c>
      <c r="O39" s="120">
        <v>12.27546025490196</v>
      </c>
      <c r="P39" s="123">
        <v>5.302884975223781</v>
      </c>
      <c r="Q39" s="120">
        <v>0.8571428571428571</v>
      </c>
      <c r="R39" s="120">
        <v>0.4319907249999999</v>
      </c>
      <c r="S39" s="120">
        <v>175.93333333333337</v>
      </c>
      <c r="T39" s="124">
        <v>19.6</v>
      </c>
      <c r="U39" s="8">
        <f t="shared" si="2"/>
        <v>8.976190476</v>
      </c>
      <c r="AA39" s="15"/>
      <c r="AB39" s="15"/>
      <c r="AC39" s="15"/>
      <c r="AD39" s="15"/>
      <c r="AE39" s="15"/>
    </row>
    <row r="40" ht="14.25" customHeight="1">
      <c r="A40" s="134" t="s">
        <v>244</v>
      </c>
      <c r="B40" s="3" t="s">
        <v>282</v>
      </c>
      <c r="C40" s="3" t="s">
        <v>286</v>
      </c>
      <c r="D40" s="3" t="s">
        <v>251</v>
      </c>
      <c r="E40" s="8">
        <v>3.0</v>
      </c>
      <c r="F40" s="136" t="s">
        <v>276</v>
      </c>
      <c r="G40" s="137">
        <v>12.9116742</v>
      </c>
      <c r="H40" s="137">
        <v>0.33059404</v>
      </c>
      <c r="I40" s="137">
        <v>7.18677662</v>
      </c>
      <c r="J40" s="120">
        <f t="shared" si="1"/>
        <v>39.05597996</v>
      </c>
      <c r="K40" s="121">
        <v>-0.23</v>
      </c>
      <c r="L40" s="121">
        <v>-0.618</v>
      </c>
      <c r="M40" s="122">
        <v>0.388</v>
      </c>
      <c r="N40" s="120">
        <v>40.6</v>
      </c>
      <c r="O40" s="120">
        <v>18.522620154639174</v>
      </c>
      <c r="P40" s="123">
        <v>11.02923258336788</v>
      </c>
      <c r="Q40" s="120">
        <v>1.2857142857142858</v>
      </c>
      <c r="R40" s="120">
        <v>0.5954466749999999</v>
      </c>
      <c r="S40" s="120">
        <v>184.240625</v>
      </c>
      <c r="T40" s="124">
        <v>21.7</v>
      </c>
      <c r="U40" s="8">
        <f t="shared" si="2"/>
        <v>8.490351382</v>
      </c>
      <c r="AA40" s="15"/>
      <c r="AB40" s="15"/>
      <c r="AC40" s="15"/>
      <c r="AD40" s="15"/>
      <c r="AE40" s="15"/>
    </row>
    <row r="41" ht="14.25" customHeight="1">
      <c r="A41" s="134" t="s">
        <v>244</v>
      </c>
      <c r="B41" s="3" t="s">
        <v>282</v>
      </c>
      <c r="C41" s="3" t="s">
        <v>286</v>
      </c>
      <c r="D41" s="3" t="s">
        <v>251</v>
      </c>
      <c r="E41" s="8">
        <v>4.0</v>
      </c>
      <c r="F41" s="136" t="s">
        <v>276</v>
      </c>
      <c r="G41" s="137">
        <v>16.5406602</v>
      </c>
      <c r="H41" s="137">
        <v>0.41857814</v>
      </c>
      <c r="I41" s="137">
        <v>8.70184757</v>
      </c>
      <c r="J41" s="120">
        <f t="shared" si="1"/>
        <v>39.51630202</v>
      </c>
      <c r="K41" s="121"/>
      <c r="L41" s="121">
        <v>-0.68</v>
      </c>
      <c r="M41" s="122"/>
      <c r="N41" s="120">
        <v>38.6</v>
      </c>
      <c r="O41" s="120">
        <v>19.776926295454544</v>
      </c>
      <c r="P41" s="123">
        <v>10.621584905882935</v>
      </c>
      <c r="Q41" s="120">
        <v>1.2857142857142858</v>
      </c>
      <c r="R41" s="120">
        <v>0.5370695499999999</v>
      </c>
      <c r="S41" s="120">
        <v>193.60652173913041</v>
      </c>
      <c r="T41" s="124">
        <v>14.2</v>
      </c>
      <c r="U41" s="8">
        <f t="shared" si="2"/>
        <v>13.63426209</v>
      </c>
      <c r="AA41" s="15"/>
      <c r="AB41" s="15"/>
      <c r="AC41" s="15"/>
      <c r="AD41" s="15"/>
      <c r="AE41" s="15"/>
    </row>
    <row r="42" ht="14.25" customHeight="1">
      <c r="A42" s="134" t="s">
        <v>244</v>
      </c>
      <c r="B42" s="3" t="s">
        <v>282</v>
      </c>
      <c r="C42" s="3" t="s">
        <v>286</v>
      </c>
      <c r="D42" s="3" t="s">
        <v>251</v>
      </c>
      <c r="E42" s="8">
        <v>5.0</v>
      </c>
      <c r="F42" s="136" t="s">
        <v>276</v>
      </c>
      <c r="G42" s="137">
        <v>15.5249442</v>
      </c>
      <c r="H42" s="137">
        <v>0.33528179</v>
      </c>
      <c r="I42" s="137">
        <v>5.56475361</v>
      </c>
      <c r="J42" s="120">
        <f t="shared" si="1"/>
        <v>46.30416761</v>
      </c>
      <c r="K42" s="121">
        <v>-0.301</v>
      </c>
      <c r="L42" s="121">
        <v>-0.68</v>
      </c>
      <c r="M42" s="122">
        <v>0.379</v>
      </c>
      <c r="N42" s="120">
        <v>38.7</v>
      </c>
      <c r="O42" s="120">
        <v>14.682727203166225</v>
      </c>
      <c r="P42" s="123">
        <v>6.342801969472999</v>
      </c>
      <c r="Q42" s="120">
        <v>1.2857142857142858</v>
      </c>
      <c r="R42" s="120">
        <v>0.4319907249999999</v>
      </c>
      <c r="S42" s="120">
        <v>214.1642105263158</v>
      </c>
      <c r="T42" s="124">
        <v>19.2</v>
      </c>
      <c r="U42" s="8">
        <f t="shared" si="2"/>
        <v>11.15438596</v>
      </c>
      <c r="AA42" s="15"/>
      <c r="AB42" s="15"/>
      <c r="AC42" s="15"/>
      <c r="AD42" s="15"/>
      <c r="AE42" s="15"/>
    </row>
    <row r="43" ht="14.25" customHeight="1">
      <c r="A43" s="134" t="s">
        <v>244</v>
      </c>
      <c r="B43" s="3" t="s">
        <v>282</v>
      </c>
      <c r="C43" s="3" t="s">
        <v>286</v>
      </c>
      <c r="D43" s="3" t="s">
        <v>251</v>
      </c>
      <c r="E43" s="8">
        <v>6.0</v>
      </c>
      <c r="F43" s="136" t="s">
        <v>276</v>
      </c>
      <c r="G43" s="137">
        <v>14.1835959</v>
      </c>
      <c r="H43" s="137">
        <v>0.37527728</v>
      </c>
      <c r="I43" s="137">
        <v>8.66433942</v>
      </c>
      <c r="J43" s="120">
        <f t="shared" si="1"/>
        <v>37.79497629</v>
      </c>
      <c r="K43" s="121"/>
      <c r="L43" s="121">
        <v>-0.82</v>
      </c>
      <c r="M43" s="122"/>
      <c r="N43" s="120">
        <v>24.6</v>
      </c>
      <c r="O43" s="120">
        <v>14.93851624137931</v>
      </c>
      <c r="P43" s="123">
        <v>7.674195143450264</v>
      </c>
      <c r="Q43" s="120">
        <v>1.2857142857142858</v>
      </c>
      <c r="R43" s="120">
        <v>0.5137186999999999</v>
      </c>
      <c r="S43" s="120">
        <v>176.24032258064517</v>
      </c>
      <c r="T43" s="124">
        <v>15.1</v>
      </c>
      <c r="U43" s="8">
        <f t="shared" si="2"/>
        <v>11.67154454</v>
      </c>
      <c r="AA43" s="15"/>
      <c r="AB43" s="15"/>
      <c r="AC43" s="15"/>
      <c r="AD43" s="15"/>
      <c r="AE43" s="15"/>
    </row>
    <row r="44" ht="14.25" customHeight="1">
      <c r="A44" s="134" t="s">
        <v>256</v>
      </c>
      <c r="B44" s="3" t="s">
        <v>278</v>
      </c>
      <c r="C44" s="3" t="s">
        <v>285</v>
      </c>
      <c r="D44" s="3" t="s">
        <v>251</v>
      </c>
      <c r="E44" s="8">
        <v>1.0</v>
      </c>
      <c r="F44" s="136" t="s">
        <v>276</v>
      </c>
      <c r="G44" s="137">
        <v>19.2536725</v>
      </c>
      <c r="H44" s="137">
        <v>0.36084717</v>
      </c>
      <c r="I44" s="137">
        <v>8.55243651</v>
      </c>
      <c r="J44" s="120">
        <f t="shared" si="1"/>
        <v>53.35686158</v>
      </c>
      <c r="K44" s="121">
        <v>-0.26</v>
      </c>
      <c r="L44" s="121">
        <v>-0.518</v>
      </c>
      <c r="M44" s="122">
        <v>0.258</v>
      </c>
      <c r="N44" s="120">
        <v>39.4</v>
      </c>
      <c r="O44" s="120">
        <v>33.14897872093023</v>
      </c>
      <c r="P44" s="123">
        <v>15.839352746615727</v>
      </c>
      <c r="Q44" s="120">
        <v>1.2857142857142858</v>
      </c>
      <c r="R44" s="120">
        <v>0.4778232500000001</v>
      </c>
      <c r="S44" s="120">
        <v>250.68750000000003</v>
      </c>
      <c r="T44" s="124">
        <v>4.2</v>
      </c>
      <c r="U44" s="8">
        <f t="shared" si="2"/>
        <v>59.6875</v>
      </c>
      <c r="AA44" s="15"/>
      <c r="AB44" s="15"/>
      <c r="AC44" s="15"/>
      <c r="AD44" s="15"/>
      <c r="AE44" s="15"/>
    </row>
    <row r="45" ht="14.25" customHeight="1">
      <c r="A45" s="134" t="s">
        <v>256</v>
      </c>
      <c r="B45" s="3" t="s">
        <v>278</v>
      </c>
      <c r="C45" s="3" t="s">
        <v>285</v>
      </c>
      <c r="D45" s="3" t="s">
        <v>251</v>
      </c>
      <c r="E45" s="8">
        <v>2.0</v>
      </c>
      <c r="F45" s="136" t="s">
        <v>276</v>
      </c>
      <c r="G45" s="137">
        <v>13.9516933</v>
      </c>
      <c r="H45" s="137">
        <v>0.42304318</v>
      </c>
      <c r="I45" s="137">
        <v>6.68107737</v>
      </c>
      <c r="J45" s="120">
        <f t="shared" si="1"/>
        <v>32.97935993</v>
      </c>
      <c r="K45" s="121"/>
      <c r="L45" s="121">
        <v>-0.81</v>
      </c>
      <c r="M45" s="122"/>
      <c r="N45" s="120">
        <v>32.5</v>
      </c>
      <c r="O45" s="120">
        <v>12.372365499999999</v>
      </c>
      <c r="P45" s="123">
        <v>4.581648017383354</v>
      </c>
      <c r="Q45" s="120">
        <v>1.1428571428571428</v>
      </c>
      <c r="R45" s="120">
        <v>0.37031301875000006</v>
      </c>
      <c r="S45" s="120">
        <v>177.4898305084746</v>
      </c>
      <c r="T45" s="124">
        <v>9.5</v>
      </c>
      <c r="U45" s="8">
        <f t="shared" si="2"/>
        <v>18.68314005</v>
      </c>
      <c r="AA45" s="15"/>
      <c r="AB45" s="15"/>
      <c r="AC45" s="15"/>
      <c r="AD45" s="15"/>
      <c r="AE45" s="15"/>
    </row>
    <row r="46" ht="14.25" customHeight="1">
      <c r="A46" s="134" t="s">
        <v>256</v>
      </c>
      <c r="B46" s="3" t="s">
        <v>278</v>
      </c>
      <c r="C46" s="3" t="s">
        <v>285</v>
      </c>
      <c r="D46" s="3" t="s">
        <v>251</v>
      </c>
      <c r="E46" s="8">
        <v>3.0</v>
      </c>
      <c r="F46" s="136" t="s">
        <v>276</v>
      </c>
      <c r="G46" s="137">
        <v>10.7218318</v>
      </c>
      <c r="H46" s="137">
        <v>0.1685224</v>
      </c>
      <c r="I46" s="137">
        <v>4.68410914</v>
      </c>
      <c r="J46" s="120">
        <f t="shared" si="1"/>
        <v>63.62259142</v>
      </c>
      <c r="K46" s="121">
        <v>-0.195</v>
      </c>
      <c r="L46" s="121">
        <v>-0.757</v>
      </c>
      <c r="M46" s="122">
        <v>0.562</v>
      </c>
      <c r="N46" s="120">
        <v>41.6</v>
      </c>
      <c r="O46" s="120">
        <v>8.334713772241992</v>
      </c>
      <c r="P46" s="123">
        <v>4.480335025281483</v>
      </c>
      <c r="Q46" s="120">
        <v>1.1428571428571428</v>
      </c>
      <c r="R46" s="120">
        <v>0.53755115625</v>
      </c>
      <c r="S46" s="120">
        <v>224.01904761904763</v>
      </c>
      <c r="T46" s="124">
        <v>10.9</v>
      </c>
      <c r="U46" s="8">
        <f t="shared" si="2"/>
        <v>20.5522062</v>
      </c>
      <c r="AA46" s="15"/>
      <c r="AB46" s="15"/>
      <c r="AC46" s="15"/>
      <c r="AD46" s="15"/>
      <c r="AE46" s="15"/>
    </row>
    <row r="47" ht="14.25" customHeight="1">
      <c r="A47" s="134" t="s">
        <v>256</v>
      </c>
      <c r="B47" s="3" t="s">
        <v>278</v>
      </c>
      <c r="C47" s="3" t="s">
        <v>285</v>
      </c>
      <c r="D47" s="3" t="s">
        <v>251</v>
      </c>
      <c r="E47" s="8">
        <v>4.0</v>
      </c>
      <c r="F47" s="136" t="s">
        <v>276</v>
      </c>
      <c r="G47" s="137">
        <v>16.0742927</v>
      </c>
      <c r="H47" s="137">
        <v>0.48364578</v>
      </c>
      <c r="I47" s="137">
        <v>9.29330958</v>
      </c>
      <c r="J47" s="120">
        <f t="shared" si="1"/>
        <v>33.2356724</v>
      </c>
      <c r="K47" s="121"/>
      <c r="L47" s="121">
        <v>-0.76</v>
      </c>
      <c r="M47" s="122"/>
      <c r="N47" s="120">
        <v>42.6</v>
      </c>
      <c r="O47" s="120">
        <v>18.96593791836735</v>
      </c>
      <c r="P47" s="123">
        <v>10.4217210097704</v>
      </c>
      <c r="Q47" s="120">
        <v>1.0</v>
      </c>
      <c r="R47" s="120">
        <v>0.5494967375</v>
      </c>
      <c r="S47" s="120">
        <v>200.28372093023256</v>
      </c>
      <c r="T47" s="124">
        <v>75.6</v>
      </c>
      <c r="U47" s="8">
        <f t="shared" si="2"/>
        <v>2.649255568</v>
      </c>
      <c r="AA47" s="15"/>
      <c r="AB47" s="15"/>
      <c r="AC47" s="15"/>
      <c r="AD47" s="15"/>
      <c r="AE47" s="15"/>
    </row>
    <row r="48" ht="14.25" customHeight="1">
      <c r="A48" s="134" t="s">
        <v>256</v>
      </c>
      <c r="B48" s="3" t="s">
        <v>278</v>
      </c>
      <c r="C48" s="3" t="s">
        <v>285</v>
      </c>
      <c r="D48" s="3" t="s">
        <v>251</v>
      </c>
      <c r="E48" s="8">
        <v>5.0</v>
      </c>
      <c r="F48" s="136" t="s">
        <v>276</v>
      </c>
      <c r="G48" s="137">
        <v>13.2629163</v>
      </c>
      <c r="H48" s="137">
        <v>0.12954565</v>
      </c>
      <c r="I48" s="137">
        <v>3.47449148</v>
      </c>
      <c r="J48" s="120">
        <f t="shared" si="1"/>
        <v>102.3802521</v>
      </c>
      <c r="K48" s="121">
        <v>-0.34</v>
      </c>
      <c r="L48" s="121">
        <v>-0.62</v>
      </c>
      <c r="M48" s="122">
        <v>0.28</v>
      </c>
      <c r="N48" s="120">
        <v>44.5</v>
      </c>
      <c r="O48" s="120">
        <v>12.408898142857145</v>
      </c>
      <c r="P48" s="123">
        <v>5.781028538550492</v>
      </c>
      <c r="Q48" s="120">
        <v>1.2857142857142858</v>
      </c>
      <c r="R48" s="120">
        <v>0.4658776687500001</v>
      </c>
      <c r="S48" s="120">
        <v>189.68837209302325</v>
      </c>
      <c r="T48" s="124">
        <v>16.1</v>
      </c>
      <c r="U48" s="8">
        <f t="shared" si="2"/>
        <v>11.78188647</v>
      </c>
      <c r="AA48" s="15"/>
      <c r="AB48" s="15"/>
      <c r="AC48" s="15"/>
      <c r="AD48" s="15"/>
      <c r="AE48" s="15"/>
    </row>
    <row r="49" ht="14.25" customHeight="1">
      <c r="A49" s="134" t="s">
        <v>256</v>
      </c>
      <c r="B49" s="3" t="s">
        <v>278</v>
      </c>
      <c r="C49" s="3" t="s">
        <v>285</v>
      </c>
      <c r="D49" s="3" t="s">
        <v>251</v>
      </c>
      <c r="E49" s="8">
        <v>6.0</v>
      </c>
      <c r="F49" s="136" t="s">
        <v>276</v>
      </c>
      <c r="G49" s="137">
        <v>11.9991186</v>
      </c>
      <c r="H49" s="137">
        <v>0.28582579</v>
      </c>
      <c r="I49" s="137">
        <v>7.4804184</v>
      </c>
      <c r="J49" s="120">
        <f t="shared" si="1"/>
        <v>41.98053157</v>
      </c>
      <c r="K49" s="121"/>
      <c r="L49" s="121">
        <v>-0.67</v>
      </c>
      <c r="M49" s="122"/>
      <c r="N49" s="120">
        <v>37.0</v>
      </c>
      <c r="O49" s="120">
        <v>18.701045999999998</v>
      </c>
      <c r="P49" s="123">
        <v>11.393138087102363</v>
      </c>
      <c r="Q49" s="120">
        <v>1.2857142857142858</v>
      </c>
      <c r="R49" s="120">
        <v>0.6092246437500001</v>
      </c>
      <c r="S49" s="120">
        <v>264.32000000000005</v>
      </c>
      <c r="T49" s="124">
        <v>3.8</v>
      </c>
      <c r="U49" s="8">
        <f t="shared" si="2"/>
        <v>69.55789474</v>
      </c>
      <c r="AA49" s="15"/>
      <c r="AB49" s="15"/>
      <c r="AC49" s="15"/>
      <c r="AD49" s="15"/>
      <c r="AE49" s="15"/>
    </row>
    <row r="50" ht="14.25" customHeight="1">
      <c r="A50" s="134" t="s">
        <v>249</v>
      </c>
      <c r="B50" s="3" t="s">
        <v>278</v>
      </c>
      <c r="C50" s="3" t="s">
        <v>281</v>
      </c>
      <c r="D50" s="135" t="s">
        <v>240</v>
      </c>
      <c r="E50" s="8">
        <v>1.0</v>
      </c>
      <c r="F50" s="136" t="s">
        <v>276</v>
      </c>
      <c r="G50" s="137">
        <v>13.2602629</v>
      </c>
      <c r="H50" s="137">
        <v>0.23212269</v>
      </c>
      <c r="I50" s="137">
        <v>6.44042319</v>
      </c>
      <c r="J50" s="120">
        <f t="shared" si="1"/>
        <v>57.12609526</v>
      </c>
      <c r="K50" s="121">
        <v>-0.195</v>
      </c>
      <c r="L50" s="121">
        <v>-0.62</v>
      </c>
      <c r="M50" s="122">
        <v>0.425</v>
      </c>
      <c r="N50" s="120">
        <v>42.2</v>
      </c>
      <c r="O50" s="120">
        <v>15.153936917647059</v>
      </c>
      <c r="P50" s="123">
        <v>9.523187819460096</v>
      </c>
      <c r="Q50" s="120">
        <v>0.5714285714285714</v>
      </c>
      <c r="R50" s="120">
        <v>0.6284299500000001</v>
      </c>
      <c r="S50" s="120">
        <v>84.61764705882352</v>
      </c>
      <c r="T50" s="124">
        <v>15.5</v>
      </c>
      <c r="U50" s="8">
        <f t="shared" si="2"/>
        <v>5.459203036</v>
      </c>
      <c r="AA50" s="15"/>
      <c r="AB50" s="15"/>
      <c r="AC50" s="15"/>
      <c r="AD50" s="15"/>
      <c r="AE50" s="15"/>
    </row>
    <row r="51" ht="14.25" customHeight="1">
      <c r="A51" s="134" t="s">
        <v>249</v>
      </c>
      <c r="B51" s="3" t="s">
        <v>278</v>
      </c>
      <c r="C51" s="3" t="s">
        <v>281</v>
      </c>
      <c r="D51" s="135" t="s">
        <v>240</v>
      </c>
      <c r="E51" s="8">
        <v>2.0</v>
      </c>
      <c r="F51" s="136" t="s">
        <v>276</v>
      </c>
      <c r="G51" s="137">
        <v>14.3290593</v>
      </c>
      <c r="H51" s="137">
        <v>0.29891624</v>
      </c>
      <c r="I51" s="137">
        <v>5.69488922</v>
      </c>
      <c r="J51" s="120">
        <f t="shared" si="1"/>
        <v>47.93670394</v>
      </c>
      <c r="K51" s="121"/>
      <c r="L51" s="121">
        <v>-0.77</v>
      </c>
      <c r="M51" s="122"/>
      <c r="N51" s="120">
        <v>39.4</v>
      </c>
      <c r="O51" s="120">
        <v>12.116785574468086</v>
      </c>
      <c r="P51" s="123">
        <v>6.552055470948301</v>
      </c>
      <c r="Q51" s="120">
        <v>1.0</v>
      </c>
      <c r="R51" s="120">
        <v>0.5407420500000001</v>
      </c>
      <c r="S51" s="120">
        <v>101.9025</v>
      </c>
      <c r="T51" s="124">
        <v>21.9</v>
      </c>
      <c r="U51" s="8">
        <f t="shared" si="2"/>
        <v>4.653082192</v>
      </c>
      <c r="AA51" s="15"/>
      <c r="AB51" s="15"/>
      <c r="AC51" s="15"/>
      <c r="AD51" s="15"/>
      <c r="AE51" s="15"/>
    </row>
    <row r="52" ht="14.25" customHeight="1">
      <c r="A52" s="134" t="s">
        <v>249</v>
      </c>
      <c r="B52" s="3" t="s">
        <v>278</v>
      </c>
      <c r="C52" s="3" t="s">
        <v>281</v>
      </c>
      <c r="D52" s="135" t="s">
        <v>240</v>
      </c>
      <c r="E52" s="8">
        <v>3.0</v>
      </c>
      <c r="F52" s="136" t="s">
        <v>276</v>
      </c>
      <c r="G52" s="137">
        <v>14.8178403</v>
      </c>
      <c r="H52" s="137">
        <v>0.2596326</v>
      </c>
      <c r="I52" s="137">
        <v>6.27703179</v>
      </c>
      <c r="J52" s="120">
        <f t="shared" si="1"/>
        <v>57.07234107</v>
      </c>
      <c r="K52" s="121">
        <v>-0.33</v>
      </c>
      <c r="L52" s="121">
        <v>-0.68</v>
      </c>
      <c r="M52" s="122">
        <v>0.35</v>
      </c>
      <c r="N52" s="120">
        <v>43.0</v>
      </c>
      <c r="O52" s="120">
        <v>17.93437654285714</v>
      </c>
      <c r="P52" s="123">
        <v>10.746290081824753</v>
      </c>
      <c r="Q52" s="120">
        <v>1.2857142857142858</v>
      </c>
      <c r="R52" s="120">
        <v>0.5992006500000001</v>
      </c>
      <c r="S52" s="120">
        <v>171.02162162162162</v>
      </c>
      <c r="T52" s="124">
        <v>38.5</v>
      </c>
      <c r="U52" s="8">
        <f t="shared" si="2"/>
        <v>4.442120042</v>
      </c>
      <c r="AA52" s="15"/>
      <c r="AB52" s="15"/>
      <c r="AC52" s="15"/>
      <c r="AD52" s="15"/>
      <c r="AE52" s="15"/>
    </row>
    <row r="53" ht="14.25" customHeight="1">
      <c r="A53" s="134" t="s">
        <v>249</v>
      </c>
      <c r="B53" s="3" t="s">
        <v>278</v>
      </c>
      <c r="C53" s="3" t="s">
        <v>281</v>
      </c>
      <c r="D53" s="135" t="s">
        <v>240</v>
      </c>
      <c r="E53" s="8">
        <v>4.0</v>
      </c>
      <c r="F53" s="136" t="s">
        <v>276</v>
      </c>
      <c r="G53" s="137">
        <v>15.2458999</v>
      </c>
      <c r="H53" s="137">
        <v>0.3315466</v>
      </c>
      <c r="I53" s="137">
        <v>7.35314894</v>
      </c>
      <c r="J53" s="120">
        <f t="shared" si="1"/>
        <v>45.98418412</v>
      </c>
      <c r="K53" s="121"/>
      <c r="L53" s="121">
        <v>-0.83</v>
      </c>
      <c r="M53" s="122"/>
      <c r="N53" s="120">
        <v>41.2</v>
      </c>
      <c r="O53" s="120">
        <v>13.873865924528301</v>
      </c>
      <c r="P53" s="123">
        <v>8.515991174624117</v>
      </c>
      <c r="Q53" s="120">
        <v>0.8571428571428571</v>
      </c>
      <c r="R53" s="120">
        <v>0.6138153000000001</v>
      </c>
      <c r="S53" s="120">
        <v>143.0950819672131</v>
      </c>
      <c r="T53" s="124">
        <v>53.7</v>
      </c>
      <c r="U53" s="8">
        <f t="shared" si="2"/>
        <v>2.664712886</v>
      </c>
      <c r="AA53" s="15"/>
      <c r="AB53" s="15"/>
      <c r="AC53" s="15"/>
      <c r="AD53" s="15"/>
      <c r="AE53" s="15"/>
    </row>
    <row r="54" ht="14.25" customHeight="1">
      <c r="A54" s="134" t="s">
        <v>249</v>
      </c>
      <c r="B54" s="3" t="s">
        <v>278</v>
      </c>
      <c r="C54" s="3" t="s">
        <v>281</v>
      </c>
      <c r="D54" s="135" t="s">
        <v>240</v>
      </c>
      <c r="E54" s="8">
        <v>5.0</v>
      </c>
      <c r="F54" s="136" t="s">
        <v>276</v>
      </c>
      <c r="G54" s="137">
        <v>14.8843182</v>
      </c>
      <c r="H54" s="137">
        <v>0.24990946</v>
      </c>
      <c r="I54" s="137">
        <v>4.28259533</v>
      </c>
      <c r="J54" s="120">
        <f t="shared" si="1"/>
        <v>59.55884263</v>
      </c>
      <c r="K54" s="121">
        <v>-0.36</v>
      </c>
      <c r="L54" s="121">
        <v>-0.538</v>
      </c>
      <c r="M54" s="122">
        <v>0.178</v>
      </c>
      <c r="N54" s="120">
        <v>36.0</v>
      </c>
      <c r="O54" s="120">
        <v>24.05952432584269</v>
      </c>
      <c r="P54" s="123">
        <v>18.63594094099988</v>
      </c>
      <c r="Q54" s="120">
        <v>1.1428571428571428</v>
      </c>
      <c r="R54" s="120">
        <v>0.7745764500000002</v>
      </c>
      <c r="S54" s="120">
        <v>117.72388059701494</v>
      </c>
      <c r="T54" s="124">
        <v>26.7</v>
      </c>
      <c r="U54" s="8">
        <f t="shared" si="2"/>
        <v>4.409134105</v>
      </c>
      <c r="AA54" s="15"/>
      <c r="AB54" s="15"/>
      <c r="AC54" s="15"/>
      <c r="AD54" s="15"/>
      <c r="AE54" s="15"/>
    </row>
    <row r="55" ht="14.25" customHeight="1">
      <c r="A55" s="134" t="s">
        <v>249</v>
      </c>
      <c r="B55" s="3" t="s">
        <v>278</v>
      </c>
      <c r="C55" s="3" t="s">
        <v>281</v>
      </c>
      <c r="D55" s="135" t="s">
        <v>240</v>
      </c>
      <c r="E55" s="8">
        <v>6.0</v>
      </c>
      <c r="F55" s="136" t="s">
        <v>276</v>
      </c>
      <c r="G55" s="137">
        <v>14.4219293</v>
      </c>
      <c r="H55" s="137">
        <v>0.26275676</v>
      </c>
      <c r="I55" s="137">
        <v>6.93914043</v>
      </c>
      <c r="J55" s="120">
        <f t="shared" si="1"/>
        <v>54.88699625</v>
      </c>
      <c r="K55" s="121"/>
      <c r="L55" s="121">
        <v>-0.763</v>
      </c>
      <c r="M55" s="122"/>
      <c r="N55" s="120">
        <v>40.7</v>
      </c>
      <c r="O55" s="120">
        <v>14.9873443412527</v>
      </c>
      <c r="P55" s="123">
        <v>10.513670014890662</v>
      </c>
      <c r="Q55" s="120">
        <v>1.2857142857142858</v>
      </c>
      <c r="R55" s="120">
        <v>0.7015032000000001</v>
      </c>
      <c r="S55" s="120">
        <v>197.14754098360658</v>
      </c>
      <c r="T55" s="124">
        <v>15.6</v>
      </c>
      <c r="U55" s="8">
        <f t="shared" si="2"/>
        <v>12.63766288</v>
      </c>
      <c r="AA55" s="15"/>
      <c r="AB55" s="15"/>
      <c r="AC55" s="15"/>
      <c r="AD55" s="15"/>
      <c r="AE55" s="15"/>
    </row>
    <row r="56" ht="14.25" customHeight="1">
      <c r="A56" s="134" t="s">
        <v>256</v>
      </c>
      <c r="B56" s="3" t="s">
        <v>282</v>
      </c>
      <c r="C56" s="3" t="s">
        <v>283</v>
      </c>
      <c r="D56" s="3" t="s">
        <v>251</v>
      </c>
      <c r="E56" s="8">
        <v>1.0</v>
      </c>
      <c r="F56" s="136" t="s">
        <v>276</v>
      </c>
      <c r="G56" s="137">
        <v>17.6120782</v>
      </c>
      <c r="H56" s="137">
        <v>0.40445458</v>
      </c>
      <c r="I56" s="137">
        <v>8.66564663</v>
      </c>
      <c r="J56" s="120">
        <f t="shared" si="1"/>
        <v>43.54525593</v>
      </c>
      <c r="K56" s="121">
        <v>-0.278</v>
      </c>
      <c r="L56" s="121">
        <v>-0.59</v>
      </c>
      <c r="M56" s="122">
        <v>0.312</v>
      </c>
      <c r="N56" s="120">
        <v>37.8</v>
      </c>
      <c r="O56" s="120">
        <v>27.774508429487184</v>
      </c>
      <c r="P56" s="123">
        <v>11.349771652812088</v>
      </c>
      <c r="Q56" s="120">
        <v>1.4285714285714286</v>
      </c>
      <c r="R56" s="120">
        <v>0.40863987499999993</v>
      </c>
      <c r="S56" s="120">
        <v>191.9230769230769</v>
      </c>
      <c r="T56" s="124">
        <v>7.5</v>
      </c>
      <c r="U56" s="8">
        <f t="shared" si="2"/>
        <v>25.58974359</v>
      </c>
      <c r="AA56" s="15"/>
      <c r="AB56" s="15"/>
      <c r="AC56" s="15"/>
      <c r="AD56" s="15"/>
      <c r="AE56" s="15"/>
    </row>
    <row r="57" ht="14.25" customHeight="1">
      <c r="A57" s="134" t="s">
        <v>256</v>
      </c>
      <c r="B57" s="3" t="s">
        <v>282</v>
      </c>
      <c r="C57" s="3" t="s">
        <v>283</v>
      </c>
      <c r="D57" s="3" t="s">
        <v>251</v>
      </c>
      <c r="E57" s="8">
        <v>2.0</v>
      </c>
      <c r="F57" s="136" t="s">
        <v>276</v>
      </c>
      <c r="G57" s="137">
        <v>12.5877994</v>
      </c>
      <c r="H57" s="137">
        <v>0.39752639</v>
      </c>
      <c r="I57" s="137">
        <v>6.90408697</v>
      </c>
      <c r="J57" s="120">
        <f t="shared" si="1"/>
        <v>31.66531762</v>
      </c>
      <c r="K57" s="121"/>
      <c r="L57" s="121">
        <v>-0.83</v>
      </c>
      <c r="M57" s="122"/>
      <c r="N57" s="120">
        <v>38.4</v>
      </c>
      <c r="O57" s="120">
        <v>11.7018423220339</v>
      </c>
      <c r="P57" s="123">
        <v>4.781839383745641</v>
      </c>
      <c r="Q57" s="120">
        <v>1.0</v>
      </c>
      <c r="R57" s="120">
        <v>0.40863987499999993</v>
      </c>
      <c r="S57" s="120">
        <v>179.0135593220339</v>
      </c>
      <c r="T57" s="124">
        <v>6.9</v>
      </c>
      <c r="U57" s="8">
        <f t="shared" si="2"/>
        <v>25.9439941</v>
      </c>
      <c r="AA57" s="15"/>
      <c r="AB57" s="15"/>
      <c r="AC57" s="15"/>
      <c r="AD57" s="15"/>
      <c r="AE57" s="15"/>
    </row>
    <row r="58" ht="14.25" customHeight="1">
      <c r="A58" s="134" t="s">
        <v>256</v>
      </c>
      <c r="B58" s="3" t="s">
        <v>282</v>
      </c>
      <c r="C58" s="3" t="s">
        <v>283</v>
      </c>
      <c r="D58" s="3" t="s">
        <v>251</v>
      </c>
      <c r="E58" s="8">
        <v>3.0</v>
      </c>
      <c r="F58" s="136" t="s">
        <v>276</v>
      </c>
      <c r="G58" s="137">
        <v>11.0142067</v>
      </c>
      <c r="H58" s="137">
        <v>0.18949748</v>
      </c>
      <c r="I58" s="137">
        <v>4.94884327</v>
      </c>
      <c r="J58" s="120">
        <f t="shared" si="1"/>
        <v>58.12323573</v>
      </c>
      <c r="K58" s="121">
        <v>-0.165</v>
      </c>
      <c r="L58" s="121">
        <v>-0.74</v>
      </c>
      <c r="M58" s="122">
        <v>0.575</v>
      </c>
      <c r="N58" s="120">
        <v>36.5</v>
      </c>
      <c r="O58" s="120">
        <v>8.606683947826088</v>
      </c>
      <c r="P58" s="123">
        <v>5.02433464657737</v>
      </c>
      <c r="Q58" s="120">
        <v>1.1428571428571428</v>
      </c>
      <c r="R58" s="120">
        <v>0.58377125</v>
      </c>
      <c r="S58" s="120">
        <v>187.97878787878787</v>
      </c>
      <c r="T58" s="124">
        <v>13.1</v>
      </c>
      <c r="U58" s="8">
        <f t="shared" si="2"/>
        <v>14.34952579</v>
      </c>
      <c r="AA58" s="15"/>
      <c r="AB58" s="15"/>
      <c r="AC58" s="15"/>
      <c r="AD58" s="15"/>
      <c r="AE58" s="15"/>
    </row>
    <row r="59" ht="14.25" customHeight="1">
      <c r="A59" s="134" t="s">
        <v>256</v>
      </c>
      <c r="B59" s="3" t="s">
        <v>282</v>
      </c>
      <c r="C59" s="3" t="s">
        <v>283</v>
      </c>
      <c r="D59" s="3" t="s">
        <v>251</v>
      </c>
      <c r="E59" s="8">
        <v>4.0</v>
      </c>
      <c r="F59" s="136" t="s">
        <v>276</v>
      </c>
      <c r="G59" s="137">
        <v>12.9592232</v>
      </c>
      <c r="H59" s="137">
        <v>0.41420144</v>
      </c>
      <c r="I59" s="137">
        <v>7.98398232</v>
      </c>
      <c r="J59" s="120">
        <f t="shared" si="1"/>
        <v>31.28724806</v>
      </c>
      <c r="K59" s="121"/>
      <c r="L59" s="121">
        <v>-0.65</v>
      </c>
      <c r="M59" s="122"/>
      <c r="N59" s="120">
        <v>40.5</v>
      </c>
      <c r="O59" s="120">
        <v>19.473127609756094</v>
      </c>
      <c r="P59" s="123">
        <v>8.866924596002326</v>
      </c>
      <c r="Q59" s="120">
        <v>1.0</v>
      </c>
      <c r="R59" s="120">
        <v>0.45534157499999994</v>
      </c>
      <c r="S59" s="120">
        <v>208.3728813559322</v>
      </c>
      <c r="T59" s="124">
        <v>40.4</v>
      </c>
      <c r="U59" s="8">
        <f t="shared" si="2"/>
        <v>5.157744588</v>
      </c>
      <c r="AA59" s="15"/>
      <c r="AB59" s="15"/>
      <c r="AC59" s="15"/>
      <c r="AD59" s="15"/>
      <c r="AE59" s="15"/>
    </row>
    <row r="60" ht="14.25" customHeight="1">
      <c r="A60" s="134" t="s">
        <v>256</v>
      </c>
      <c r="B60" s="3" t="s">
        <v>282</v>
      </c>
      <c r="C60" s="3" t="s">
        <v>283</v>
      </c>
      <c r="D60" s="3" t="s">
        <v>251</v>
      </c>
      <c r="E60" s="8">
        <v>5.0</v>
      </c>
      <c r="F60" s="136" t="s">
        <v>276</v>
      </c>
      <c r="G60" s="137">
        <v>18.3301896</v>
      </c>
      <c r="H60" s="137">
        <v>0.52217497</v>
      </c>
      <c r="I60" s="137">
        <v>6.71348754</v>
      </c>
      <c r="J60" s="120">
        <f t="shared" si="1"/>
        <v>35.10353934</v>
      </c>
      <c r="K60" s="121">
        <v>-0.268</v>
      </c>
      <c r="L60" s="121">
        <v>-0.61</v>
      </c>
      <c r="M60" s="122">
        <v>0.342</v>
      </c>
      <c r="N60" s="120">
        <v>42.3</v>
      </c>
      <c r="O60" s="120">
        <v>19.63008052631579</v>
      </c>
      <c r="P60" s="123">
        <v>9.8551499159453</v>
      </c>
      <c r="Q60" s="120">
        <v>1.2857142857142858</v>
      </c>
      <c r="R60" s="120">
        <v>0.5020432749999999</v>
      </c>
      <c r="S60" s="120">
        <v>188.4375</v>
      </c>
      <c r="T60" s="124">
        <v>6.8</v>
      </c>
      <c r="U60" s="8">
        <f t="shared" si="2"/>
        <v>27.71139706</v>
      </c>
      <c r="AA60" s="15"/>
      <c r="AB60" s="15"/>
      <c r="AC60" s="15"/>
      <c r="AD60" s="15"/>
      <c r="AE60" s="15"/>
    </row>
    <row r="61" ht="14.25" customHeight="1">
      <c r="A61" s="134" t="s">
        <v>256</v>
      </c>
      <c r="B61" s="3" t="s">
        <v>282</v>
      </c>
      <c r="C61" s="3" t="s">
        <v>283</v>
      </c>
      <c r="D61" s="3" t="s">
        <v>251</v>
      </c>
      <c r="E61" s="8">
        <v>6.0</v>
      </c>
      <c r="F61" s="136" t="s">
        <v>276</v>
      </c>
      <c r="G61" s="137">
        <v>10.2478802</v>
      </c>
      <c r="H61" s="137">
        <v>0.39901035</v>
      </c>
      <c r="I61" s="137">
        <v>8.77841722</v>
      </c>
      <c r="J61" s="120">
        <f t="shared" si="1"/>
        <v>25.68324406</v>
      </c>
      <c r="K61" s="121"/>
      <c r="L61" s="121">
        <v>-0.847</v>
      </c>
      <c r="M61" s="122"/>
      <c r="N61" s="120">
        <v>22.0</v>
      </c>
      <c r="O61" s="120">
        <v>14.461972355848435</v>
      </c>
      <c r="P61" s="123">
        <v>7.767084985267957</v>
      </c>
      <c r="Q61" s="120">
        <v>1.2857142857142858</v>
      </c>
      <c r="R61" s="120">
        <v>0.5370695499999999</v>
      </c>
      <c r="S61" s="120">
        <v>194.184</v>
      </c>
      <c r="T61" s="124">
        <v>50.7</v>
      </c>
      <c r="U61" s="8">
        <f t="shared" si="2"/>
        <v>3.830059172</v>
      </c>
      <c r="AA61" s="15"/>
      <c r="AB61" s="15"/>
      <c r="AC61" s="15"/>
      <c r="AD61" s="15"/>
      <c r="AE61" s="15"/>
    </row>
    <row r="62" ht="14.25" customHeight="1">
      <c r="A62" s="134" t="s">
        <v>244</v>
      </c>
      <c r="B62" s="3" t="s">
        <v>282</v>
      </c>
      <c r="C62" s="3" t="s">
        <v>286</v>
      </c>
      <c r="D62" s="135" t="s">
        <v>240</v>
      </c>
      <c r="E62" s="48">
        <v>1.0</v>
      </c>
      <c r="F62" s="136" t="s">
        <v>276</v>
      </c>
      <c r="G62" s="137">
        <v>15.0561534</v>
      </c>
      <c r="H62" s="137">
        <v>0.28585111</v>
      </c>
      <c r="I62" s="137">
        <v>7.19605849</v>
      </c>
      <c r="J62" s="120">
        <f t="shared" si="1"/>
        <v>52.6713134</v>
      </c>
      <c r="K62" s="121">
        <v>-0.199</v>
      </c>
      <c r="L62" s="121">
        <v>-0.61</v>
      </c>
      <c r="M62" s="122">
        <v>0.411</v>
      </c>
      <c r="N62" s="120">
        <v>40.0</v>
      </c>
      <c r="O62" s="120">
        <v>17.508658126520682</v>
      </c>
      <c r="P62" s="123">
        <v>10.785046263943466</v>
      </c>
      <c r="Q62" s="120">
        <v>1.0</v>
      </c>
      <c r="R62" s="120">
        <v>0.6159836000000001</v>
      </c>
      <c r="S62" s="120">
        <v>107.92000000000002</v>
      </c>
      <c r="T62" s="124">
        <v>16.2</v>
      </c>
      <c r="U62" s="8">
        <f t="shared" si="2"/>
        <v>6.661728395</v>
      </c>
      <c r="AA62" s="15"/>
      <c r="AB62" s="15"/>
      <c r="AC62" s="15"/>
      <c r="AD62" s="15"/>
      <c r="AE62" s="15"/>
    </row>
    <row r="63" ht="14.25" customHeight="1">
      <c r="A63" s="134" t="s">
        <v>244</v>
      </c>
      <c r="B63" s="3" t="s">
        <v>282</v>
      </c>
      <c r="C63" s="3" t="s">
        <v>286</v>
      </c>
      <c r="D63" s="135" t="s">
        <v>240</v>
      </c>
      <c r="E63" s="48">
        <v>2.0</v>
      </c>
      <c r="F63" s="136" t="s">
        <v>276</v>
      </c>
      <c r="G63" s="137">
        <v>13.9785663</v>
      </c>
      <c r="H63" s="137">
        <v>0.43831087</v>
      </c>
      <c r="I63" s="137">
        <v>7.05184812</v>
      </c>
      <c r="J63" s="120">
        <f t="shared" si="1"/>
        <v>31.89189969</v>
      </c>
      <c r="K63" s="121"/>
      <c r="L63" s="121">
        <v>-0.56</v>
      </c>
      <c r="M63" s="122"/>
      <c r="N63" s="120">
        <v>40.2</v>
      </c>
      <c r="O63" s="120">
        <v>23.506160399999995</v>
      </c>
      <c r="P63" s="123">
        <v>12.122296162634878</v>
      </c>
      <c r="Q63" s="120">
        <v>0.8571428571428571</v>
      </c>
      <c r="R63" s="120">
        <v>0.5157072</v>
      </c>
      <c r="S63" s="120">
        <v>105.5</v>
      </c>
      <c r="T63" s="124">
        <v>5.8</v>
      </c>
      <c r="U63" s="8">
        <f t="shared" si="2"/>
        <v>18.18965517</v>
      </c>
      <c r="AA63" s="15"/>
      <c r="AB63" s="15"/>
      <c r="AC63" s="15"/>
      <c r="AD63" s="15"/>
      <c r="AE63" s="15"/>
    </row>
    <row r="64" ht="14.25" customHeight="1">
      <c r="A64" s="134" t="s">
        <v>244</v>
      </c>
      <c r="B64" s="3" t="s">
        <v>282</v>
      </c>
      <c r="C64" s="3" t="s">
        <v>286</v>
      </c>
      <c r="D64" s="135" t="s">
        <v>240</v>
      </c>
      <c r="E64" s="48">
        <v>3.0</v>
      </c>
      <c r="F64" s="136" t="s">
        <v>276</v>
      </c>
      <c r="G64" s="137">
        <v>11.7311917</v>
      </c>
      <c r="H64" s="137">
        <v>0.15915421</v>
      </c>
      <c r="I64" s="137">
        <v>4.31292001</v>
      </c>
      <c r="J64" s="120">
        <f t="shared" si="1"/>
        <v>73.70959084</v>
      </c>
      <c r="K64" s="121">
        <v>-0.265</v>
      </c>
      <c r="L64" s="121">
        <v>-0.518</v>
      </c>
      <c r="M64" s="122">
        <v>0.253</v>
      </c>
      <c r="N64" s="120">
        <v>51.7</v>
      </c>
      <c r="O64" s="120">
        <v>17.04711466403162</v>
      </c>
      <c r="P64" s="123">
        <v>9.279726425437058</v>
      </c>
      <c r="Q64" s="120">
        <v>1.0</v>
      </c>
      <c r="R64" s="120">
        <v>0.5443576</v>
      </c>
      <c r="S64" s="120">
        <v>115.92794117647058</v>
      </c>
      <c r="T64" s="124">
        <v>11.2</v>
      </c>
      <c r="U64" s="8">
        <f t="shared" si="2"/>
        <v>10.35070903</v>
      </c>
      <c r="AA64" s="15"/>
      <c r="AB64" s="15"/>
      <c r="AC64" s="15"/>
      <c r="AD64" s="15"/>
      <c r="AE64" s="15"/>
    </row>
    <row r="65" ht="14.25" customHeight="1">
      <c r="A65" s="134" t="s">
        <v>244</v>
      </c>
      <c r="B65" s="3" t="s">
        <v>282</v>
      </c>
      <c r="C65" s="3" t="s">
        <v>286</v>
      </c>
      <c r="D65" s="135" t="s">
        <v>240</v>
      </c>
      <c r="E65" s="48">
        <v>4.0</v>
      </c>
      <c r="F65" s="136" t="s">
        <v>276</v>
      </c>
      <c r="G65" s="137">
        <v>13.6246872</v>
      </c>
      <c r="H65" s="137">
        <v>0.31078971</v>
      </c>
      <c r="I65" s="137">
        <v>7.08134591</v>
      </c>
      <c r="J65" s="120">
        <f t="shared" si="1"/>
        <v>43.83892633</v>
      </c>
      <c r="K65" s="121"/>
      <c r="L65" s="121">
        <v>-0.815</v>
      </c>
      <c r="M65" s="122"/>
      <c r="N65" s="120">
        <v>43.0</v>
      </c>
      <c r="O65" s="120">
        <v>12.75918181981982</v>
      </c>
      <c r="P65" s="123">
        <v>6.94555759340075</v>
      </c>
      <c r="Q65" s="120">
        <v>1.1428571428571428</v>
      </c>
      <c r="R65" s="120">
        <v>0.5443576</v>
      </c>
      <c r="S65" s="120">
        <v>144.32</v>
      </c>
      <c r="T65" s="124">
        <v>25.6</v>
      </c>
      <c r="U65" s="8">
        <f t="shared" si="2"/>
        <v>5.6375</v>
      </c>
      <c r="AA65" s="15"/>
      <c r="AB65" s="15"/>
      <c r="AC65" s="15"/>
      <c r="AD65" s="15"/>
      <c r="AE65" s="15"/>
    </row>
    <row r="66" ht="14.25" customHeight="1">
      <c r="A66" s="134" t="s">
        <v>244</v>
      </c>
      <c r="B66" s="3" t="s">
        <v>282</v>
      </c>
      <c r="C66" s="3" t="s">
        <v>286</v>
      </c>
      <c r="D66" s="135" t="s">
        <v>240</v>
      </c>
      <c r="E66" s="48">
        <v>5.0</v>
      </c>
      <c r="F66" s="136" t="s">
        <v>276</v>
      </c>
      <c r="G66" s="137">
        <v>17.0312049</v>
      </c>
      <c r="H66" s="137">
        <v>0.30982604</v>
      </c>
      <c r="I66" s="137">
        <v>4.77230746</v>
      </c>
      <c r="J66" s="120">
        <f t="shared" si="1"/>
        <v>54.9702178</v>
      </c>
      <c r="K66" s="121">
        <v>-0.325</v>
      </c>
      <c r="L66" s="121">
        <v>-0.514</v>
      </c>
      <c r="M66" s="122">
        <v>0.189</v>
      </c>
      <c r="N66" s="120">
        <v>44.0</v>
      </c>
      <c r="O66" s="120">
        <v>25.250304021164023</v>
      </c>
      <c r="P66" s="123">
        <v>15.192057516887113</v>
      </c>
      <c r="Q66" s="120">
        <v>1.1428571428571428</v>
      </c>
      <c r="R66" s="120">
        <v>0.6016584</v>
      </c>
      <c r="S66" s="120">
        <v>117.2123076923077</v>
      </c>
      <c r="T66" s="124">
        <v>12.3</v>
      </c>
      <c r="U66" s="8">
        <f t="shared" si="2"/>
        <v>9.52945591</v>
      </c>
      <c r="AA66" s="15"/>
      <c r="AB66" s="15"/>
      <c r="AC66" s="15"/>
      <c r="AD66" s="15"/>
      <c r="AE66" s="15"/>
    </row>
    <row r="67" ht="14.25" customHeight="1">
      <c r="A67" s="134" t="s">
        <v>244</v>
      </c>
      <c r="B67" s="3" t="s">
        <v>282</v>
      </c>
      <c r="C67" s="3" t="s">
        <v>286</v>
      </c>
      <c r="D67" s="135" t="s">
        <v>240</v>
      </c>
      <c r="E67" s="48">
        <v>6.0</v>
      </c>
      <c r="F67" s="136" t="s">
        <v>276</v>
      </c>
      <c r="G67" s="137">
        <v>9.51286916</v>
      </c>
      <c r="H67" s="137">
        <v>0.35763606</v>
      </c>
      <c r="I67" s="137">
        <v>8.37177364</v>
      </c>
      <c r="J67" s="120">
        <f t="shared" si="1"/>
        <v>26.59930086</v>
      </c>
      <c r="K67" s="121"/>
      <c r="L67" s="121">
        <v>-0.683</v>
      </c>
      <c r="M67" s="122"/>
      <c r="N67" s="120">
        <v>34.8</v>
      </c>
      <c r="O67" s="120">
        <v>19.791427044917256</v>
      </c>
      <c r="P67" s="123">
        <v>12.191194480265494</v>
      </c>
      <c r="Q67" s="120">
        <v>1.2857142857142858</v>
      </c>
      <c r="R67" s="120">
        <v>0.6159836000000001</v>
      </c>
      <c r="S67" s="120">
        <v>155.53846153846155</v>
      </c>
      <c r="T67" s="124">
        <v>27.6</v>
      </c>
      <c r="U67" s="8">
        <f t="shared" si="2"/>
        <v>5.635451505</v>
      </c>
      <c r="AA67" s="15"/>
      <c r="AB67" s="15"/>
      <c r="AC67" s="15"/>
      <c r="AD67" s="15"/>
      <c r="AE67" s="15"/>
    </row>
    <row r="68" ht="14.25" customHeight="1">
      <c r="A68" s="134" t="s">
        <v>238</v>
      </c>
      <c r="B68" s="3" t="s">
        <v>278</v>
      </c>
      <c r="C68" s="3" t="s">
        <v>279</v>
      </c>
      <c r="D68" s="3" t="s">
        <v>251</v>
      </c>
      <c r="E68" s="48">
        <v>1.0</v>
      </c>
      <c r="F68" s="136" t="s">
        <v>276</v>
      </c>
      <c r="G68" s="137">
        <v>12.9464331</v>
      </c>
      <c r="H68" s="137">
        <v>0.38457806</v>
      </c>
      <c r="I68" s="137">
        <v>8.22258518</v>
      </c>
      <c r="J68" s="120">
        <f t="shared" si="1"/>
        <v>33.66399295</v>
      </c>
      <c r="K68" s="121">
        <v>-0.136</v>
      </c>
      <c r="L68" s="121">
        <v>-0.612</v>
      </c>
      <c r="M68" s="122">
        <v>0.476</v>
      </c>
      <c r="N68" s="120">
        <v>35.8</v>
      </c>
      <c r="O68" s="120">
        <v>17.274338613445376</v>
      </c>
      <c r="P68" s="123">
        <v>6.809616509748497</v>
      </c>
      <c r="Q68" s="120">
        <v>1.2857142857142858</v>
      </c>
      <c r="R68" s="120">
        <v>0.39420418125000006</v>
      </c>
      <c r="S68" s="120">
        <v>63.92307692307692</v>
      </c>
      <c r="T68" s="124">
        <v>16.4</v>
      </c>
      <c r="U68" s="8">
        <f t="shared" si="2"/>
        <v>3.897748593</v>
      </c>
      <c r="AA68" s="15"/>
      <c r="AB68" s="15"/>
      <c r="AC68" s="15"/>
      <c r="AD68" s="15"/>
      <c r="AE68" s="15"/>
    </row>
    <row r="69" ht="14.25" customHeight="1">
      <c r="A69" s="134" t="s">
        <v>238</v>
      </c>
      <c r="B69" s="3" t="s">
        <v>278</v>
      </c>
      <c r="C69" s="3" t="s">
        <v>279</v>
      </c>
      <c r="D69" s="3" t="s">
        <v>251</v>
      </c>
      <c r="E69" s="48">
        <v>2.0</v>
      </c>
      <c r="F69" s="136" t="s">
        <v>276</v>
      </c>
      <c r="G69" s="137">
        <v>8.99064246</v>
      </c>
      <c r="H69" s="137">
        <v>0.14263385</v>
      </c>
      <c r="I69" s="137">
        <v>3.49221607</v>
      </c>
      <c r="J69" s="120">
        <f t="shared" si="1"/>
        <v>63.03302098</v>
      </c>
      <c r="K69" s="121"/>
      <c r="L69" s="121">
        <v>-0.875</v>
      </c>
      <c r="M69" s="122"/>
      <c r="N69" s="120">
        <v>34.6</v>
      </c>
      <c r="O69" s="120">
        <v>5.499552866141732</v>
      </c>
      <c r="P69" s="123">
        <v>1.839469956832661</v>
      </c>
      <c r="Q69" s="120">
        <v>0.7142857142857143</v>
      </c>
      <c r="R69" s="120">
        <v>0.3344762750000001</v>
      </c>
      <c r="S69" s="120">
        <v>65.35555555555555</v>
      </c>
      <c r="T69" s="124">
        <v>6.9</v>
      </c>
      <c r="U69" s="8">
        <f t="shared" si="2"/>
        <v>9.471819646</v>
      </c>
      <c r="AA69" s="15"/>
      <c r="AB69" s="15"/>
      <c r="AC69" s="15"/>
      <c r="AD69" s="15"/>
      <c r="AE69" s="15"/>
    </row>
    <row r="70" ht="14.25" customHeight="1">
      <c r="A70" s="134" t="s">
        <v>238</v>
      </c>
      <c r="B70" s="3" t="s">
        <v>278</v>
      </c>
      <c r="C70" s="3" t="s">
        <v>279</v>
      </c>
      <c r="D70" s="3" t="s">
        <v>251</v>
      </c>
      <c r="E70" s="48">
        <v>3.0</v>
      </c>
      <c r="F70" s="136" t="s">
        <v>276</v>
      </c>
      <c r="G70" s="137">
        <v>12.4712322</v>
      </c>
      <c r="H70" s="137">
        <v>0.25404784</v>
      </c>
      <c r="I70" s="137">
        <v>5.13250041</v>
      </c>
      <c r="J70" s="120">
        <f t="shared" si="1"/>
        <v>49.09009342</v>
      </c>
      <c r="K70" s="121">
        <v>-0.326</v>
      </c>
      <c r="L70" s="121">
        <v>-0.518</v>
      </c>
      <c r="M70" s="122">
        <v>0.192</v>
      </c>
      <c r="N70" s="120">
        <v>31.3</v>
      </c>
      <c r="O70" s="120">
        <v>26.731772968749997</v>
      </c>
      <c r="P70" s="123">
        <v>12.453736072235518</v>
      </c>
      <c r="Q70" s="120">
        <v>1.0</v>
      </c>
      <c r="R70" s="120">
        <v>0.4658776687500001</v>
      </c>
      <c r="S70" s="120">
        <v>172.21971830985916</v>
      </c>
      <c r="T70" s="124">
        <v>11.9</v>
      </c>
      <c r="U70" s="8">
        <f t="shared" si="2"/>
        <v>14.47224524</v>
      </c>
      <c r="AA70" s="15"/>
      <c r="AB70" s="15"/>
      <c r="AC70" s="15"/>
      <c r="AD70" s="15"/>
      <c r="AE70" s="15"/>
    </row>
    <row r="71" ht="14.25" customHeight="1">
      <c r="A71" s="134" t="s">
        <v>238</v>
      </c>
      <c r="B71" s="3" t="s">
        <v>278</v>
      </c>
      <c r="C71" s="3" t="s">
        <v>279</v>
      </c>
      <c r="D71" s="3" t="s">
        <v>251</v>
      </c>
      <c r="E71" s="48">
        <v>4.0</v>
      </c>
      <c r="F71" s="136" t="s">
        <v>276</v>
      </c>
      <c r="G71" s="137">
        <v>12.7891608</v>
      </c>
      <c r="H71" s="137">
        <v>0.44819291</v>
      </c>
      <c r="I71" s="137">
        <v>8.7715707</v>
      </c>
      <c r="J71" s="120">
        <f t="shared" si="1"/>
        <v>28.5349467</v>
      </c>
      <c r="K71" s="121"/>
      <c r="L71" s="121">
        <v>-0.7</v>
      </c>
      <c r="M71" s="122"/>
      <c r="N71" s="120">
        <v>39.4</v>
      </c>
      <c r="O71" s="120">
        <v>19.06863195652174</v>
      </c>
      <c r="P71" s="123">
        <v>10.705936941059917</v>
      </c>
      <c r="Q71" s="120">
        <v>1.0</v>
      </c>
      <c r="R71" s="120">
        <v>0.5614423187500002</v>
      </c>
      <c r="S71" s="120">
        <v>145.85294117647055</v>
      </c>
      <c r="T71" s="124">
        <v>21.1</v>
      </c>
      <c r="U71" s="8">
        <f t="shared" si="2"/>
        <v>6.912461667</v>
      </c>
      <c r="AA71" s="15"/>
      <c r="AB71" s="15"/>
      <c r="AC71" s="15"/>
      <c r="AD71" s="15"/>
      <c r="AE71" s="15"/>
    </row>
    <row r="72" ht="14.25" customHeight="1">
      <c r="A72" s="134" t="s">
        <v>238</v>
      </c>
      <c r="B72" s="3" t="s">
        <v>278</v>
      </c>
      <c r="C72" s="3" t="s">
        <v>279</v>
      </c>
      <c r="D72" s="3" t="s">
        <v>251</v>
      </c>
      <c r="E72" s="48">
        <v>5.0</v>
      </c>
      <c r="F72" s="136" t="s">
        <v>276</v>
      </c>
      <c r="G72" s="137">
        <v>13.1234562</v>
      </c>
      <c r="H72" s="137">
        <v>0.37799085</v>
      </c>
      <c r="I72" s="137">
        <v>5.34386888</v>
      </c>
      <c r="J72" s="120">
        <f t="shared" si="1"/>
        <v>34.71897851</v>
      </c>
      <c r="K72" s="121">
        <v>-0.255</v>
      </c>
      <c r="L72" s="121">
        <v>-0.515</v>
      </c>
      <c r="M72" s="122">
        <v>0.26</v>
      </c>
      <c r="N72" s="120">
        <v>33.6</v>
      </c>
      <c r="O72" s="120">
        <v>20.553341846153845</v>
      </c>
      <c r="P72" s="123">
        <v>10.311907829254743</v>
      </c>
      <c r="Q72" s="120">
        <v>1.2857142857142858</v>
      </c>
      <c r="R72" s="120">
        <v>0.5017144125</v>
      </c>
      <c r="S72" s="120">
        <v>159.00266666666667</v>
      </c>
      <c r="T72" s="124">
        <v>7.9</v>
      </c>
      <c r="U72" s="8">
        <f t="shared" si="2"/>
        <v>20.12691983</v>
      </c>
      <c r="AA72" s="15"/>
      <c r="AB72" s="15"/>
      <c r="AC72" s="15"/>
      <c r="AD72" s="15"/>
      <c r="AE72" s="15"/>
    </row>
    <row r="73" ht="14.25" customHeight="1">
      <c r="A73" s="134" t="s">
        <v>238</v>
      </c>
      <c r="B73" s="3" t="s">
        <v>278</v>
      </c>
      <c r="C73" s="3" t="s">
        <v>279</v>
      </c>
      <c r="D73" s="3" t="s">
        <v>251</v>
      </c>
      <c r="E73" s="48">
        <v>6.0</v>
      </c>
      <c r="F73" s="136" t="s">
        <v>276</v>
      </c>
      <c r="G73" s="137">
        <v>13.848559</v>
      </c>
      <c r="H73" s="137">
        <v>0.60784815</v>
      </c>
      <c r="I73" s="137">
        <v>10.8556976</v>
      </c>
      <c r="J73" s="120">
        <f t="shared" si="1"/>
        <v>22.78292531</v>
      </c>
      <c r="K73" s="121"/>
      <c r="L73" s="121">
        <v>-0.67</v>
      </c>
      <c r="M73" s="122"/>
      <c r="N73" s="120">
        <v>28.0</v>
      </c>
      <c r="O73" s="120">
        <v>25.24580837209302</v>
      </c>
      <c r="P73" s="123">
        <v>12.66618591549223</v>
      </c>
      <c r="Q73" s="120">
        <v>1.2857142857142858</v>
      </c>
      <c r="R73" s="120">
        <v>0.5017144125</v>
      </c>
      <c r="S73" s="120">
        <v>187.89135802469136</v>
      </c>
      <c r="T73" s="124">
        <v>21.6</v>
      </c>
      <c r="U73" s="8">
        <f t="shared" si="2"/>
        <v>8.698673983</v>
      </c>
      <c r="AA73" s="15"/>
      <c r="AB73" s="15"/>
      <c r="AC73" s="15"/>
      <c r="AD73" s="15"/>
      <c r="AE73" s="15"/>
    </row>
    <row r="74" ht="14.25" customHeight="1">
      <c r="A74" s="134" t="s">
        <v>238</v>
      </c>
      <c r="B74" s="3" t="s">
        <v>282</v>
      </c>
      <c r="C74" s="3" t="s">
        <v>287</v>
      </c>
      <c r="D74" s="135" t="s">
        <v>240</v>
      </c>
      <c r="E74" s="48">
        <v>1.0</v>
      </c>
      <c r="F74" s="136" t="s">
        <v>276</v>
      </c>
      <c r="G74" s="137">
        <v>24.2325729</v>
      </c>
      <c r="H74" s="137">
        <v>0.48061323</v>
      </c>
      <c r="I74" s="137">
        <v>9.73431781</v>
      </c>
      <c r="J74" s="120">
        <f t="shared" si="1"/>
        <v>50.42011203</v>
      </c>
      <c r="K74" s="121">
        <v>-0.27</v>
      </c>
      <c r="L74" s="121">
        <v>-0.612</v>
      </c>
      <c r="M74" s="122">
        <v>0.342</v>
      </c>
      <c r="N74" s="120">
        <v>48.1</v>
      </c>
      <c r="O74" s="120">
        <v>28.462917573099418</v>
      </c>
      <c r="P74" s="123">
        <v>14.270794538635737</v>
      </c>
      <c r="Q74" s="120">
        <v>1.1428571428571428</v>
      </c>
      <c r="R74" s="120">
        <v>0.5013820000000001</v>
      </c>
      <c r="S74" s="120">
        <v>71.62264150943396</v>
      </c>
      <c r="T74" s="124">
        <v>26.6</v>
      </c>
      <c r="U74" s="8">
        <f t="shared" si="2"/>
        <v>2.692580508</v>
      </c>
      <c r="AA74" s="15"/>
      <c r="AB74" s="15"/>
      <c r="AC74" s="15"/>
      <c r="AD74" s="15"/>
      <c r="AE74" s="15"/>
    </row>
    <row r="75" ht="14.25" customHeight="1">
      <c r="A75" s="134" t="s">
        <v>238</v>
      </c>
      <c r="B75" s="3" t="s">
        <v>282</v>
      </c>
      <c r="C75" s="3" t="s">
        <v>287</v>
      </c>
      <c r="D75" s="135" t="s">
        <v>240</v>
      </c>
      <c r="E75" s="48">
        <v>2.0</v>
      </c>
      <c r="F75" s="136" t="s">
        <v>276</v>
      </c>
      <c r="G75" s="137">
        <v>19.0198873</v>
      </c>
      <c r="H75" s="137">
        <v>0.51438313</v>
      </c>
      <c r="I75" s="137">
        <v>8.14010756</v>
      </c>
      <c r="J75" s="120">
        <f t="shared" si="1"/>
        <v>36.9761102</v>
      </c>
      <c r="K75" s="121"/>
      <c r="L75" s="121">
        <v>-0.84</v>
      </c>
      <c r="M75" s="122"/>
      <c r="N75" s="120">
        <v>39.5</v>
      </c>
      <c r="O75" s="120">
        <v>15.07427325925926</v>
      </c>
      <c r="P75" s="123">
        <v>7.989853233861009</v>
      </c>
      <c r="Q75" s="120">
        <v>1.1428571428571428</v>
      </c>
      <c r="R75" s="120">
        <v>0.5300324000000001</v>
      </c>
      <c r="S75" s="120">
        <v>92.038</v>
      </c>
      <c r="T75" s="124">
        <v>12.3</v>
      </c>
      <c r="U75" s="8">
        <f t="shared" si="2"/>
        <v>7.482764228</v>
      </c>
      <c r="AA75" s="15"/>
      <c r="AB75" s="15"/>
      <c r="AC75" s="15"/>
      <c r="AD75" s="15"/>
      <c r="AE75" s="15"/>
    </row>
    <row r="76" ht="14.25" customHeight="1">
      <c r="A76" s="134" t="s">
        <v>238</v>
      </c>
      <c r="B76" s="3" t="s">
        <v>282</v>
      </c>
      <c r="C76" s="3" t="s">
        <v>287</v>
      </c>
      <c r="D76" s="135" t="s">
        <v>240</v>
      </c>
      <c r="E76" s="48">
        <v>3.0</v>
      </c>
      <c r="F76" s="136" t="s">
        <v>276</v>
      </c>
      <c r="G76" s="137">
        <v>10.1118585</v>
      </c>
      <c r="H76" s="137">
        <v>0.20981383</v>
      </c>
      <c r="I76" s="137">
        <v>5.56047751</v>
      </c>
      <c r="J76" s="120">
        <f t="shared" si="1"/>
        <v>48.19443265</v>
      </c>
      <c r="K76" s="121">
        <v>-0.34</v>
      </c>
      <c r="L76" s="121">
        <v>-0.568</v>
      </c>
      <c r="M76" s="122">
        <v>0.228</v>
      </c>
      <c r="N76" s="120">
        <v>43.9</v>
      </c>
      <c r="O76" s="120">
        <v>24.388059254385972</v>
      </c>
      <c r="P76" s="123">
        <v>14.673280710099059</v>
      </c>
      <c r="Q76" s="120">
        <v>1.1428571428571428</v>
      </c>
      <c r="R76" s="120">
        <v>0.6016584</v>
      </c>
      <c r="S76" s="120">
        <v>137.30232558139534</v>
      </c>
      <c r="T76" s="124">
        <v>8.3</v>
      </c>
      <c r="U76" s="8">
        <f t="shared" si="2"/>
        <v>16.54244887</v>
      </c>
      <c r="AA76" s="15"/>
      <c r="AB76" s="15"/>
      <c r="AC76" s="15"/>
      <c r="AD76" s="15"/>
      <c r="AE76" s="15"/>
    </row>
    <row r="77" ht="14.25" customHeight="1">
      <c r="A77" s="134" t="s">
        <v>238</v>
      </c>
      <c r="B77" s="3" t="s">
        <v>282</v>
      </c>
      <c r="C77" s="3" t="s">
        <v>287</v>
      </c>
      <c r="D77" s="135" t="s">
        <v>240</v>
      </c>
      <c r="E77" s="48">
        <v>4.0</v>
      </c>
      <c r="F77" s="136" t="s">
        <v>276</v>
      </c>
      <c r="G77" s="137">
        <v>10.7714662</v>
      </c>
      <c r="H77" s="137">
        <v>0.34798964</v>
      </c>
      <c r="I77" s="137">
        <v>7.43175808</v>
      </c>
      <c r="J77" s="120">
        <f t="shared" si="1"/>
        <v>30.95341057</v>
      </c>
      <c r="K77" s="121"/>
      <c r="L77" s="121">
        <v>-0.751</v>
      </c>
      <c r="M77" s="122"/>
      <c r="N77" s="120">
        <v>49.3</v>
      </c>
      <c r="O77" s="120">
        <v>16.47839929046563</v>
      </c>
      <c r="P77" s="123">
        <v>9.442254620631129</v>
      </c>
      <c r="Q77" s="120">
        <v>1.2857142857142858</v>
      </c>
      <c r="R77" s="120">
        <v>0.573008</v>
      </c>
      <c r="S77" s="120">
        <v>158.1985294117647</v>
      </c>
      <c r="T77" s="124">
        <v>34.8</v>
      </c>
      <c r="U77" s="8">
        <f t="shared" si="2"/>
        <v>4.545934753</v>
      </c>
      <c r="AA77" s="15"/>
      <c r="AB77" s="15"/>
      <c r="AC77" s="15"/>
      <c r="AD77" s="15"/>
      <c r="AE77" s="15"/>
    </row>
    <row r="78" ht="14.25" customHeight="1">
      <c r="A78" s="134" t="s">
        <v>238</v>
      </c>
      <c r="B78" s="3" t="s">
        <v>282</v>
      </c>
      <c r="C78" s="3" t="s">
        <v>287</v>
      </c>
      <c r="D78" s="135" t="s">
        <v>240</v>
      </c>
      <c r="E78" s="48">
        <v>5.0</v>
      </c>
      <c r="F78" s="136" t="s">
        <v>276</v>
      </c>
      <c r="G78" s="137">
        <v>12.3213856</v>
      </c>
      <c r="H78" s="137">
        <v>0.24363735</v>
      </c>
      <c r="I78" s="137">
        <v>3.89151767</v>
      </c>
      <c r="J78" s="120">
        <f t="shared" si="1"/>
        <v>50.5726466</v>
      </c>
      <c r="K78" s="121">
        <v>-0.278</v>
      </c>
      <c r="L78" s="121">
        <v>-0.769</v>
      </c>
      <c r="M78" s="122">
        <v>0.491</v>
      </c>
      <c r="N78" s="120">
        <v>37.3</v>
      </c>
      <c r="O78" s="120">
        <v>7.9256979022403256</v>
      </c>
      <c r="P78" s="123">
        <v>4.314413888388578</v>
      </c>
      <c r="Q78" s="120">
        <v>1.0</v>
      </c>
      <c r="R78" s="120">
        <v>0.5443576</v>
      </c>
      <c r="S78" s="120">
        <v>127.33636363636363</v>
      </c>
      <c r="T78" s="124">
        <v>4.7</v>
      </c>
      <c r="U78" s="8">
        <f t="shared" si="2"/>
        <v>27.09284333</v>
      </c>
      <c r="AA78" s="15"/>
      <c r="AB78" s="15"/>
      <c r="AC78" s="15"/>
      <c r="AD78" s="15"/>
      <c r="AE78" s="15"/>
    </row>
    <row r="79" ht="14.25" customHeight="1">
      <c r="A79" s="134" t="s">
        <v>238</v>
      </c>
      <c r="B79" s="3" t="s">
        <v>282</v>
      </c>
      <c r="C79" s="3" t="s">
        <v>287</v>
      </c>
      <c r="D79" s="135" t="s">
        <v>240</v>
      </c>
      <c r="E79" s="48">
        <v>6.0</v>
      </c>
      <c r="F79" s="136" t="s">
        <v>276</v>
      </c>
      <c r="G79" s="137">
        <v>11.5842395</v>
      </c>
      <c r="H79" s="137">
        <v>0.28396755</v>
      </c>
      <c r="I79" s="137">
        <v>6.98610135</v>
      </c>
      <c r="J79" s="120">
        <f t="shared" si="1"/>
        <v>40.79423688</v>
      </c>
      <c r="K79" s="121"/>
      <c r="L79" s="121">
        <v>-0.691</v>
      </c>
      <c r="M79" s="122"/>
      <c r="N79" s="120">
        <v>43.1</v>
      </c>
      <c r="O79" s="120">
        <v>17.867266879795398</v>
      </c>
      <c r="P79" s="123">
        <v>12.029752060802917</v>
      </c>
      <c r="Q79" s="120">
        <v>1.1428571428571428</v>
      </c>
      <c r="R79" s="120">
        <v>0.6732844</v>
      </c>
      <c r="S79" s="120">
        <v>137.16491228070174</v>
      </c>
      <c r="T79" s="124">
        <v>9.4</v>
      </c>
      <c r="U79" s="8">
        <f t="shared" si="2"/>
        <v>14.59201194</v>
      </c>
      <c r="AA79" s="15"/>
      <c r="AB79" s="15"/>
      <c r="AC79" s="15"/>
      <c r="AD79" s="15"/>
      <c r="AE79" s="15"/>
    </row>
    <row r="80" ht="14.25" customHeight="1">
      <c r="A80" s="134" t="s">
        <v>238</v>
      </c>
      <c r="B80" s="3" t="s">
        <v>282</v>
      </c>
      <c r="C80" s="3" t="s">
        <v>287</v>
      </c>
      <c r="D80" s="3" t="s">
        <v>251</v>
      </c>
      <c r="E80" s="48">
        <v>1.0</v>
      </c>
      <c r="F80" s="136" t="s">
        <v>276</v>
      </c>
      <c r="G80" s="137">
        <v>17.6475697</v>
      </c>
      <c r="H80" s="137">
        <v>0.29651127</v>
      </c>
      <c r="I80" s="137">
        <v>7.26186716</v>
      </c>
      <c r="J80" s="120">
        <f t="shared" si="1"/>
        <v>59.51736573</v>
      </c>
      <c r="K80" s="121">
        <v>-0.193</v>
      </c>
      <c r="L80" s="121">
        <v>-0.594</v>
      </c>
      <c r="M80" s="122">
        <v>0.401</v>
      </c>
      <c r="N80" s="120">
        <v>42.2</v>
      </c>
      <c r="O80" s="120">
        <v>18.10939441396509</v>
      </c>
      <c r="P80" s="123">
        <v>5.9201765357187135</v>
      </c>
      <c r="Q80" s="120">
        <v>1.0</v>
      </c>
      <c r="R80" s="120">
        <v>0.3269119</v>
      </c>
      <c r="S80" s="120">
        <v>176.68032786885246</v>
      </c>
      <c r="T80" s="124">
        <v>41.9</v>
      </c>
      <c r="U80" s="8">
        <f t="shared" si="2"/>
        <v>4.216714269</v>
      </c>
      <c r="AA80" s="15"/>
      <c r="AB80" s="15"/>
      <c r="AC80" s="15"/>
      <c r="AD80" s="15"/>
      <c r="AE80" s="15"/>
    </row>
    <row r="81" ht="14.25" customHeight="1">
      <c r="A81" s="134" t="s">
        <v>238</v>
      </c>
      <c r="B81" s="3" t="s">
        <v>282</v>
      </c>
      <c r="C81" s="3" t="s">
        <v>287</v>
      </c>
      <c r="D81" s="3" t="s">
        <v>251</v>
      </c>
      <c r="E81" s="48">
        <v>2.0</v>
      </c>
      <c r="F81" s="136" t="s">
        <v>276</v>
      </c>
      <c r="G81" s="137">
        <v>14.6605947</v>
      </c>
      <c r="H81" s="137">
        <v>0.44453656</v>
      </c>
      <c r="I81" s="137">
        <v>7.76360411</v>
      </c>
      <c r="J81" s="120">
        <f t="shared" si="1"/>
        <v>32.97950274</v>
      </c>
      <c r="K81" s="121"/>
      <c r="L81" s="121">
        <v>-0.9</v>
      </c>
      <c r="M81" s="122"/>
      <c r="N81" s="120">
        <v>35.2</v>
      </c>
      <c r="O81" s="120">
        <v>11.090863014285715</v>
      </c>
      <c r="P81" s="123">
        <v>4.5321688757998375</v>
      </c>
      <c r="Q81" s="120">
        <v>1.1428571428571428</v>
      </c>
      <c r="R81" s="120">
        <v>0.40863987499999993</v>
      </c>
      <c r="S81" s="120">
        <v>111.78</v>
      </c>
      <c r="T81" s="124">
        <v>27.8</v>
      </c>
      <c r="U81" s="8">
        <f t="shared" si="2"/>
        <v>4.020863309</v>
      </c>
      <c r="AA81" s="15"/>
      <c r="AB81" s="15"/>
      <c r="AC81" s="15"/>
      <c r="AD81" s="15"/>
      <c r="AE81" s="15"/>
    </row>
    <row r="82" ht="14.25" customHeight="1">
      <c r="A82" s="134" t="s">
        <v>238</v>
      </c>
      <c r="B82" s="3" t="s">
        <v>282</v>
      </c>
      <c r="C82" s="3" t="s">
        <v>287</v>
      </c>
      <c r="D82" s="3" t="s">
        <v>251</v>
      </c>
      <c r="E82" s="48">
        <v>3.0</v>
      </c>
      <c r="F82" s="136" t="s">
        <v>276</v>
      </c>
      <c r="G82" s="137">
        <v>12.2080304</v>
      </c>
      <c r="H82" s="137">
        <v>0.31629303</v>
      </c>
      <c r="I82" s="137">
        <v>6.68593119</v>
      </c>
      <c r="J82" s="120">
        <f t="shared" si="1"/>
        <v>38.59721601</v>
      </c>
      <c r="K82" s="121">
        <v>-0.196</v>
      </c>
      <c r="L82" s="121">
        <v>-0.587</v>
      </c>
      <c r="M82" s="122">
        <v>0.391</v>
      </c>
      <c r="N82" s="120">
        <v>34.9</v>
      </c>
      <c r="O82" s="120">
        <v>17.099568260869567</v>
      </c>
      <c r="P82" s="123">
        <v>9.582946884583825</v>
      </c>
      <c r="Q82" s="120">
        <v>1.2857142857142858</v>
      </c>
      <c r="R82" s="120">
        <v>0.5604203999999999</v>
      </c>
      <c r="S82" s="120">
        <v>163.93333333333334</v>
      </c>
      <c r="T82" s="124">
        <v>28.9</v>
      </c>
      <c r="U82" s="8">
        <f t="shared" si="2"/>
        <v>5.672433679</v>
      </c>
      <c r="AA82" s="15"/>
      <c r="AB82" s="15"/>
      <c r="AC82" s="15"/>
      <c r="AD82" s="15"/>
      <c r="AE82" s="15"/>
    </row>
    <row r="83" ht="14.25" customHeight="1">
      <c r="A83" s="134" t="s">
        <v>238</v>
      </c>
      <c r="B83" s="3" t="s">
        <v>282</v>
      </c>
      <c r="C83" s="3" t="s">
        <v>287</v>
      </c>
      <c r="D83" s="3" t="s">
        <v>251</v>
      </c>
      <c r="E83" s="48">
        <v>4.0</v>
      </c>
      <c r="F83" s="136" t="s">
        <v>276</v>
      </c>
      <c r="G83" s="137">
        <v>12.2960418</v>
      </c>
      <c r="H83" s="137">
        <v>0.34626629</v>
      </c>
      <c r="I83" s="137">
        <v>7.21174427</v>
      </c>
      <c r="J83" s="120">
        <f t="shared" si="1"/>
        <v>35.51036343</v>
      </c>
      <c r="K83" s="121"/>
      <c r="L83" s="121">
        <v>-0.65</v>
      </c>
      <c r="M83" s="122"/>
      <c r="N83" s="120">
        <v>36.9</v>
      </c>
      <c r="O83" s="120">
        <v>16.026098377777778</v>
      </c>
      <c r="P83" s="123">
        <v>8.045794915051742</v>
      </c>
      <c r="Q83" s="120">
        <v>1.1428571428571428</v>
      </c>
      <c r="R83" s="120">
        <v>0.5020432749999999</v>
      </c>
      <c r="S83" s="120">
        <v>105.80000000000001</v>
      </c>
      <c r="T83" s="124">
        <v>8.6</v>
      </c>
      <c r="U83" s="8">
        <f t="shared" si="2"/>
        <v>12.30232558</v>
      </c>
      <c r="AA83" s="15"/>
      <c r="AB83" s="15"/>
      <c r="AC83" s="15"/>
      <c r="AD83" s="15"/>
      <c r="AE83" s="15"/>
    </row>
    <row r="84" ht="14.25" customHeight="1">
      <c r="A84" s="134" t="s">
        <v>238</v>
      </c>
      <c r="B84" s="3" t="s">
        <v>282</v>
      </c>
      <c r="C84" s="3" t="s">
        <v>287</v>
      </c>
      <c r="D84" s="3" t="s">
        <v>251</v>
      </c>
      <c r="E84" s="48">
        <v>5.0</v>
      </c>
      <c r="F84" s="136" t="s">
        <v>276</v>
      </c>
      <c r="G84" s="137">
        <v>14.8689889</v>
      </c>
      <c r="H84" s="137">
        <v>0.36001767</v>
      </c>
      <c r="I84" s="137">
        <v>5.05399859</v>
      </c>
      <c r="J84" s="120">
        <f t="shared" si="1"/>
        <v>41.30071977</v>
      </c>
      <c r="K84" s="121">
        <v>-0.204</v>
      </c>
      <c r="L84" s="121">
        <v>-0.625</v>
      </c>
      <c r="M84" s="122">
        <v>0.421</v>
      </c>
      <c r="N84" s="120">
        <v>36.4</v>
      </c>
      <c r="O84" s="120">
        <v>12.004747244655581</v>
      </c>
      <c r="P84" s="123">
        <v>6.026902622254113</v>
      </c>
      <c r="Q84" s="120">
        <v>1.1428571428571428</v>
      </c>
      <c r="R84" s="120">
        <v>0.5020432749999999</v>
      </c>
      <c r="S84" s="120">
        <v>218.13970588235293</v>
      </c>
      <c r="T84" s="124">
        <v>19.8</v>
      </c>
      <c r="U84" s="8">
        <f t="shared" si="2"/>
        <v>11.01715686</v>
      </c>
      <c r="AA84" s="15"/>
      <c r="AB84" s="15"/>
      <c r="AC84" s="15"/>
      <c r="AD84" s="15"/>
      <c r="AE84" s="15"/>
    </row>
    <row r="85" ht="14.25" customHeight="1">
      <c r="A85" s="134" t="s">
        <v>238</v>
      </c>
      <c r="B85" s="3" t="s">
        <v>282</v>
      </c>
      <c r="C85" s="3" t="s">
        <v>287</v>
      </c>
      <c r="D85" s="3" t="s">
        <v>251</v>
      </c>
      <c r="E85" s="48">
        <v>6.0</v>
      </c>
      <c r="F85" s="136" t="s">
        <v>276</v>
      </c>
      <c r="G85" s="137">
        <v>10.9453664</v>
      </c>
      <c r="H85" s="137">
        <v>0.47185157</v>
      </c>
      <c r="I85" s="137">
        <v>9.04058944</v>
      </c>
      <c r="J85" s="120">
        <f t="shared" si="1"/>
        <v>23.19663025</v>
      </c>
      <c r="K85" s="121"/>
      <c r="L85" s="121">
        <v>-0.792</v>
      </c>
      <c r="M85" s="122"/>
      <c r="N85" s="120">
        <v>33.5</v>
      </c>
      <c r="O85" s="120">
        <v>15.271265945945943</v>
      </c>
      <c r="P85" s="123">
        <v>8.20173192951951</v>
      </c>
      <c r="Q85" s="120">
        <v>1.2857142857142858</v>
      </c>
      <c r="R85" s="120">
        <v>0.5370695499999999</v>
      </c>
      <c r="S85" s="120">
        <v>203.36249999999998</v>
      </c>
      <c r="T85" s="124">
        <v>41.3</v>
      </c>
      <c r="U85" s="8">
        <f t="shared" si="2"/>
        <v>4.924031477</v>
      </c>
      <c r="AA85" s="15"/>
      <c r="AB85" s="15"/>
      <c r="AC85" s="15"/>
      <c r="AD85" s="15"/>
      <c r="AE85" s="15"/>
    </row>
    <row r="86" ht="14.25" customHeight="1">
      <c r="A86" s="134" t="s">
        <v>249</v>
      </c>
      <c r="B86" s="3" t="s">
        <v>282</v>
      </c>
      <c r="C86" s="3" t="s">
        <v>284</v>
      </c>
      <c r="D86" s="135" t="s">
        <v>240</v>
      </c>
      <c r="E86" s="48">
        <v>1.0</v>
      </c>
      <c r="F86" s="136" t="s">
        <v>276</v>
      </c>
      <c r="G86" s="137">
        <v>18.4478849</v>
      </c>
      <c r="H86" s="137">
        <v>0.31890489</v>
      </c>
      <c r="I86" s="137">
        <v>7.53742028</v>
      </c>
      <c r="J86" s="120">
        <f t="shared" si="1"/>
        <v>57.84760748</v>
      </c>
      <c r="K86" s="121">
        <v>-0.24</v>
      </c>
      <c r="L86" s="121">
        <v>-0.716</v>
      </c>
      <c r="M86" s="122">
        <v>0.476</v>
      </c>
      <c r="N86" s="120">
        <v>41.7</v>
      </c>
      <c r="O86" s="120">
        <v>15.83491655462185</v>
      </c>
      <c r="P86" s="123">
        <v>9.073533865130756</v>
      </c>
      <c r="Q86" s="120">
        <v>0.8571428571428571</v>
      </c>
      <c r="R86" s="120">
        <v>0.573008</v>
      </c>
      <c r="S86" s="120">
        <v>56.08636363636364</v>
      </c>
      <c r="T86" s="124">
        <v>3.9</v>
      </c>
      <c r="U86" s="8">
        <f t="shared" si="2"/>
        <v>14.38111888</v>
      </c>
      <c r="AA86" s="15"/>
      <c r="AB86" s="15"/>
      <c r="AC86" s="15"/>
      <c r="AD86" s="15"/>
      <c r="AE86" s="15"/>
    </row>
    <row r="87" ht="14.25" customHeight="1">
      <c r="A87" s="134" t="s">
        <v>249</v>
      </c>
      <c r="B87" s="3" t="s">
        <v>282</v>
      </c>
      <c r="C87" s="3" t="s">
        <v>284</v>
      </c>
      <c r="D87" s="135" t="s">
        <v>240</v>
      </c>
      <c r="E87" s="48">
        <v>2.0</v>
      </c>
      <c r="F87" s="136" t="s">
        <v>276</v>
      </c>
      <c r="G87" s="137">
        <v>21.3703903</v>
      </c>
      <c r="H87" s="137">
        <v>0.65770845</v>
      </c>
      <c r="I87" s="137">
        <v>9.12990855</v>
      </c>
      <c r="J87" s="120">
        <f t="shared" si="1"/>
        <v>32.49219362</v>
      </c>
      <c r="K87" s="121"/>
      <c r="L87" s="121">
        <v>-0.88</v>
      </c>
      <c r="M87" s="122"/>
      <c r="N87" s="120">
        <v>49.5</v>
      </c>
      <c r="O87" s="120">
        <v>15.21651425</v>
      </c>
      <c r="P87" s="123">
        <v>8.5012047874299</v>
      </c>
      <c r="Q87" s="120">
        <v>0.8571428571428571</v>
      </c>
      <c r="R87" s="120">
        <v>0.5586828</v>
      </c>
      <c r="S87" s="120">
        <v>61.05576923076923</v>
      </c>
      <c r="T87" s="124">
        <v>6.4</v>
      </c>
      <c r="U87" s="8">
        <f t="shared" si="2"/>
        <v>9.539963942</v>
      </c>
      <c r="AA87" s="15"/>
      <c r="AB87" s="15"/>
      <c r="AC87" s="15"/>
      <c r="AD87" s="15"/>
      <c r="AE87" s="15"/>
    </row>
    <row r="88" ht="14.25" customHeight="1">
      <c r="A88" s="134" t="s">
        <v>249</v>
      </c>
      <c r="B88" s="3" t="s">
        <v>282</v>
      </c>
      <c r="C88" s="3" t="s">
        <v>284</v>
      </c>
      <c r="D88" s="135" t="s">
        <v>240</v>
      </c>
      <c r="E88" s="48">
        <v>3.0</v>
      </c>
      <c r="F88" s="136" t="s">
        <v>276</v>
      </c>
      <c r="G88" s="137">
        <v>12.0070379</v>
      </c>
      <c r="H88" s="137">
        <v>0.24248146</v>
      </c>
      <c r="I88" s="137">
        <v>4.79112582</v>
      </c>
      <c r="J88" s="120">
        <f t="shared" si="1"/>
        <v>49.51734413</v>
      </c>
      <c r="K88" s="121">
        <v>-0.275</v>
      </c>
      <c r="L88" s="121">
        <v>-0.614</v>
      </c>
      <c r="M88" s="122">
        <v>0.339</v>
      </c>
      <c r="N88" s="120">
        <v>44.9</v>
      </c>
      <c r="O88" s="120">
        <v>14.13311451327434</v>
      </c>
      <c r="P88" s="123">
        <v>8.908226449124534</v>
      </c>
      <c r="Q88" s="120">
        <v>1.1428571428571428</v>
      </c>
      <c r="R88" s="120">
        <v>0.6303088000000001</v>
      </c>
      <c r="S88" s="120">
        <v>99.32075471698111</v>
      </c>
      <c r="T88" s="124">
        <v>7.2</v>
      </c>
      <c r="U88" s="8">
        <f t="shared" si="2"/>
        <v>13.79454927</v>
      </c>
      <c r="AA88" s="15"/>
      <c r="AB88" s="15"/>
      <c r="AC88" s="15"/>
      <c r="AD88" s="15"/>
      <c r="AE88" s="15"/>
    </row>
    <row r="89" ht="14.25" customHeight="1">
      <c r="A89" s="134" t="s">
        <v>249</v>
      </c>
      <c r="B89" s="3" t="s">
        <v>282</v>
      </c>
      <c r="C89" s="3" t="s">
        <v>284</v>
      </c>
      <c r="D89" s="135" t="s">
        <v>240</v>
      </c>
      <c r="E89" s="48">
        <v>4.0</v>
      </c>
      <c r="F89" s="136" t="s">
        <v>276</v>
      </c>
      <c r="G89" s="137">
        <v>12.2690054</v>
      </c>
      <c r="H89" s="137">
        <v>0.29107796</v>
      </c>
      <c r="I89" s="137">
        <v>6.1905401</v>
      </c>
      <c r="J89" s="120">
        <f t="shared" si="1"/>
        <v>42.15023838</v>
      </c>
      <c r="K89" s="121"/>
      <c r="L89" s="121">
        <v>-0.835</v>
      </c>
      <c r="M89" s="122"/>
      <c r="N89" s="120">
        <v>41.7</v>
      </c>
      <c r="O89" s="120">
        <v>11.154126306306306</v>
      </c>
      <c r="P89" s="123">
        <v>6.551188696687063</v>
      </c>
      <c r="Q89" s="120">
        <v>1.1428571428571428</v>
      </c>
      <c r="R89" s="120">
        <v>0.5873332</v>
      </c>
      <c r="S89" s="120">
        <v>186.4627659574468</v>
      </c>
      <c r="T89" s="124">
        <v>10.6</v>
      </c>
      <c r="U89" s="8">
        <f t="shared" si="2"/>
        <v>17.59082698</v>
      </c>
      <c r="AA89" s="15"/>
      <c r="AB89" s="15"/>
      <c r="AC89" s="15"/>
      <c r="AD89" s="15"/>
      <c r="AE89" s="15"/>
    </row>
    <row r="90" ht="14.25" customHeight="1">
      <c r="A90" s="134" t="s">
        <v>249</v>
      </c>
      <c r="B90" s="3" t="s">
        <v>282</v>
      </c>
      <c r="C90" s="3" t="s">
        <v>284</v>
      </c>
      <c r="D90" s="135" t="s">
        <v>240</v>
      </c>
      <c r="E90" s="48">
        <v>5.0</v>
      </c>
      <c r="F90" s="136" t="s">
        <v>276</v>
      </c>
      <c r="G90" s="137">
        <v>18.9402145</v>
      </c>
      <c r="H90" s="137">
        <v>0.45749457</v>
      </c>
      <c r="I90" s="137">
        <v>5.8332366</v>
      </c>
      <c r="J90" s="120">
        <f t="shared" si="1"/>
        <v>41.39986733</v>
      </c>
      <c r="K90" s="121">
        <v>-0.321</v>
      </c>
      <c r="L90" s="121">
        <v>-0.755</v>
      </c>
      <c r="M90" s="122">
        <v>0.434</v>
      </c>
      <c r="N90" s="120">
        <v>31.2</v>
      </c>
      <c r="O90" s="120">
        <v>13.440637327188941</v>
      </c>
      <c r="P90" s="123">
        <v>9.04937143845401</v>
      </c>
      <c r="Q90" s="120">
        <v>1.2857142857142858</v>
      </c>
      <c r="R90" s="120">
        <v>0.6732844</v>
      </c>
      <c r="S90" s="120">
        <v>116.2019230769231</v>
      </c>
      <c r="T90" s="124">
        <v>8.1</v>
      </c>
      <c r="U90" s="8">
        <f t="shared" si="2"/>
        <v>14.34591643</v>
      </c>
      <c r="AA90" s="15"/>
      <c r="AB90" s="15"/>
      <c r="AC90" s="15"/>
      <c r="AD90" s="15"/>
      <c r="AE90" s="15"/>
    </row>
    <row r="91" ht="14.25" customHeight="1">
      <c r="A91" s="134" t="s">
        <v>249</v>
      </c>
      <c r="B91" s="3" t="s">
        <v>282</v>
      </c>
      <c r="C91" s="3" t="s">
        <v>284</v>
      </c>
      <c r="D91" s="135" t="s">
        <v>240</v>
      </c>
      <c r="E91" s="48">
        <v>6.0</v>
      </c>
      <c r="F91" s="136" t="s">
        <v>276</v>
      </c>
      <c r="G91" s="137">
        <v>15.5959679</v>
      </c>
      <c r="H91" s="137">
        <v>0.49510186</v>
      </c>
      <c r="I91" s="137">
        <v>9.54235094</v>
      </c>
      <c r="J91" s="120">
        <f t="shared" si="1"/>
        <v>31.50052375</v>
      </c>
      <c r="K91" s="121"/>
      <c r="L91" s="121">
        <v>-0.672</v>
      </c>
      <c r="M91" s="122"/>
      <c r="N91" s="120">
        <v>40.8</v>
      </c>
      <c r="O91" s="120">
        <v>24.34273198979592</v>
      </c>
      <c r="P91" s="123">
        <v>14.646009180609429</v>
      </c>
      <c r="Q91" s="120">
        <v>1.1428571428571428</v>
      </c>
      <c r="R91" s="120">
        <v>0.6016584</v>
      </c>
      <c r="S91" s="120">
        <v>70.26101694915255</v>
      </c>
      <c r="T91" s="124">
        <v>8.3</v>
      </c>
      <c r="U91" s="8">
        <f t="shared" si="2"/>
        <v>8.465182765</v>
      </c>
      <c r="AA91" s="15"/>
      <c r="AB91" s="15"/>
      <c r="AC91" s="15"/>
      <c r="AD91" s="15"/>
      <c r="AE91" s="15"/>
    </row>
    <row r="92" ht="14.25" customHeight="1">
      <c r="A92" s="134" t="s">
        <v>244</v>
      </c>
      <c r="B92" s="3" t="s">
        <v>278</v>
      </c>
      <c r="C92" s="3" t="s">
        <v>280</v>
      </c>
      <c r="D92" s="3" t="s">
        <v>251</v>
      </c>
      <c r="E92" s="48">
        <v>1.0</v>
      </c>
      <c r="F92" s="136" t="s">
        <v>276</v>
      </c>
      <c r="G92" s="137">
        <v>22.0314786</v>
      </c>
      <c r="H92" s="137">
        <v>0.46723691</v>
      </c>
      <c r="I92" s="137">
        <v>8.15135222</v>
      </c>
      <c r="J92" s="120">
        <f t="shared" si="1"/>
        <v>47.15269305</v>
      </c>
      <c r="K92" s="121">
        <v>-0.18</v>
      </c>
      <c r="L92" s="121">
        <v>-0.587</v>
      </c>
      <c r="M92" s="122">
        <v>0.407</v>
      </c>
      <c r="N92" s="120">
        <v>39.6</v>
      </c>
      <c r="O92" s="120">
        <v>20.027892432432434</v>
      </c>
      <c r="P92" s="123">
        <v>7.655834122172218</v>
      </c>
      <c r="Q92" s="120">
        <v>1.0</v>
      </c>
      <c r="R92" s="120">
        <v>0.38225860000000006</v>
      </c>
      <c r="S92" s="120">
        <v>113.8</v>
      </c>
      <c r="T92" s="124">
        <v>1.1</v>
      </c>
      <c r="U92" s="8">
        <f t="shared" si="2"/>
        <v>103.4545455</v>
      </c>
      <c r="AA92" s="15"/>
      <c r="AB92" s="15"/>
      <c r="AC92" s="15"/>
      <c r="AD92" s="15"/>
      <c r="AE92" s="15"/>
    </row>
    <row r="93" ht="14.25" customHeight="1">
      <c r="A93" s="134" t="s">
        <v>244</v>
      </c>
      <c r="B93" s="3" t="s">
        <v>278</v>
      </c>
      <c r="C93" s="3" t="s">
        <v>280</v>
      </c>
      <c r="D93" s="3" t="s">
        <v>251</v>
      </c>
      <c r="E93" s="48">
        <v>2.0</v>
      </c>
      <c r="F93" s="136" t="s">
        <v>276</v>
      </c>
      <c r="G93" s="137">
        <v>19.2308371</v>
      </c>
      <c r="H93" s="137">
        <v>0.64399367</v>
      </c>
      <c r="I93" s="137">
        <v>9.5839906</v>
      </c>
      <c r="J93" s="120">
        <f t="shared" si="1"/>
        <v>29.86184181</v>
      </c>
      <c r="K93" s="121"/>
      <c r="L93" s="121">
        <v>-0.764</v>
      </c>
      <c r="M93" s="122"/>
      <c r="N93" s="120">
        <v>40.9</v>
      </c>
      <c r="O93" s="120">
        <v>19.40079068825911</v>
      </c>
      <c r="P93" s="123">
        <v>9.038395137752865</v>
      </c>
      <c r="Q93" s="120">
        <v>1.0</v>
      </c>
      <c r="R93" s="120">
        <v>0.4658776687500001</v>
      </c>
      <c r="S93" s="120">
        <v>207.7951807228916</v>
      </c>
      <c r="T93" s="124">
        <v>25.9</v>
      </c>
      <c r="U93" s="8">
        <f t="shared" si="2"/>
        <v>8.022979951</v>
      </c>
      <c r="AA93" s="15"/>
      <c r="AB93" s="15"/>
      <c r="AC93" s="15"/>
      <c r="AD93" s="15"/>
      <c r="AE93" s="15"/>
    </row>
    <row r="94" ht="14.25" customHeight="1">
      <c r="A94" s="134" t="s">
        <v>244</v>
      </c>
      <c r="B94" s="3" t="s">
        <v>278</v>
      </c>
      <c r="C94" s="3" t="s">
        <v>280</v>
      </c>
      <c r="D94" s="3" t="s">
        <v>251</v>
      </c>
      <c r="E94" s="48">
        <v>3.0</v>
      </c>
      <c r="F94" s="136" t="s">
        <v>276</v>
      </c>
      <c r="G94" s="137">
        <v>14.4132886</v>
      </c>
      <c r="H94" s="137">
        <v>0.46615515</v>
      </c>
      <c r="I94" s="137">
        <v>8.51565566</v>
      </c>
      <c r="J94" s="120">
        <f t="shared" si="1"/>
        <v>30.91950952</v>
      </c>
      <c r="K94" s="121">
        <v>-0.297</v>
      </c>
      <c r="L94" s="121">
        <v>-0.62</v>
      </c>
      <c r="M94" s="122">
        <v>0.323</v>
      </c>
      <c r="N94" s="120">
        <v>43.7</v>
      </c>
      <c r="O94" s="120">
        <v>26.364259009287924</v>
      </c>
      <c r="P94" s="123">
        <v>13.542265117934221</v>
      </c>
      <c r="Q94" s="120">
        <v>1.0</v>
      </c>
      <c r="R94" s="120">
        <v>0.5136599937500002</v>
      </c>
      <c r="S94" s="120">
        <v>129.84057971014494</v>
      </c>
      <c r="T94" s="124">
        <v>20.2</v>
      </c>
      <c r="U94" s="8">
        <f t="shared" si="2"/>
        <v>6.427751471</v>
      </c>
      <c r="AA94" s="15"/>
      <c r="AB94" s="15"/>
      <c r="AC94" s="15"/>
      <c r="AD94" s="15"/>
      <c r="AE94" s="15"/>
    </row>
    <row r="95" ht="14.25" customHeight="1">
      <c r="A95" s="134" t="s">
        <v>244</v>
      </c>
      <c r="B95" s="3" t="s">
        <v>278</v>
      </c>
      <c r="C95" s="3" t="s">
        <v>280</v>
      </c>
      <c r="D95" s="3" t="s">
        <v>251</v>
      </c>
      <c r="E95" s="48">
        <v>4.0</v>
      </c>
      <c r="F95" s="136" t="s">
        <v>276</v>
      </c>
      <c r="G95" s="137">
        <v>17.9173309</v>
      </c>
      <c r="H95" s="137">
        <v>0.51631674</v>
      </c>
      <c r="I95" s="137">
        <v>9.32150669</v>
      </c>
      <c r="J95" s="120">
        <f t="shared" si="1"/>
        <v>34.70220799</v>
      </c>
      <c r="K95" s="121"/>
      <c r="L95" s="121">
        <v>-0.752</v>
      </c>
      <c r="M95" s="122"/>
      <c r="N95" s="120">
        <v>36.3</v>
      </c>
      <c r="O95" s="120">
        <v>19.339225497925312</v>
      </c>
      <c r="P95" s="123">
        <v>8.778695000906465</v>
      </c>
      <c r="Q95" s="120">
        <v>1.1428571428571428</v>
      </c>
      <c r="R95" s="120">
        <v>0.45393208750000014</v>
      </c>
      <c r="S95" s="120">
        <v>121.31864406779661</v>
      </c>
      <c r="T95" s="124">
        <v>22.6</v>
      </c>
      <c r="U95" s="8">
        <f t="shared" si="2"/>
        <v>5.368081596</v>
      </c>
      <c r="AA95" s="15"/>
      <c r="AB95" s="15"/>
      <c r="AC95" s="15"/>
      <c r="AD95" s="15"/>
      <c r="AE95" s="15"/>
    </row>
    <row r="96" ht="14.25" customHeight="1">
      <c r="A96" s="134" t="s">
        <v>244</v>
      </c>
      <c r="B96" s="3" t="s">
        <v>278</v>
      </c>
      <c r="C96" s="3" t="s">
        <v>280</v>
      </c>
      <c r="D96" s="3" t="s">
        <v>251</v>
      </c>
      <c r="E96" s="48">
        <v>5.0</v>
      </c>
      <c r="F96" s="136" t="s">
        <v>276</v>
      </c>
      <c r="G96" s="137">
        <v>16.9811759</v>
      </c>
      <c r="H96" s="137">
        <v>0.29917668</v>
      </c>
      <c r="I96" s="137">
        <v>5.82883336</v>
      </c>
      <c r="J96" s="120">
        <f t="shared" si="1"/>
        <v>56.75969096</v>
      </c>
      <c r="K96" s="121">
        <v>-0.32</v>
      </c>
      <c r="L96" s="121">
        <v>-0.68</v>
      </c>
      <c r="M96" s="122">
        <v>0.36</v>
      </c>
      <c r="N96" s="120">
        <v>37.3</v>
      </c>
      <c r="O96" s="120">
        <v>16.191203777777776</v>
      </c>
      <c r="P96" s="123">
        <v>7.929946950772808</v>
      </c>
      <c r="Q96" s="120">
        <v>1.1428571428571428</v>
      </c>
      <c r="R96" s="120">
        <v>0.48976883125000015</v>
      </c>
      <c r="S96" s="120">
        <v>173.25479452054796</v>
      </c>
      <c r="T96" s="124">
        <v>10.6</v>
      </c>
      <c r="U96" s="8">
        <f t="shared" si="2"/>
        <v>16.34479194</v>
      </c>
      <c r="AA96" s="15"/>
      <c r="AB96" s="15"/>
      <c r="AC96" s="15"/>
      <c r="AD96" s="15"/>
      <c r="AE96" s="15"/>
    </row>
    <row r="97" ht="14.25" customHeight="1">
      <c r="A97" s="153" t="s">
        <v>244</v>
      </c>
      <c r="B97" s="154" t="s">
        <v>278</v>
      </c>
      <c r="C97" s="3" t="s">
        <v>280</v>
      </c>
      <c r="D97" s="154" t="s">
        <v>251</v>
      </c>
      <c r="E97" s="155">
        <v>6.0</v>
      </c>
      <c r="F97" s="156" t="s">
        <v>276</v>
      </c>
      <c r="G97" s="157">
        <v>14.5525164</v>
      </c>
      <c r="H97" s="157">
        <v>0.53229406</v>
      </c>
      <c r="I97" s="157">
        <v>9.40803153</v>
      </c>
      <c r="J97" s="120">
        <f t="shared" si="1"/>
        <v>27.33924252</v>
      </c>
      <c r="K97" s="158"/>
      <c r="L97" s="158">
        <v>-0.865</v>
      </c>
      <c r="M97" s="159"/>
      <c r="N97" s="120">
        <v>40.3</v>
      </c>
      <c r="O97" s="120">
        <v>15.811817697478993</v>
      </c>
      <c r="P97" s="123">
        <v>8.68854223870947</v>
      </c>
      <c r="Q97" s="120">
        <v>1.1428571428571428</v>
      </c>
      <c r="R97" s="120">
        <v>0.5494967375</v>
      </c>
      <c r="S97" s="120">
        <v>234.0375</v>
      </c>
      <c r="T97" s="124">
        <v>28.1</v>
      </c>
      <c r="U97" s="8">
        <f t="shared" si="2"/>
        <v>8.328736655</v>
      </c>
      <c r="AA97" s="15"/>
      <c r="AB97" s="15"/>
      <c r="AC97" s="15"/>
      <c r="AD97" s="15"/>
      <c r="AE97" s="15"/>
    </row>
    <row r="98" ht="15.0" customHeight="1">
      <c r="A98" s="115" t="s">
        <v>238</v>
      </c>
      <c r="B98" s="116" t="s">
        <v>278</v>
      </c>
      <c r="C98" s="116" t="s">
        <v>279</v>
      </c>
      <c r="D98" s="116" t="s">
        <v>240</v>
      </c>
      <c r="E98" s="117">
        <v>1.0</v>
      </c>
      <c r="F98" s="160" t="s">
        <v>277</v>
      </c>
      <c r="G98" s="119">
        <v>10.9409172</v>
      </c>
      <c r="H98" s="119">
        <v>0.15764681</v>
      </c>
      <c r="I98" s="119">
        <v>4.7621658</v>
      </c>
      <c r="J98" s="120">
        <f t="shared" si="1"/>
        <v>69.40144999</v>
      </c>
      <c r="K98" s="121">
        <v>-0.492</v>
      </c>
      <c r="L98" s="121">
        <v>-1.25</v>
      </c>
      <c r="M98" s="122">
        <v>0.758</v>
      </c>
      <c r="N98" s="120">
        <v>42.7</v>
      </c>
      <c r="O98" s="120">
        <v>6.282540633245382</v>
      </c>
      <c r="P98" s="123">
        <v>4.315405225886003</v>
      </c>
      <c r="Q98" s="120">
        <v>0.2857142857142857</v>
      </c>
      <c r="R98" s="120">
        <v>0.6868885500000002</v>
      </c>
      <c r="S98" s="15"/>
      <c r="T98" s="161"/>
      <c r="AA98" s="15"/>
      <c r="AB98" s="15"/>
      <c r="AC98" s="15"/>
      <c r="AD98" s="15"/>
      <c r="AE98" s="15"/>
    </row>
    <row r="99" ht="15.0" customHeight="1">
      <c r="A99" s="134" t="s">
        <v>238</v>
      </c>
      <c r="B99" s="135" t="s">
        <v>278</v>
      </c>
      <c r="C99" s="116" t="s">
        <v>279</v>
      </c>
      <c r="D99" s="135" t="s">
        <v>240</v>
      </c>
      <c r="E99" s="8">
        <v>2.0</v>
      </c>
      <c r="F99" s="162" t="s">
        <v>277</v>
      </c>
      <c r="G99" s="137">
        <v>11.7760705</v>
      </c>
      <c r="H99" s="137">
        <v>0.19673413</v>
      </c>
      <c r="I99" s="137">
        <v>4.32300665</v>
      </c>
      <c r="J99" s="120">
        <f t="shared" si="1"/>
        <v>59.85779132</v>
      </c>
      <c r="K99" s="121"/>
      <c r="L99" s="121">
        <v>-1.023</v>
      </c>
      <c r="M99" s="122"/>
      <c r="N99" s="120">
        <v>23.1</v>
      </c>
      <c r="O99" s="120">
        <v>8.070279556443335</v>
      </c>
      <c r="P99" s="123">
        <v>7.784324533891924</v>
      </c>
      <c r="Q99" s="120">
        <v>1.1428571428571428</v>
      </c>
      <c r="R99" s="120">
        <v>0.9645669000000001</v>
      </c>
      <c r="S99" s="15"/>
      <c r="T99" s="161"/>
      <c r="AA99" s="15"/>
      <c r="AB99" s="15"/>
      <c r="AC99" s="15"/>
      <c r="AD99" s="15"/>
      <c r="AE99" s="15"/>
    </row>
    <row r="100" ht="15.0" customHeight="1">
      <c r="A100" s="134" t="s">
        <v>238</v>
      </c>
      <c r="B100" s="135" t="s">
        <v>278</v>
      </c>
      <c r="C100" s="116" t="s">
        <v>279</v>
      </c>
      <c r="D100" s="135" t="s">
        <v>240</v>
      </c>
      <c r="E100" s="8">
        <v>3.0</v>
      </c>
      <c r="F100" s="162" t="s">
        <v>277</v>
      </c>
      <c r="G100" s="137">
        <v>6.39026485</v>
      </c>
      <c r="H100" s="137">
        <v>0.10529625</v>
      </c>
      <c r="I100" s="137">
        <v>4.07738301</v>
      </c>
      <c r="J100" s="120">
        <f t="shared" si="1"/>
        <v>60.68843715</v>
      </c>
      <c r="K100" s="121">
        <v>-0.452</v>
      </c>
      <c r="L100" s="121">
        <v>-1.24</v>
      </c>
      <c r="M100" s="122">
        <v>0.788</v>
      </c>
      <c r="N100" s="120">
        <v>44.0</v>
      </c>
      <c r="O100" s="120">
        <v>5.174343921319797</v>
      </c>
      <c r="P100" s="123">
        <v>5.21786455189043</v>
      </c>
      <c r="Q100" s="120">
        <v>1.0</v>
      </c>
      <c r="R100" s="120">
        <v>1.0084108500000002</v>
      </c>
      <c r="S100" s="15"/>
      <c r="T100" s="161"/>
      <c r="AA100" s="15"/>
      <c r="AB100" s="15"/>
      <c r="AC100" s="15"/>
      <c r="AD100" s="15"/>
      <c r="AE100" s="15"/>
    </row>
    <row r="101" ht="15.0" customHeight="1">
      <c r="A101" s="134" t="s">
        <v>238</v>
      </c>
      <c r="B101" s="135" t="s">
        <v>278</v>
      </c>
      <c r="C101" s="116" t="s">
        <v>279</v>
      </c>
      <c r="D101" s="135" t="s">
        <v>240</v>
      </c>
      <c r="E101" s="8">
        <v>4.0</v>
      </c>
      <c r="F101" s="162" t="s">
        <v>277</v>
      </c>
      <c r="G101" s="137">
        <v>8.52810569</v>
      </c>
      <c r="H101" s="137">
        <v>0.15501968</v>
      </c>
      <c r="I101" s="137">
        <v>5.2055904</v>
      </c>
      <c r="J101" s="120">
        <f t="shared" si="1"/>
        <v>55.01305183</v>
      </c>
      <c r="K101" s="121"/>
      <c r="L101" s="121">
        <v>-1.12</v>
      </c>
      <c r="M101" s="122"/>
      <c r="N101" s="120">
        <v>37.2</v>
      </c>
      <c r="O101" s="120">
        <v>8.227970980131822</v>
      </c>
      <c r="P101" s="123">
        <v>6.974437132917446</v>
      </c>
      <c r="Q101" s="120">
        <v>0.7142857142857143</v>
      </c>
      <c r="R101" s="120">
        <v>0.8476497000000002</v>
      </c>
      <c r="S101" s="15"/>
      <c r="T101" s="161"/>
      <c r="AA101" s="15"/>
      <c r="AB101" s="15"/>
      <c r="AC101" s="15"/>
      <c r="AD101" s="15"/>
      <c r="AE101" s="15"/>
    </row>
    <row r="102" ht="15.0" customHeight="1">
      <c r="A102" s="134" t="s">
        <v>238</v>
      </c>
      <c r="B102" s="135" t="s">
        <v>278</v>
      </c>
      <c r="C102" s="116" t="s">
        <v>279</v>
      </c>
      <c r="D102" s="135" t="s">
        <v>240</v>
      </c>
      <c r="E102" s="8">
        <v>5.0</v>
      </c>
      <c r="F102" s="162" t="s">
        <v>277</v>
      </c>
      <c r="G102" s="137">
        <v>3.1916602</v>
      </c>
      <c r="H102" s="137">
        <v>0.04695032</v>
      </c>
      <c r="I102" s="137">
        <v>2.30901671</v>
      </c>
      <c r="J102" s="120">
        <f t="shared" si="1"/>
        <v>67.97951963</v>
      </c>
      <c r="K102" s="121">
        <v>-0.518</v>
      </c>
      <c r="L102" s="121">
        <v>-1.223</v>
      </c>
      <c r="M102" s="122">
        <v>0.705</v>
      </c>
      <c r="N102" s="120">
        <v>56.7</v>
      </c>
      <c r="O102" s="120">
        <v>3.275201007092198</v>
      </c>
      <c r="P102" s="123">
        <v>2.6326254019065005</v>
      </c>
      <c r="Q102" s="120">
        <v>0.42857142857142855</v>
      </c>
      <c r="R102" s="120">
        <v>0.8038057500000002</v>
      </c>
      <c r="S102" s="15"/>
      <c r="T102" s="161"/>
      <c r="AA102" s="15"/>
      <c r="AB102" s="15"/>
      <c r="AC102" s="15"/>
      <c r="AD102" s="15"/>
      <c r="AE102" s="15"/>
    </row>
    <row r="103" ht="15.0" customHeight="1">
      <c r="A103" s="134" t="s">
        <v>238</v>
      </c>
      <c r="B103" s="135" t="s">
        <v>278</v>
      </c>
      <c r="C103" s="116" t="s">
        <v>279</v>
      </c>
      <c r="D103" s="135" t="s">
        <v>240</v>
      </c>
      <c r="E103" s="8">
        <v>6.0</v>
      </c>
      <c r="F103" s="162" t="s">
        <v>277</v>
      </c>
      <c r="G103" s="137">
        <v>6.22875142</v>
      </c>
      <c r="H103" s="137">
        <v>0.10421385</v>
      </c>
      <c r="I103" s="137">
        <v>4.55797172</v>
      </c>
      <c r="J103" s="120">
        <f t="shared" si="1"/>
        <v>59.76894069</v>
      </c>
      <c r="K103" s="121"/>
      <c r="L103" s="121">
        <v>-1.097</v>
      </c>
      <c r="M103" s="122"/>
      <c r="N103" s="120">
        <v>46.5</v>
      </c>
      <c r="O103" s="120">
        <v>7.476129250250136</v>
      </c>
      <c r="P103" s="123">
        <v>7.211226814913099</v>
      </c>
      <c r="Q103" s="120">
        <v>0.8571428571428571</v>
      </c>
      <c r="R103" s="120">
        <v>0.9645669000000001</v>
      </c>
      <c r="S103" s="15"/>
      <c r="T103" s="161"/>
      <c r="AA103" s="15"/>
      <c r="AB103" s="15"/>
      <c r="AC103" s="15"/>
      <c r="AD103" s="15"/>
      <c r="AE103" s="15"/>
    </row>
    <row r="104" ht="15.0" customHeight="1">
      <c r="A104" s="134" t="s">
        <v>244</v>
      </c>
      <c r="B104" s="3" t="s">
        <v>278</v>
      </c>
      <c r="C104" s="3" t="s">
        <v>280</v>
      </c>
      <c r="D104" s="135" t="s">
        <v>240</v>
      </c>
      <c r="E104" s="8">
        <v>1.0</v>
      </c>
      <c r="F104" s="162" t="s">
        <v>277</v>
      </c>
      <c r="G104" s="137">
        <v>10.7546004</v>
      </c>
      <c r="H104" s="137">
        <v>0.17531878</v>
      </c>
      <c r="I104" s="137">
        <v>5.27450417</v>
      </c>
      <c r="J104" s="120">
        <f t="shared" si="1"/>
        <v>61.34311681</v>
      </c>
      <c r="K104" s="121">
        <v>-0.53</v>
      </c>
      <c r="L104" s="121">
        <v>-1.15</v>
      </c>
      <c r="M104" s="122">
        <v>0.62</v>
      </c>
      <c r="N104" s="120">
        <v>45.7</v>
      </c>
      <c r="O104" s="120">
        <v>8.507264790322582</v>
      </c>
      <c r="P104" s="123">
        <v>6.713857657865948</v>
      </c>
      <c r="Q104" s="120">
        <v>0.0</v>
      </c>
      <c r="R104" s="120">
        <v>0.7891911000000001</v>
      </c>
      <c r="S104" s="15"/>
      <c r="T104" s="161"/>
      <c r="AA104" s="15"/>
      <c r="AB104" s="15"/>
      <c r="AC104" s="15"/>
      <c r="AD104" s="15"/>
      <c r="AE104" s="15"/>
    </row>
    <row r="105" ht="15.0" customHeight="1">
      <c r="A105" s="134" t="s">
        <v>244</v>
      </c>
      <c r="B105" s="3" t="s">
        <v>278</v>
      </c>
      <c r="C105" s="3" t="s">
        <v>280</v>
      </c>
      <c r="D105" s="135" t="s">
        <v>240</v>
      </c>
      <c r="E105" s="8">
        <v>2.0</v>
      </c>
      <c r="F105" s="162" t="s">
        <v>277</v>
      </c>
      <c r="G105" s="137">
        <v>11.3998279</v>
      </c>
      <c r="H105" s="137">
        <v>0.23838655</v>
      </c>
      <c r="I105" s="137">
        <v>5.0984032</v>
      </c>
      <c r="J105" s="120">
        <f t="shared" si="1"/>
        <v>47.82076799</v>
      </c>
      <c r="K105" s="121"/>
      <c r="L105" s="121">
        <v>-1.142</v>
      </c>
      <c r="M105" s="122"/>
      <c r="N105" s="120">
        <v>40.5</v>
      </c>
      <c r="O105" s="120">
        <v>7.153980168381663</v>
      </c>
      <c r="P105" s="123">
        <v>6.900492473677379</v>
      </c>
      <c r="Q105" s="120">
        <v>0.7142857142857143</v>
      </c>
      <c r="R105" s="120">
        <v>0.9645669000000001</v>
      </c>
      <c r="S105" s="15"/>
      <c r="T105" s="161"/>
      <c r="AA105" s="15"/>
      <c r="AB105" s="15"/>
      <c r="AC105" s="15"/>
      <c r="AD105" s="15"/>
      <c r="AE105" s="15"/>
    </row>
    <row r="106" ht="15.0" customHeight="1">
      <c r="A106" s="134" t="s">
        <v>244</v>
      </c>
      <c r="B106" s="3" t="s">
        <v>278</v>
      </c>
      <c r="C106" s="3" t="s">
        <v>280</v>
      </c>
      <c r="D106" s="135" t="s">
        <v>240</v>
      </c>
      <c r="E106" s="8">
        <v>3.0</v>
      </c>
      <c r="F106" s="162" t="s">
        <v>277</v>
      </c>
      <c r="G106" s="137">
        <v>7.95777516</v>
      </c>
      <c r="H106" s="137">
        <v>0.10291853</v>
      </c>
      <c r="I106" s="137">
        <v>4.13817536</v>
      </c>
      <c r="J106" s="120">
        <f t="shared" si="1"/>
        <v>77.32111176</v>
      </c>
      <c r="K106" s="121">
        <v>-0.35</v>
      </c>
      <c r="L106" s="121">
        <v>-1.237</v>
      </c>
      <c r="M106" s="122">
        <v>0.887</v>
      </c>
      <c r="N106" s="120">
        <v>48.4</v>
      </c>
      <c r="O106" s="120">
        <v>4.665361172491544</v>
      </c>
      <c r="P106" s="123">
        <v>4.431870342870981</v>
      </c>
      <c r="Q106" s="120">
        <v>0.7142857142857143</v>
      </c>
      <c r="R106" s="120">
        <v>0.9499522500000003</v>
      </c>
      <c r="S106" s="15"/>
      <c r="T106" s="161"/>
      <c r="AA106" s="15"/>
      <c r="AB106" s="15"/>
      <c r="AC106" s="15"/>
      <c r="AD106" s="15"/>
      <c r="AE106" s="15"/>
    </row>
    <row r="107" ht="15.0" customHeight="1">
      <c r="A107" s="134" t="s">
        <v>244</v>
      </c>
      <c r="B107" s="3" t="s">
        <v>278</v>
      </c>
      <c r="C107" s="3" t="s">
        <v>280</v>
      </c>
      <c r="D107" s="135" t="s">
        <v>240</v>
      </c>
      <c r="E107" s="8">
        <v>4.0</v>
      </c>
      <c r="F107" s="162" t="s">
        <v>277</v>
      </c>
      <c r="G107" s="137">
        <v>10.5160495</v>
      </c>
      <c r="H107" s="137">
        <v>0.16584517</v>
      </c>
      <c r="I107" s="137">
        <v>5.44197572</v>
      </c>
      <c r="J107" s="120">
        <f t="shared" si="1"/>
        <v>63.40883789</v>
      </c>
      <c r="K107" s="121"/>
      <c r="L107" s="121">
        <v>-1.125</v>
      </c>
      <c r="M107" s="122"/>
      <c r="N107" s="120">
        <v>47.6</v>
      </c>
      <c r="O107" s="120">
        <v>7.822677125059891</v>
      </c>
      <c r="P107" s="123">
        <v>6.173587165270854</v>
      </c>
      <c r="Q107" s="120">
        <v>0.5714285714285714</v>
      </c>
      <c r="R107" s="120">
        <v>0.7891911000000001</v>
      </c>
      <c r="S107" s="15"/>
      <c r="T107" s="161"/>
      <c r="AA107" s="15"/>
      <c r="AB107" s="15"/>
      <c r="AC107" s="15"/>
      <c r="AD107" s="15"/>
      <c r="AE107" s="15"/>
    </row>
    <row r="108" ht="15.0" customHeight="1">
      <c r="A108" s="134" t="s">
        <v>244</v>
      </c>
      <c r="B108" s="3" t="s">
        <v>278</v>
      </c>
      <c r="C108" s="3" t="s">
        <v>280</v>
      </c>
      <c r="D108" s="135" t="s">
        <v>240</v>
      </c>
      <c r="E108" s="8">
        <v>5.0</v>
      </c>
      <c r="F108" s="162" t="s">
        <v>277</v>
      </c>
      <c r="G108" s="137">
        <v>8.84876193</v>
      </c>
      <c r="H108" s="137">
        <v>0.1649857</v>
      </c>
      <c r="I108" s="137">
        <v>5.84050306</v>
      </c>
      <c r="J108" s="120">
        <f t="shared" si="1"/>
        <v>53.63350842</v>
      </c>
      <c r="K108" s="121">
        <v>-0.408</v>
      </c>
      <c r="L108" s="121">
        <v>-1.22</v>
      </c>
      <c r="M108" s="122">
        <v>0.812</v>
      </c>
      <c r="N108" s="120">
        <v>45.6</v>
      </c>
      <c r="O108" s="120">
        <v>7.192737758620689</v>
      </c>
      <c r="P108" s="123">
        <v>7.148115452113758</v>
      </c>
      <c r="Q108" s="120">
        <v>0.8571428571428571</v>
      </c>
      <c r="R108" s="120">
        <v>0.9937962000000001</v>
      </c>
      <c r="S108" s="15"/>
      <c r="T108" s="161"/>
      <c r="AA108" s="15"/>
      <c r="AB108" s="15"/>
      <c r="AC108" s="15"/>
      <c r="AD108" s="15"/>
      <c r="AE108" s="15"/>
    </row>
    <row r="109" ht="15.0" customHeight="1">
      <c r="A109" s="134" t="s">
        <v>244</v>
      </c>
      <c r="B109" s="3" t="s">
        <v>278</v>
      </c>
      <c r="C109" s="3" t="s">
        <v>280</v>
      </c>
      <c r="D109" s="135" t="s">
        <v>240</v>
      </c>
      <c r="E109" s="8">
        <v>6.0</v>
      </c>
      <c r="F109" s="162" t="s">
        <v>277</v>
      </c>
      <c r="G109" s="137">
        <v>7.33879704</v>
      </c>
      <c r="H109" s="137">
        <v>0.10560734</v>
      </c>
      <c r="I109" s="137">
        <v>4.47720808</v>
      </c>
      <c r="J109" s="120">
        <f t="shared" si="1"/>
        <v>69.49135392</v>
      </c>
      <c r="K109" s="121"/>
      <c r="L109" s="121">
        <v>-1.14</v>
      </c>
      <c r="M109" s="122"/>
      <c r="N109" s="120">
        <v>47.8</v>
      </c>
      <c r="O109" s="120">
        <v>6.300011369606001</v>
      </c>
      <c r="P109" s="123">
        <v>6.721289664885303</v>
      </c>
      <c r="Q109" s="120">
        <v>0.8571428571428571</v>
      </c>
      <c r="R109" s="120">
        <v>1.0668694500000002</v>
      </c>
      <c r="S109" s="15"/>
      <c r="T109" s="161"/>
      <c r="AA109" s="15"/>
      <c r="AB109" s="15"/>
      <c r="AC109" s="15"/>
      <c r="AD109" s="15"/>
      <c r="AE109" s="15"/>
    </row>
    <row r="110" ht="15.0" customHeight="1">
      <c r="A110" s="134" t="s">
        <v>249</v>
      </c>
      <c r="B110" s="3" t="s">
        <v>278</v>
      </c>
      <c r="C110" s="3" t="s">
        <v>281</v>
      </c>
      <c r="D110" s="3" t="s">
        <v>251</v>
      </c>
      <c r="E110" s="8">
        <v>1.0</v>
      </c>
      <c r="F110" s="162" t="s">
        <v>277</v>
      </c>
      <c r="G110" s="137">
        <v>7.87537029</v>
      </c>
      <c r="H110" s="137">
        <v>0.1528763</v>
      </c>
      <c r="I110" s="137">
        <v>4.57560118</v>
      </c>
      <c r="J110" s="120">
        <f t="shared" si="1"/>
        <v>51.51465786</v>
      </c>
      <c r="K110" s="121">
        <v>-0.378</v>
      </c>
      <c r="L110" s="121">
        <v>-1.128</v>
      </c>
      <c r="M110" s="122">
        <v>0.75</v>
      </c>
      <c r="N110" s="120">
        <v>39.9</v>
      </c>
      <c r="O110" s="120">
        <v>6.100801573333333</v>
      </c>
      <c r="P110" s="123">
        <v>6.687080978528702</v>
      </c>
      <c r="Q110" s="120">
        <v>0.7142857142857143</v>
      </c>
      <c r="R110" s="120">
        <v>1.0960987500000003</v>
      </c>
      <c r="S110" s="15"/>
      <c r="T110" s="161"/>
      <c r="AA110" s="15"/>
      <c r="AB110" s="15"/>
      <c r="AC110" s="15"/>
      <c r="AD110" s="15"/>
      <c r="AE110" s="15"/>
    </row>
    <row r="111" ht="15.0" customHeight="1">
      <c r="A111" s="134" t="s">
        <v>249</v>
      </c>
      <c r="B111" s="3" t="s">
        <v>278</v>
      </c>
      <c r="C111" s="3" t="s">
        <v>281</v>
      </c>
      <c r="D111" s="3" t="s">
        <v>251</v>
      </c>
      <c r="E111" s="8">
        <v>2.0</v>
      </c>
      <c r="F111" s="162" t="s">
        <v>277</v>
      </c>
      <c r="G111" s="137">
        <v>5.72744644</v>
      </c>
      <c r="H111" s="137">
        <v>0.07437795</v>
      </c>
      <c r="I111" s="137">
        <v>2.07476313</v>
      </c>
      <c r="J111" s="120">
        <f t="shared" si="1"/>
        <v>77.00462893</v>
      </c>
      <c r="K111" s="121"/>
      <c r="L111" s="121">
        <v>-1.087</v>
      </c>
      <c r="M111" s="122"/>
      <c r="N111" s="120">
        <v>29.5</v>
      </c>
      <c r="O111" s="120">
        <v>2.8151467164179107</v>
      </c>
      <c r="P111" s="123">
        <v>2.7565397252595005</v>
      </c>
      <c r="Q111" s="120">
        <v>0.8571428571428571</v>
      </c>
      <c r="R111" s="120">
        <v>0.9791815500000003</v>
      </c>
      <c r="S111" s="15"/>
      <c r="T111" s="161"/>
      <c r="AA111" s="15"/>
      <c r="AB111" s="15"/>
      <c r="AC111" s="15"/>
      <c r="AD111" s="15"/>
      <c r="AE111" s="15"/>
    </row>
    <row r="112" ht="15.0" customHeight="1">
      <c r="A112" s="134" t="s">
        <v>249</v>
      </c>
      <c r="B112" s="3" t="s">
        <v>278</v>
      </c>
      <c r="C112" s="3" t="s">
        <v>281</v>
      </c>
      <c r="D112" s="3" t="s">
        <v>251</v>
      </c>
      <c r="E112" s="8">
        <v>3.0</v>
      </c>
      <c r="F112" s="162" t="s">
        <v>277</v>
      </c>
      <c r="G112" s="137">
        <v>6.76604208</v>
      </c>
      <c r="H112" s="137">
        <v>0.09596353</v>
      </c>
      <c r="I112" s="137">
        <v>3.7830597</v>
      </c>
      <c r="J112" s="120">
        <f t="shared" si="1"/>
        <v>70.50639008</v>
      </c>
      <c r="K112" s="121">
        <v>-0.329</v>
      </c>
      <c r="L112" s="121">
        <v>-1.045</v>
      </c>
      <c r="M112" s="122">
        <v>0.716</v>
      </c>
      <c r="N112" s="120">
        <v>37.9</v>
      </c>
      <c r="O112" s="120">
        <v>5.283602932960894</v>
      </c>
      <c r="P112" s="123">
        <v>5.482478539897983</v>
      </c>
      <c r="Q112" s="120">
        <v>1.0</v>
      </c>
      <c r="R112" s="120">
        <v>1.03764015</v>
      </c>
      <c r="S112" s="15"/>
      <c r="T112" s="161"/>
      <c r="AA112" s="15"/>
      <c r="AB112" s="15"/>
      <c r="AC112" s="15"/>
      <c r="AD112" s="15"/>
      <c r="AE112" s="15"/>
    </row>
    <row r="113" ht="15.0" customHeight="1">
      <c r="A113" s="134" t="s">
        <v>249</v>
      </c>
      <c r="B113" s="3" t="s">
        <v>278</v>
      </c>
      <c r="C113" s="3" t="s">
        <v>281</v>
      </c>
      <c r="D113" s="3" t="s">
        <v>251</v>
      </c>
      <c r="E113" s="8">
        <v>4.0</v>
      </c>
      <c r="F113" s="162" t="s">
        <v>277</v>
      </c>
      <c r="G113" s="137">
        <v>8.48036344</v>
      </c>
      <c r="H113" s="137">
        <v>0.14711526</v>
      </c>
      <c r="I113" s="137">
        <v>5.05278481</v>
      </c>
      <c r="J113" s="120">
        <f t="shared" si="1"/>
        <v>57.64434934</v>
      </c>
      <c r="K113" s="121"/>
      <c r="L113" s="121">
        <v>-0.978</v>
      </c>
      <c r="M113" s="122"/>
      <c r="N113" s="120">
        <v>37.1</v>
      </c>
      <c r="O113" s="120">
        <v>8.045835684713376</v>
      </c>
      <c r="P113" s="123">
        <v>7.878333856802957</v>
      </c>
      <c r="Q113" s="120">
        <v>0.8571428571428571</v>
      </c>
      <c r="R113" s="120">
        <v>0.9791815500000003</v>
      </c>
      <c r="S113" s="15"/>
      <c r="T113" s="161"/>
      <c r="AA113" s="15"/>
      <c r="AB113" s="15"/>
      <c r="AC113" s="15"/>
      <c r="AD113" s="15"/>
      <c r="AE113" s="15"/>
    </row>
    <row r="114" ht="15.0" customHeight="1">
      <c r="A114" s="134" t="s">
        <v>249</v>
      </c>
      <c r="B114" s="3" t="s">
        <v>278</v>
      </c>
      <c r="C114" s="3" t="s">
        <v>281</v>
      </c>
      <c r="D114" s="3" t="s">
        <v>251</v>
      </c>
      <c r="E114" s="8">
        <v>5.0</v>
      </c>
      <c r="F114" s="162" t="s">
        <v>277</v>
      </c>
      <c r="G114" s="137">
        <v>11.2872779</v>
      </c>
      <c r="H114" s="137">
        <v>0.16181459</v>
      </c>
      <c r="I114" s="137">
        <v>6.10990972</v>
      </c>
      <c r="J114" s="120">
        <f t="shared" si="1"/>
        <v>69.75438927</v>
      </c>
      <c r="K114" s="121">
        <v>-0.343</v>
      </c>
      <c r="L114" s="121">
        <v>-1.118</v>
      </c>
      <c r="M114" s="122">
        <v>0.775</v>
      </c>
      <c r="N114" s="120">
        <v>38.0</v>
      </c>
      <c r="O114" s="120">
        <v>7.8837544774193535</v>
      </c>
      <c r="P114" s="123">
        <v>9.217464989873344</v>
      </c>
      <c r="Q114" s="120">
        <v>1.0</v>
      </c>
      <c r="R114" s="120">
        <v>1.1691720000000003</v>
      </c>
      <c r="S114" s="15"/>
      <c r="T114" s="161"/>
      <c r="AA114" s="15"/>
      <c r="AB114" s="15"/>
      <c r="AC114" s="15"/>
      <c r="AD114" s="15"/>
      <c r="AE114" s="15"/>
    </row>
    <row r="115" ht="15.0" customHeight="1">
      <c r="A115" s="134" t="s">
        <v>249</v>
      </c>
      <c r="B115" s="3" t="s">
        <v>278</v>
      </c>
      <c r="C115" s="3" t="s">
        <v>281</v>
      </c>
      <c r="D115" s="3" t="s">
        <v>251</v>
      </c>
      <c r="E115" s="8">
        <v>6.0</v>
      </c>
      <c r="F115" s="162" t="s">
        <v>277</v>
      </c>
      <c r="G115" s="137">
        <v>8.92967586</v>
      </c>
      <c r="H115" s="137">
        <v>0.12803493</v>
      </c>
      <c r="I115" s="137">
        <v>4.84053705</v>
      </c>
      <c r="J115" s="120">
        <f t="shared" si="1"/>
        <v>69.74406016</v>
      </c>
      <c r="K115" s="121"/>
      <c r="L115" s="121">
        <v>-0.997</v>
      </c>
      <c r="M115" s="122"/>
      <c r="N115" s="120">
        <v>39.8</v>
      </c>
      <c r="O115" s="120">
        <v>7.481510123647604</v>
      </c>
      <c r="P115" s="123">
        <v>8.528492850428187</v>
      </c>
      <c r="Q115" s="120">
        <v>0.8571428571428571</v>
      </c>
      <c r="R115" s="120">
        <v>1.1399427000000004</v>
      </c>
      <c r="S115" s="15"/>
      <c r="T115" s="161"/>
      <c r="AA115" s="15"/>
      <c r="AB115" s="15"/>
      <c r="AC115" s="15"/>
      <c r="AD115" s="15"/>
      <c r="AE115" s="15"/>
    </row>
    <row r="116" ht="15.0" customHeight="1">
      <c r="A116" s="134" t="s">
        <v>256</v>
      </c>
      <c r="B116" s="3" t="s">
        <v>282</v>
      </c>
      <c r="C116" s="3" t="s">
        <v>283</v>
      </c>
      <c r="D116" s="135" t="s">
        <v>240</v>
      </c>
      <c r="E116" s="8">
        <v>1.0</v>
      </c>
      <c r="F116" s="162" t="s">
        <v>277</v>
      </c>
      <c r="G116" s="137">
        <v>9.9782164</v>
      </c>
      <c r="H116" s="137">
        <v>0.21463845</v>
      </c>
      <c r="I116" s="137">
        <v>6.08599331</v>
      </c>
      <c r="J116" s="120">
        <f t="shared" si="1"/>
        <v>46.48848517</v>
      </c>
      <c r="K116" s="121">
        <v>-0.49</v>
      </c>
      <c r="L116" s="121">
        <v>-1.197</v>
      </c>
      <c r="M116" s="122">
        <v>0.707</v>
      </c>
      <c r="N116" s="120">
        <v>44.1</v>
      </c>
      <c r="O116" s="120">
        <v>8.608194214992928</v>
      </c>
      <c r="P116" s="123">
        <v>8.051567717385371</v>
      </c>
      <c r="Q116" s="120">
        <v>0.42857142857142855</v>
      </c>
      <c r="R116" s="120">
        <v>0.9353376000000002</v>
      </c>
      <c r="S116" s="15"/>
      <c r="T116" s="161"/>
      <c r="AA116" s="15"/>
      <c r="AB116" s="15"/>
      <c r="AC116" s="15"/>
      <c r="AD116" s="15"/>
      <c r="AE116" s="15"/>
    </row>
    <row r="117" ht="15.0" customHeight="1">
      <c r="A117" s="134" t="s">
        <v>256</v>
      </c>
      <c r="B117" s="3" t="s">
        <v>282</v>
      </c>
      <c r="C117" s="3" t="s">
        <v>283</v>
      </c>
      <c r="D117" s="135" t="s">
        <v>240</v>
      </c>
      <c r="E117" s="8">
        <v>2.0</v>
      </c>
      <c r="F117" s="162" t="s">
        <v>277</v>
      </c>
      <c r="G117" s="137">
        <v>7.84345957</v>
      </c>
      <c r="H117" s="137">
        <v>0.1645392</v>
      </c>
      <c r="I117" s="137">
        <v>4.14556703</v>
      </c>
      <c r="J117" s="120">
        <f t="shared" si="1"/>
        <v>47.66924581</v>
      </c>
      <c r="K117" s="121"/>
      <c r="L117" s="121">
        <v>-1.032</v>
      </c>
      <c r="M117" s="122"/>
      <c r="N117" s="120">
        <v>43.6</v>
      </c>
      <c r="O117" s="120">
        <v>6.867273560057646</v>
      </c>
      <c r="P117" s="123">
        <v>6.423219170207776</v>
      </c>
      <c r="Q117" s="120">
        <v>1.1428571428571428</v>
      </c>
      <c r="R117" s="120">
        <v>0.9353376000000002</v>
      </c>
      <c r="S117" s="15"/>
      <c r="T117" s="161"/>
      <c r="AA117" s="15"/>
      <c r="AB117" s="15"/>
      <c r="AC117" s="15"/>
      <c r="AD117" s="15"/>
      <c r="AE117" s="15"/>
    </row>
    <row r="118" ht="15.0" customHeight="1">
      <c r="A118" s="134" t="s">
        <v>256</v>
      </c>
      <c r="B118" s="3" t="s">
        <v>282</v>
      </c>
      <c r="C118" s="3" t="s">
        <v>283</v>
      </c>
      <c r="D118" s="135" t="s">
        <v>240</v>
      </c>
      <c r="E118" s="8">
        <v>3.0</v>
      </c>
      <c r="F118" s="162" t="s">
        <v>277</v>
      </c>
      <c r="G118" s="137">
        <v>10.3479577</v>
      </c>
      <c r="H118" s="137">
        <v>0.16178691</v>
      </c>
      <c r="I118" s="137">
        <v>5.88070421</v>
      </c>
      <c r="J118" s="120">
        <f t="shared" si="1"/>
        <v>63.96041373</v>
      </c>
      <c r="K118" s="121">
        <v>-0.32</v>
      </c>
      <c r="L118" s="121">
        <v>-1.176</v>
      </c>
      <c r="M118" s="122">
        <v>0.856</v>
      </c>
      <c r="N118" s="120">
        <v>48.8</v>
      </c>
      <c r="O118" s="120">
        <v>6.869981553738319</v>
      </c>
      <c r="P118" s="123">
        <v>6.827361562175239</v>
      </c>
      <c r="Q118" s="120">
        <v>0.8571428571428571</v>
      </c>
      <c r="R118" s="120">
        <v>0.9937962000000001</v>
      </c>
      <c r="S118" s="15"/>
      <c r="T118" s="161"/>
      <c r="AA118" s="15"/>
      <c r="AB118" s="15"/>
      <c r="AC118" s="15"/>
      <c r="AD118" s="15"/>
      <c r="AE118" s="15"/>
    </row>
    <row r="119" ht="15.0" customHeight="1">
      <c r="A119" s="134" t="s">
        <v>256</v>
      </c>
      <c r="B119" s="3" t="s">
        <v>282</v>
      </c>
      <c r="C119" s="3" t="s">
        <v>283</v>
      </c>
      <c r="D119" s="135" t="s">
        <v>240</v>
      </c>
      <c r="E119" s="8">
        <v>4.0</v>
      </c>
      <c r="F119" s="162" t="s">
        <v>277</v>
      </c>
      <c r="G119" s="137">
        <v>8.11922067</v>
      </c>
      <c r="H119" s="137">
        <v>0.17638161</v>
      </c>
      <c r="I119" s="137">
        <v>5.69988022</v>
      </c>
      <c r="J119" s="120">
        <f t="shared" si="1"/>
        <v>46.03212699</v>
      </c>
      <c r="K119" s="121"/>
      <c r="L119" s="121">
        <v>-1.132</v>
      </c>
      <c r="M119" s="122"/>
      <c r="N119" s="120">
        <v>53.8</v>
      </c>
      <c r="O119" s="120">
        <v>8.100217744113008</v>
      </c>
      <c r="P119" s="123">
        <v>7.339674529748074</v>
      </c>
      <c r="Q119" s="120">
        <v>0.2857142857142857</v>
      </c>
      <c r="R119" s="120">
        <v>0.9061083000000002</v>
      </c>
      <c r="S119" s="15"/>
      <c r="T119" s="161"/>
      <c r="AA119" s="15"/>
      <c r="AB119" s="15"/>
      <c r="AC119" s="15"/>
      <c r="AD119" s="15"/>
      <c r="AE119" s="15"/>
    </row>
    <row r="120" ht="15.0" customHeight="1">
      <c r="A120" s="134" t="s">
        <v>256</v>
      </c>
      <c r="B120" s="3" t="s">
        <v>282</v>
      </c>
      <c r="C120" s="3" t="s">
        <v>283</v>
      </c>
      <c r="D120" s="135" t="s">
        <v>240</v>
      </c>
      <c r="E120" s="8">
        <v>5.0</v>
      </c>
      <c r="F120" s="162" t="s">
        <v>277</v>
      </c>
      <c r="G120" s="137">
        <v>11.836214</v>
      </c>
      <c r="H120" s="137">
        <v>0.20038511</v>
      </c>
      <c r="I120" s="137">
        <v>7.16398258</v>
      </c>
      <c r="J120" s="120">
        <f t="shared" si="1"/>
        <v>59.0673329</v>
      </c>
      <c r="K120" s="121">
        <v>-0.475</v>
      </c>
      <c r="L120" s="121">
        <v>-1.077</v>
      </c>
      <c r="M120" s="122">
        <v>0.602</v>
      </c>
      <c r="N120" s="120">
        <v>46.8</v>
      </c>
      <c r="O120" s="120">
        <v>11.900303289036545</v>
      </c>
      <c r="P120" s="123">
        <v>11.13080111763955</v>
      </c>
      <c r="Q120" s="120">
        <v>0.8571428571428571</v>
      </c>
      <c r="R120" s="120">
        <v>0.9353376000000002</v>
      </c>
      <c r="S120" s="15"/>
      <c r="T120" s="161"/>
      <c r="AA120" s="15"/>
      <c r="AB120" s="15"/>
      <c r="AC120" s="15"/>
      <c r="AD120" s="15"/>
      <c r="AE120" s="15"/>
    </row>
    <row r="121" ht="15.0" customHeight="1">
      <c r="A121" s="134" t="s">
        <v>256</v>
      </c>
      <c r="B121" s="3" t="s">
        <v>282</v>
      </c>
      <c r="C121" s="3" t="s">
        <v>283</v>
      </c>
      <c r="D121" s="135" t="s">
        <v>240</v>
      </c>
      <c r="E121" s="8">
        <v>6.0</v>
      </c>
      <c r="F121" s="162" t="s">
        <v>277</v>
      </c>
      <c r="G121" s="137">
        <v>8.60778847</v>
      </c>
      <c r="H121" s="137">
        <v>0.1282694</v>
      </c>
      <c r="I121" s="137">
        <v>4.85926985</v>
      </c>
      <c r="J121" s="120">
        <f t="shared" si="1"/>
        <v>67.10710793</v>
      </c>
      <c r="K121" s="121"/>
      <c r="L121" s="121">
        <v>-0.958</v>
      </c>
      <c r="M121" s="122"/>
      <c r="N121" s="120">
        <v>49.6</v>
      </c>
      <c r="O121" s="120">
        <v>9.174145883285819</v>
      </c>
      <c r="P121" s="123">
        <v>9.787615972720907</v>
      </c>
      <c r="Q121" s="120">
        <v>0.8571428571428571</v>
      </c>
      <c r="R121" s="120">
        <v>1.0668694500000002</v>
      </c>
      <c r="S121" s="15"/>
      <c r="T121" s="161"/>
      <c r="AA121" s="15"/>
      <c r="AB121" s="15"/>
      <c r="AC121" s="15"/>
      <c r="AD121" s="15"/>
      <c r="AE121" s="15"/>
    </row>
    <row r="122" ht="15.0" customHeight="1">
      <c r="A122" s="134" t="s">
        <v>249</v>
      </c>
      <c r="B122" s="3" t="s">
        <v>282</v>
      </c>
      <c r="C122" s="3" t="s">
        <v>284</v>
      </c>
      <c r="D122" s="3" t="s">
        <v>251</v>
      </c>
      <c r="E122" s="8">
        <v>1.0</v>
      </c>
      <c r="F122" s="162" t="s">
        <v>277</v>
      </c>
      <c r="G122" s="137">
        <v>6.96508331</v>
      </c>
      <c r="H122" s="137">
        <v>0.1139059</v>
      </c>
      <c r="I122" s="137">
        <v>3.83991721</v>
      </c>
      <c r="J122" s="120">
        <f t="shared" si="1"/>
        <v>61.14769569</v>
      </c>
      <c r="K122" s="121">
        <v>-0.52</v>
      </c>
      <c r="L122" s="121">
        <v>-1.223</v>
      </c>
      <c r="M122" s="122">
        <v>0.703</v>
      </c>
      <c r="N122" s="120">
        <v>35.2</v>
      </c>
      <c r="O122" s="120">
        <v>5.462186642958748</v>
      </c>
      <c r="P122" s="123">
        <v>5.907268005592263</v>
      </c>
      <c r="Q122" s="120">
        <v>0.7142857142857143</v>
      </c>
      <c r="R122" s="120">
        <v>1.0814841000000002</v>
      </c>
      <c r="S122" s="15"/>
      <c r="T122" s="161"/>
      <c r="AA122" s="15"/>
      <c r="AB122" s="15"/>
      <c r="AC122" s="15"/>
      <c r="AD122" s="15"/>
      <c r="AE122" s="15"/>
    </row>
    <row r="123" ht="15.0" customHeight="1">
      <c r="A123" s="134" t="s">
        <v>249</v>
      </c>
      <c r="B123" s="3" t="s">
        <v>282</v>
      </c>
      <c r="C123" s="3" t="s">
        <v>284</v>
      </c>
      <c r="D123" s="3" t="s">
        <v>251</v>
      </c>
      <c r="E123" s="8">
        <v>2.0</v>
      </c>
      <c r="F123" s="162" t="s">
        <v>277</v>
      </c>
      <c r="G123" s="137">
        <v>7.34186305</v>
      </c>
      <c r="H123" s="137">
        <v>0.14874563</v>
      </c>
      <c r="I123" s="137">
        <v>3.63629375</v>
      </c>
      <c r="J123" s="120">
        <f t="shared" si="1"/>
        <v>49.35851258</v>
      </c>
      <c r="K123" s="121"/>
      <c r="L123" s="121">
        <v>-1.056</v>
      </c>
      <c r="M123" s="122"/>
      <c r="N123" s="120">
        <v>40.0</v>
      </c>
      <c r="O123" s="120">
        <v>6.027039514030464</v>
      </c>
      <c r="P123" s="123">
        <v>5.725399747192148</v>
      </c>
      <c r="Q123" s="120">
        <v>0.8571428571428571</v>
      </c>
      <c r="R123" s="120">
        <v>0.9499522500000003</v>
      </c>
      <c r="S123" s="15"/>
      <c r="T123" s="161"/>
      <c r="AA123" s="15"/>
      <c r="AB123" s="15"/>
      <c r="AC123" s="15"/>
      <c r="AD123" s="15"/>
      <c r="AE123" s="15"/>
    </row>
    <row r="124" ht="15.0" customHeight="1">
      <c r="A124" s="134" t="s">
        <v>249</v>
      </c>
      <c r="B124" s="3" t="s">
        <v>282</v>
      </c>
      <c r="C124" s="3" t="s">
        <v>284</v>
      </c>
      <c r="D124" s="3" t="s">
        <v>251</v>
      </c>
      <c r="E124" s="8">
        <v>3.0</v>
      </c>
      <c r="F124" s="162" t="s">
        <v>277</v>
      </c>
      <c r="G124" s="137">
        <v>10.6175231</v>
      </c>
      <c r="H124" s="137">
        <v>0.17767972</v>
      </c>
      <c r="I124" s="137">
        <v>6.11709147</v>
      </c>
      <c r="J124" s="120">
        <f t="shared" si="1"/>
        <v>59.75652764</v>
      </c>
      <c r="K124" s="121">
        <v>-0.321</v>
      </c>
      <c r="L124" s="121">
        <v>-1.098</v>
      </c>
      <c r="M124" s="122">
        <v>0.777</v>
      </c>
      <c r="N124" s="120">
        <v>32.6</v>
      </c>
      <c r="O124" s="120">
        <v>7.872704594594594</v>
      </c>
      <c r="P124" s="123">
        <v>9.434659420678136</v>
      </c>
      <c r="Q124" s="120">
        <v>1.1428571428571428</v>
      </c>
      <c r="R124" s="120">
        <v>1.1984013000000002</v>
      </c>
      <c r="S124" s="15"/>
      <c r="T124" s="161"/>
      <c r="AA124" s="15"/>
      <c r="AB124" s="15"/>
      <c r="AC124" s="15"/>
      <c r="AD124" s="15"/>
      <c r="AE124" s="15"/>
    </row>
    <row r="125" ht="15.0" customHeight="1">
      <c r="A125" s="134" t="s">
        <v>249</v>
      </c>
      <c r="B125" s="3" t="s">
        <v>282</v>
      </c>
      <c r="C125" s="3" t="s">
        <v>284</v>
      </c>
      <c r="D125" s="3" t="s">
        <v>251</v>
      </c>
      <c r="E125" s="8">
        <v>4.0</v>
      </c>
      <c r="F125" s="162" t="s">
        <v>277</v>
      </c>
      <c r="G125" s="137">
        <v>6.11570676</v>
      </c>
      <c r="H125" s="137">
        <v>0.17557154</v>
      </c>
      <c r="I125" s="137">
        <v>5.95323413</v>
      </c>
      <c r="J125" s="120">
        <f t="shared" si="1"/>
        <v>34.83313275</v>
      </c>
      <c r="K125" s="121"/>
      <c r="L125" s="121">
        <v>-1.04</v>
      </c>
      <c r="M125" s="122"/>
      <c r="N125" s="120">
        <v>37.2</v>
      </c>
      <c r="O125" s="120">
        <v>10.136097475014047</v>
      </c>
      <c r="P125" s="123">
        <v>11.110163772241055</v>
      </c>
      <c r="Q125" s="120">
        <v>0.8571428571428571</v>
      </c>
      <c r="R125" s="120">
        <v>1.0960987500000003</v>
      </c>
      <c r="S125" s="15"/>
      <c r="T125" s="161"/>
      <c r="AA125" s="15"/>
      <c r="AB125" s="15"/>
      <c r="AC125" s="15"/>
      <c r="AD125" s="15"/>
      <c r="AE125" s="15"/>
    </row>
    <row r="126" ht="15.0" customHeight="1">
      <c r="A126" s="134" t="s">
        <v>249</v>
      </c>
      <c r="B126" s="3" t="s">
        <v>282</v>
      </c>
      <c r="C126" s="3" t="s">
        <v>284</v>
      </c>
      <c r="D126" s="3" t="s">
        <v>251</v>
      </c>
      <c r="E126" s="8">
        <v>5.0</v>
      </c>
      <c r="F126" s="162" t="s">
        <v>277</v>
      </c>
      <c r="G126" s="137">
        <v>8.35397788</v>
      </c>
      <c r="H126" s="137">
        <v>0.12495074</v>
      </c>
      <c r="I126" s="137">
        <v>5.05871828</v>
      </c>
      <c r="J126" s="120">
        <f t="shared" si="1"/>
        <v>66.85817051</v>
      </c>
      <c r="K126" s="121">
        <v>-0.517</v>
      </c>
      <c r="L126" s="121">
        <v>-1.045</v>
      </c>
      <c r="M126" s="122">
        <v>0.528</v>
      </c>
      <c r="N126" s="120">
        <v>38.3</v>
      </c>
      <c r="O126" s="120">
        <v>9.580905833333334</v>
      </c>
      <c r="P126" s="123">
        <v>9.941532566035876</v>
      </c>
      <c r="Q126" s="120">
        <v>0.7142857142857143</v>
      </c>
      <c r="R126" s="120">
        <v>1.03764015</v>
      </c>
      <c r="S126" s="15"/>
      <c r="T126" s="161"/>
      <c r="AA126" s="15"/>
      <c r="AB126" s="15"/>
      <c r="AC126" s="15"/>
      <c r="AD126" s="15"/>
      <c r="AE126" s="15"/>
    </row>
    <row r="127" ht="15.0" customHeight="1">
      <c r="A127" s="134" t="s">
        <v>249</v>
      </c>
      <c r="B127" s="3" t="s">
        <v>282</v>
      </c>
      <c r="C127" s="3" t="s">
        <v>284</v>
      </c>
      <c r="D127" s="3" t="s">
        <v>251</v>
      </c>
      <c r="E127" s="8">
        <v>6.0</v>
      </c>
      <c r="F127" s="162" t="s">
        <v>277</v>
      </c>
      <c r="G127" s="137">
        <v>8.72802161</v>
      </c>
      <c r="H127" s="137">
        <v>0.13309913</v>
      </c>
      <c r="I127" s="137">
        <v>5.27032718</v>
      </c>
      <c r="J127" s="120">
        <f t="shared" si="1"/>
        <v>65.57534681</v>
      </c>
      <c r="K127" s="121"/>
      <c r="L127" s="121">
        <v>-1.102</v>
      </c>
      <c r="M127" s="122"/>
      <c r="N127" s="120">
        <v>41.2</v>
      </c>
      <c r="O127" s="120">
        <v>8.11656196387045</v>
      </c>
      <c r="P127" s="123">
        <v>9.252415559811785</v>
      </c>
      <c r="Q127" s="120">
        <v>1.0</v>
      </c>
      <c r="R127" s="120">
        <v>1.1399427000000004</v>
      </c>
      <c r="S127" s="15"/>
      <c r="T127" s="161"/>
      <c r="AA127" s="15"/>
      <c r="AB127" s="15"/>
      <c r="AC127" s="15"/>
      <c r="AD127" s="15"/>
      <c r="AE127" s="15"/>
    </row>
    <row r="128" ht="15.0" customHeight="1">
      <c r="A128" s="134" t="s">
        <v>256</v>
      </c>
      <c r="B128" s="3" t="s">
        <v>278</v>
      </c>
      <c r="C128" s="3" t="s">
        <v>285</v>
      </c>
      <c r="D128" s="135" t="s">
        <v>240</v>
      </c>
      <c r="E128" s="8">
        <v>1.0</v>
      </c>
      <c r="F128" s="162" t="s">
        <v>277</v>
      </c>
      <c r="G128" s="137">
        <v>5.25483356</v>
      </c>
      <c r="H128" s="137">
        <v>0.09417166</v>
      </c>
      <c r="I128" s="137">
        <v>3.4887761</v>
      </c>
      <c r="J128" s="120">
        <f t="shared" si="1"/>
        <v>55.80058332</v>
      </c>
      <c r="K128" s="121">
        <v>-0.513</v>
      </c>
      <c r="L128" s="121">
        <v>-1.168</v>
      </c>
      <c r="M128" s="122">
        <v>0.655</v>
      </c>
      <c r="N128" s="120">
        <v>43.8</v>
      </c>
      <c r="O128" s="120">
        <v>5.32637572519084</v>
      </c>
      <c r="P128" s="123">
        <v>5.293331955466901</v>
      </c>
      <c r="Q128" s="120">
        <v>0.7142857142857143</v>
      </c>
      <c r="R128" s="120">
        <v>0.9937962000000001</v>
      </c>
      <c r="S128" s="15"/>
      <c r="T128" s="161"/>
      <c r="AA128" s="15"/>
      <c r="AB128" s="15"/>
      <c r="AC128" s="15"/>
      <c r="AD128" s="15"/>
      <c r="AE128" s="15"/>
    </row>
    <row r="129" ht="15.0" customHeight="1">
      <c r="A129" s="134" t="s">
        <v>256</v>
      </c>
      <c r="B129" s="3" t="s">
        <v>278</v>
      </c>
      <c r="C129" s="3" t="s">
        <v>285</v>
      </c>
      <c r="D129" s="135" t="s">
        <v>240</v>
      </c>
      <c r="E129" s="8">
        <v>2.0</v>
      </c>
      <c r="F129" s="162" t="s">
        <v>277</v>
      </c>
      <c r="G129" s="137">
        <v>5.53517296</v>
      </c>
      <c r="H129" s="137">
        <v>0.07996899</v>
      </c>
      <c r="I129" s="137">
        <v>2.47564692</v>
      </c>
      <c r="J129" s="120">
        <f t="shared" si="1"/>
        <v>69.21649204</v>
      </c>
      <c r="K129" s="121"/>
      <c r="L129" s="121">
        <v>-1.052</v>
      </c>
      <c r="M129" s="122"/>
      <c r="N129" s="120">
        <v>50.5</v>
      </c>
      <c r="O129" s="120">
        <v>4.5397225899913805</v>
      </c>
      <c r="P129" s="123">
        <v>5.042330712986132</v>
      </c>
      <c r="Q129" s="120">
        <v>1.2857142857142858</v>
      </c>
      <c r="R129" s="120">
        <v>1.1107134</v>
      </c>
      <c r="S129" s="15"/>
      <c r="T129" s="161"/>
      <c r="AA129" s="15"/>
      <c r="AB129" s="15"/>
      <c r="AC129" s="15"/>
      <c r="AD129" s="15"/>
      <c r="AE129" s="15"/>
    </row>
    <row r="130" ht="15.0" customHeight="1">
      <c r="A130" s="134" t="s">
        <v>256</v>
      </c>
      <c r="B130" s="3" t="s">
        <v>278</v>
      </c>
      <c r="C130" s="3" t="s">
        <v>285</v>
      </c>
      <c r="D130" s="135" t="s">
        <v>240</v>
      </c>
      <c r="E130" s="8">
        <v>3.0</v>
      </c>
      <c r="F130" s="162" t="s">
        <v>277</v>
      </c>
      <c r="G130" s="137">
        <v>11.2441917</v>
      </c>
      <c r="H130" s="137">
        <v>0.19363732</v>
      </c>
      <c r="I130" s="137">
        <v>6.57142378</v>
      </c>
      <c r="J130" s="120">
        <f t="shared" si="1"/>
        <v>58.06830884</v>
      </c>
      <c r="K130" s="121">
        <v>-0.46</v>
      </c>
      <c r="L130" s="121">
        <v>-1.181</v>
      </c>
      <c r="M130" s="122">
        <v>0.721</v>
      </c>
      <c r="N130" s="120">
        <v>52.9</v>
      </c>
      <c r="O130" s="120">
        <v>9.1143186962552</v>
      </c>
      <c r="P130" s="123">
        <v>9.324180441395827</v>
      </c>
      <c r="Q130" s="120">
        <v>1.0</v>
      </c>
      <c r="R130" s="120">
        <v>1.0230255000000004</v>
      </c>
      <c r="S130" s="15"/>
      <c r="T130" s="161"/>
      <c r="AA130" s="15"/>
      <c r="AB130" s="15"/>
      <c r="AC130" s="15"/>
      <c r="AD130" s="15"/>
      <c r="AE130" s="15"/>
    </row>
    <row r="131" ht="15.0" customHeight="1">
      <c r="A131" s="134" t="s">
        <v>256</v>
      </c>
      <c r="B131" s="3" t="s">
        <v>278</v>
      </c>
      <c r="C131" s="3" t="s">
        <v>285</v>
      </c>
      <c r="D131" s="135" t="s">
        <v>240</v>
      </c>
      <c r="E131" s="8">
        <v>4.0</v>
      </c>
      <c r="F131" s="162" t="s">
        <v>277</v>
      </c>
      <c r="G131" s="137">
        <v>10.6091507</v>
      </c>
      <c r="H131" s="137">
        <v>0.20508299</v>
      </c>
      <c r="I131" s="137">
        <v>6.59408621</v>
      </c>
      <c r="J131" s="120">
        <f t="shared" si="1"/>
        <v>51.73101241</v>
      </c>
      <c r="K131" s="121"/>
      <c r="L131" s="121">
        <v>-0.998</v>
      </c>
      <c r="M131" s="122"/>
      <c r="N131" s="120">
        <v>27.7</v>
      </c>
      <c r="O131" s="120">
        <v>13.420890664115767</v>
      </c>
      <c r="P131" s="123">
        <v>12.356922043892132</v>
      </c>
      <c r="Q131" s="120">
        <v>0.0</v>
      </c>
      <c r="R131" s="120">
        <v>0.9207229500000002</v>
      </c>
      <c r="S131" s="15"/>
      <c r="T131" s="161"/>
      <c r="AA131" s="15"/>
      <c r="AB131" s="15"/>
      <c r="AC131" s="15"/>
      <c r="AD131" s="15"/>
      <c r="AE131" s="15"/>
    </row>
    <row r="132" ht="15.0" customHeight="1">
      <c r="A132" s="134" t="s">
        <v>256</v>
      </c>
      <c r="B132" s="3" t="s">
        <v>278</v>
      </c>
      <c r="C132" s="3" t="s">
        <v>285</v>
      </c>
      <c r="D132" s="135" t="s">
        <v>240</v>
      </c>
      <c r="E132" s="8">
        <v>5.0</v>
      </c>
      <c r="F132" s="162" t="s">
        <v>277</v>
      </c>
      <c r="G132" s="137">
        <v>14.7087608</v>
      </c>
      <c r="H132" s="137">
        <v>0.28184839</v>
      </c>
      <c r="I132" s="137">
        <v>8.86117499</v>
      </c>
      <c r="J132" s="120">
        <f t="shared" si="1"/>
        <v>52.18678311</v>
      </c>
      <c r="K132" s="121">
        <v>-0.547</v>
      </c>
      <c r="L132" s="121">
        <v>-0.983</v>
      </c>
      <c r="M132" s="122">
        <v>0.436</v>
      </c>
      <c r="N132" s="120">
        <v>58.9</v>
      </c>
      <c r="O132" s="120">
        <v>20.323795848623856</v>
      </c>
      <c r="P132" s="123">
        <v>19.90068592093908</v>
      </c>
      <c r="Q132" s="120">
        <v>0.8571428571428571</v>
      </c>
      <c r="R132" s="120">
        <v>0.9791815500000003</v>
      </c>
      <c r="S132" s="15"/>
      <c r="T132" s="161"/>
      <c r="AA132" s="15"/>
      <c r="AB132" s="15"/>
      <c r="AC132" s="15"/>
      <c r="AD132" s="15"/>
      <c r="AE132" s="15"/>
    </row>
    <row r="133" ht="15.0" customHeight="1">
      <c r="A133" s="134" t="s">
        <v>256</v>
      </c>
      <c r="B133" s="3" t="s">
        <v>278</v>
      </c>
      <c r="C133" s="3" t="s">
        <v>285</v>
      </c>
      <c r="D133" s="135" t="s">
        <v>240</v>
      </c>
      <c r="E133" s="8">
        <v>6.0</v>
      </c>
      <c r="F133" s="162" t="s">
        <v>277</v>
      </c>
      <c r="G133" s="137">
        <v>4.66713835</v>
      </c>
      <c r="H133" s="137">
        <v>0.0636256</v>
      </c>
      <c r="I133" s="137">
        <v>2.9028657</v>
      </c>
      <c r="J133" s="120">
        <f t="shared" si="1"/>
        <v>73.35315266</v>
      </c>
      <c r="K133" s="121"/>
      <c r="L133" s="121">
        <v>-1.234</v>
      </c>
      <c r="M133" s="122"/>
      <c r="N133" s="120">
        <v>35.7</v>
      </c>
      <c r="O133" s="120">
        <v>3.9911260363246392</v>
      </c>
      <c r="P133" s="123">
        <v>4.374668259507893</v>
      </c>
      <c r="Q133" s="120">
        <v>1.0</v>
      </c>
      <c r="R133" s="120">
        <v>1.0960987500000003</v>
      </c>
      <c r="S133" s="15"/>
      <c r="T133" s="161"/>
      <c r="AA133" s="15"/>
      <c r="AB133" s="15"/>
      <c r="AC133" s="15"/>
      <c r="AD133" s="15"/>
      <c r="AE133" s="15"/>
    </row>
    <row r="134" ht="15.0" customHeight="1">
      <c r="A134" s="134" t="s">
        <v>244</v>
      </c>
      <c r="B134" s="3" t="s">
        <v>282</v>
      </c>
      <c r="C134" s="3" t="s">
        <v>286</v>
      </c>
      <c r="D134" s="3" t="s">
        <v>251</v>
      </c>
      <c r="E134" s="8">
        <v>1.0</v>
      </c>
      <c r="F134" s="162" t="s">
        <v>277</v>
      </c>
      <c r="G134" s="137">
        <v>15.2680348</v>
      </c>
      <c r="H134" s="137">
        <v>0.25918764</v>
      </c>
      <c r="I134" s="137">
        <v>7.31640737</v>
      </c>
      <c r="J134" s="120">
        <f t="shared" si="1"/>
        <v>58.90726425</v>
      </c>
      <c r="K134" s="121">
        <v>-0.449</v>
      </c>
      <c r="L134" s="121">
        <v>-1.156</v>
      </c>
      <c r="M134" s="122">
        <v>0.707</v>
      </c>
      <c r="N134" s="120">
        <v>39.6</v>
      </c>
      <c r="O134" s="120">
        <v>10.348525275813298</v>
      </c>
      <c r="P134" s="123">
        <v>11.796725843928861</v>
      </c>
      <c r="Q134" s="120">
        <v>1.1428571428571428</v>
      </c>
      <c r="R134" s="120">
        <v>1.1399427000000004</v>
      </c>
      <c r="S134" s="15"/>
      <c r="T134" s="161"/>
      <c r="AA134" s="15"/>
      <c r="AB134" s="15"/>
      <c r="AC134" s="15"/>
      <c r="AD134" s="15"/>
      <c r="AE134" s="15"/>
    </row>
    <row r="135" ht="15.0" customHeight="1">
      <c r="A135" s="134" t="s">
        <v>244</v>
      </c>
      <c r="B135" s="3" t="s">
        <v>282</v>
      </c>
      <c r="C135" s="3" t="s">
        <v>286</v>
      </c>
      <c r="D135" s="3" t="s">
        <v>251</v>
      </c>
      <c r="E135" s="8">
        <v>2.0</v>
      </c>
      <c r="F135" s="162" t="s">
        <v>277</v>
      </c>
      <c r="G135" s="137">
        <v>12.6057212</v>
      </c>
      <c r="H135" s="137">
        <v>0.25136732</v>
      </c>
      <c r="I135" s="137">
        <v>5.96896182</v>
      </c>
      <c r="J135" s="120">
        <f t="shared" si="1"/>
        <v>50.14860802</v>
      </c>
      <c r="K135" s="121"/>
      <c r="L135" s="121">
        <v>-1.047</v>
      </c>
      <c r="M135" s="122"/>
      <c r="N135" s="120">
        <v>37.8</v>
      </c>
      <c r="O135" s="120">
        <v>8.908898238805971</v>
      </c>
      <c r="P135" s="123">
        <v>8.593228356620536</v>
      </c>
      <c r="Q135" s="120">
        <v>0.8571428571428571</v>
      </c>
      <c r="R135" s="120">
        <v>0.9645669000000001</v>
      </c>
      <c r="S135" s="15"/>
      <c r="T135" s="161"/>
      <c r="AA135" s="15"/>
      <c r="AB135" s="15"/>
      <c r="AC135" s="15"/>
      <c r="AD135" s="15"/>
      <c r="AE135" s="15"/>
    </row>
    <row r="136" ht="15.0" customHeight="1">
      <c r="A136" s="134" t="s">
        <v>244</v>
      </c>
      <c r="B136" s="3" t="s">
        <v>282</v>
      </c>
      <c r="C136" s="3" t="s">
        <v>286</v>
      </c>
      <c r="D136" s="3" t="s">
        <v>251</v>
      </c>
      <c r="E136" s="8">
        <v>3.0</v>
      </c>
      <c r="F136" s="162" t="s">
        <v>277</v>
      </c>
      <c r="G136" s="137">
        <v>11.1435772</v>
      </c>
      <c r="H136" s="137">
        <v>0.17950466</v>
      </c>
      <c r="I136" s="137">
        <v>6.34206366</v>
      </c>
      <c r="J136" s="120">
        <f t="shared" si="1"/>
        <v>62.07959838</v>
      </c>
      <c r="K136" s="121">
        <v>-0.306</v>
      </c>
      <c r="L136" s="121">
        <v>-1.132</v>
      </c>
      <c r="M136" s="122">
        <v>0.826</v>
      </c>
      <c r="N136" s="120">
        <v>43.0</v>
      </c>
      <c r="O136" s="120">
        <v>7.678043171912834</v>
      </c>
      <c r="P136" s="123">
        <v>8.976953091391675</v>
      </c>
      <c r="Q136" s="120">
        <v>0.8571428571428571</v>
      </c>
      <c r="R136" s="120">
        <v>1.1691720000000003</v>
      </c>
      <c r="S136" s="15"/>
      <c r="T136" s="161"/>
      <c r="AA136" s="15"/>
      <c r="AB136" s="15"/>
      <c r="AC136" s="15"/>
      <c r="AD136" s="15"/>
      <c r="AE136" s="15"/>
    </row>
    <row r="137" ht="15.0" customHeight="1">
      <c r="A137" s="134" t="s">
        <v>244</v>
      </c>
      <c r="B137" s="3" t="s">
        <v>282</v>
      </c>
      <c r="C137" s="3" t="s">
        <v>286</v>
      </c>
      <c r="D137" s="3" t="s">
        <v>251</v>
      </c>
      <c r="E137" s="8">
        <v>4.0</v>
      </c>
      <c r="F137" s="162" t="s">
        <v>277</v>
      </c>
      <c r="G137" s="137">
        <v>9.61397426</v>
      </c>
      <c r="H137" s="137">
        <v>0.18707707</v>
      </c>
      <c r="I137" s="137">
        <v>6.13214843</v>
      </c>
      <c r="J137" s="120">
        <f t="shared" si="1"/>
        <v>51.39044705</v>
      </c>
      <c r="K137" s="121"/>
      <c r="L137" s="121">
        <v>-1.18</v>
      </c>
      <c r="M137" s="122"/>
      <c r="N137" s="120">
        <v>40.9</v>
      </c>
      <c r="O137" s="120">
        <v>7.636548480697385</v>
      </c>
      <c r="P137" s="123">
        <v>8.705227693767078</v>
      </c>
      <c r="Q137" s="120">
        <v>1.1428571428571428</v>
      </c>
      <c r="R137" s="120">
        <v>1.1399427000000004</v>
      </c>
      <c r="S137" s="15"/>
      <c r="T137" s="161"/>
      <c r="AA137" s="15"/>
      <c r="AB137" s="15"/>
      <c r="AC137" s="15"/>
      <c r="AD137" s="15"/>
      <c r="AE137" s="15"/>
    </row>
    <row r="138" ht="15.0" customHeight="1">
      <c r="A138" s="134" t="s">
        <v>244</v>
      </c>
      <c r="B138" s="3" t="s">
        <v>282</v>
      </c>
      <c r="C138" s="3" t="s">
        <v>286</v>
      </c>
      <c r="D138" s="3" t="s">
        <v>251</v>
      </c>
      <c r="E138" s="8">
        <v>5.0</v>
      </c>
      <c r="F138" s="162" t="s">
        <v>277</v>
      </c>
      <c r="G138" s="137">
        <v>12.6686493</v>
      </c>
      <c r="H138" s="137">
        <v>0.1919644</v>
      </c>
      <c r="I138" s="137">
        <v>7.08930003</v>
      </c>
      <c r="J138" s="120">
        <f t="shared" si="1"/>
        <v>65.99478497</v>
      </c>
      <c r="K138" s="121">
        <v>-0.376</v>
      </c>
      <c r="L138" s="121">
        <v>-1.212</v>
      </c>
      <c r="M138" s="122">
        <v>0.836</v>
      </c>
      <c r="N138" s="120">
        <v>42.0</v>
      </c>
      <c r="O138" s="120">
        <v>8.480023959330145</v>
      </c>
      <c r="P138" s="123">
        <v>7.807752675905132</v>
      </c>
      <c r="Q138" s="120">
        <v>0.8571428571428571</v>
      </c>
      <c r="R138" s="120">
        <v>0.9207229500000002</v>
      </c>
      <c r="S138" s="15"/>
      <c r="T138" s="161"/>
      <c r="AA138" s="15"/>
      <c r="AB138" s="15"/>
      <c r="AC138" s="15"/>
      <c r="AD138" s="15"/>
      <c r="AE138" s="15"/>
    </row>
    <row r="139" ht="15.0" customHeight="1">
      <c r="A139" s="134" t="s">
        <v>244</v>
      </c>
      <c r="B139" s="3" t="s">
        <v>282</v>
      </c>
      <c r="C139" s="3" t="s">
        <v>286</v>
      </c>
      <c r="D139" s="3" t="s">
        <v>251</v>
      </c>
      <c r="E139" s="8">
        <v>6.0</v>
      </c>
      <c r="F139" s="162" t="s">
        <v>277</v>
      </c>
      <c r="G139" s="137">
        <v>2.74228896</v>
      </c>
      <c r="H139" s="137">
        <v>0.03833153</v>
      </c>
      <c r="I139" s="137">
        <v>2.0421591</v>
      </c>
      <c r="J139" s="120">
        <f t="shared" si="1"/>
        <v>71.54133842</v>
      </c>
      <c r="K139" s="121"/>
      <c r="L139" s="121">
        <v>-1.004</v>
      </c>
      <c r="M139" s="122"/>
      <c r="N139" s="120">
        <v>42.3</v>
      </c>
      <c r="O139" s="120">
        <v>3.2570320574162683</v>
      </c>
      <c r="P139" s="123">
        <v>3.379627232612225</v>
      </c>
      <c r="Q139" s="120">
        <v>0.7142857142857143</v>
      </c>
      <c r="R139" s="120">
        <v>1.03764015</v>
      </c>
      <c r="S139" s="15"/>
      <c r="T139" s="161"/>
      <c r="AA139" s="15"/>
      <c r="AB139" s="15"/>
      <c r="AC139" s="15"/>
      <c r="AD139" s="15"/>
      <c r="AE139" s="15"/>
    </row>
    <row r="140" ht="15.0" customHeight="1">
      <c r="A140" s="134" t="s">
        <v>256</v>
      </c>
      <c r="B140" s="3" t="s">
        <v>278</v>
      </c>
      <c r="C140" s="3" t="s">
        <v>285</v>
      </c>
      <c r="D140" s="3" t="s">
        <v>251</v>
      </c>
      <c r="E140" s="8">
        <v>1.0</v>
      </c>
      <c r="F140" s="162" t="s">
        <v>277</v>
      </c>
      <c r="G140" s="137">
        <v>4.62806723</v>
      </c>
      <c r="H140" s="137">
        <v>0.05829291</v>
      </c>
      <c r="I140" s="137">
        <v>2.33953963</v>
      </c>
      <c r="J140" s="120">
        <f t="shared" si="1"/>
        <v>79.39331267</v>
      </c>
      <c r="K140" s="121">
        <v>-0.41</v>
      </c>
      <c r="L140" s="121">
        <v>-1.045</v>
      </c>
      <c r="M140" s="122">
        <v>0.635</v>
      </c>
      <c r="N140" s="120">
        <v>44.8</v>
      </c>
      <c r="O140" s="120">
        <v>3.684314377952756</v>
      </c>
      <c r="P140" s="123">
        <v>3.876837488909803</v>
      </c>
      <c r="Q140" s="120">
        <v>1.2857142857142858</v>
      </c>
      <c r="R140" s="120">
        <v>1.0522548000000003</v>
      </c>
      <c r="S140" s="15"/>
      <c r="T140" s="161"/>
      <c r="AA140" s="15"/>
      <c r="AB140" s="15"/>
      <c r="AC140" s="15"/>
      <c r="AD140" s="15"/>
      <c r="AE140" s="15"/>
    </row>
    <row r="141" ht="15.0" customHeight="1">
      <c r="A141" s="134" t="s">
        <v>256</v>
      </c>
      <c r="B141" s="3" t="s">
        <v>278</v>
      </c>
      <c r="C141" s="3" t="s">
        <v>285</v>
      </c>
      <c r="D141" s="3" t="s">
        <v>251</v>
      </c>
      <c r="E141" s="8">
        <v>2.0</v>
      </c>
      <c r="F141" s="162" t="s">
        <v>277</v>
      </c>
      <c r="G141" s="137">
        <v>6.7717893</v>
      </c>
      <c r="H141" s="137">
        <v>0.09691783</v>
      </c>
      <c r="I141" s="137">
        <v>2.99597325</v>
      </c>
      <c r="J141" s="120">
        <f t="shared" si="1"/>
        <v>69.87144987</v>
      </c>
      <c r="K141" s="121"/>
      <c r="L141" s="121">
        <v>-1.037</v>
      </c>
      <c r="M141" s="122"/>
      <c r="N141" s="120">
        <v>33.1</v>
      </c>
      <c r="O141" s="120">
        <v>4.564736108360124</v>
      </c>
      <c r="P141" s="123">
        <v>4.202857295660855</v>
      </c>
      <c r="Q141" s="120">
        <v>0.8571428571428571</v>
      </c>
      <c r="R141" s="120">
        <v>0.9207229500000002</v>
      </c>
      <c r="S141" s="15"/>
      <c r="T141" s="161"/>
      <c r="AA141" s="15"/>
      <c r="AB141" s="15"/>
      <c r="AC141" s="15"/>
      <c r="AD141" s="15"/>
      <c r="AE141" s="15"/>
    </row>
    <row r="142" ht="15.0" customHeight="1">
      <c r="A142" s="134" t="s">
        <v>256</v>
      </c>
      <c r="B142" s="3" t="s">
        <v>278</v>
      </c>
      <c r="C142" s="3" t="s">
        <v>285</v>
      </c>
      <c r="D142" s="3" t="s">
        <v>251</v>
      </c>
      <c r="E142" s="8">
        <v>3.0</v>
      </c>
      <c r="F142" s="162" t="s">
        <v>277</v>
      </c>
      <c r="G142" s="137">
        <v>7.14247523</v>
      </c>
      <c r="H142" s="137">
        <v>0.1081617</v>
      </c>
      <c r="I142" s="137">
        <v>4.30665156</v>
      </c>
      <c r="J142" s="120">
        <f t="shared" si="1"/>
        <v>66.0351606</v>
      </c>
      <c r="K142" s="121">
        <v>-0.312</v>
      </c>
      <c r="L142" s="121">
        <v>-0.957</v>
      </c>
      <c r="M142" s="122">
        <v>0.645</v>
      </c>
      <c r="N142" s="120">
        <v>42.2</v>
      </c>
      <c r="O142" s="120">
        <v>6.676979162790697</v>
      </c>
      <c r="P142" s="123">
        <v>6.830719946503537</v>
      </c>
      <c r="Q142" s="120">
        <v>0.5714285714285714</v>
      </c>
      <c r="R142" s="120">
        <v>1.0230255000000004</v>
      </c>
      <c r="S142" s="15"/>
      <c r="T142" s="161"/>
      <c r="AA142" s="15"/>
      <c r="AB142" s="15"/>
      <c r="AC142" s="15"/>
      <c r="AD142" s="15"/>
      <c r="AE142" s="15"/>
    </row>
    <row r="143" ht="15.0" customHeight="1">
      <c r="A143" s="134" t="s">
        <v>256</v>
      </c>
      <c r="B143" s="3" t="s">
        <v>278</v>
      </c>
      <c r="C143" s="3" t="s">
        <v>285</v>
      </c>
      <c r="D143" s="3" t="s">
        <v>251</v>
      </c>
      <c r="E143" s="8">
        <v>4.0</v>
      </c>
      <c r="F143" s="162" t="s">
        <v>277</v>
      </c>
      <c r="G143" s="137">
        <v>7.5811609</v>
      </c>
      <c r="H143" s="137">
        <v>0.10074274</v>
      </c>
      <c r="I143" s="137">
        <v>3.98512576</v>
      </c>
      <c r="J143" s="120">
        <f t="shared" si="1"/>
        <v>75.25267726</v>
      </c>
      <c r="K143" s="121"/>
      <c r="L143" s="121">
        <v>-0.987</v>
      </c>
      <c r="M143" s="122"/>
      <c r="N143" s="120">
        <v>34.9</v>
      </c>
      <c r="O143" s="120">
        <v>6.57253601174278</v>
      </c>
      <c r="P143" s="123">
        <v>6.723871939681165</v>
      </c>
      <c r="Q143" s="120">
        <v>1.0</v>
      </c>
      <c r="R143" s="120">
        <v>1.0230255000000004</v>
      </c>
      <c r="S143" s="15"/>
      <c r="T143" s="161"/>
      <c r="AA143" s="15"/>
      <c r="AB143" s="15"/>
      <c r="AC143" s="15"/>
      <c r="AD143" s="15"/>
      <c r="AE143" s="15"/>
    </row>
    <row r="144" ht="15.0" customHeight="1">
      <c r="A144" s="134" t="s">
        <v>256</v>
      </c>
      <c r="B144" s="3" t="s">
        <v>278</v>
      </c>
      <c r="C144" s="3" t="s">
        <v>285</v>
      </c>
      <c r="D144" s="3" t="s">
        <v>251</v>
      </c>
      <c r="E144" s="8">
        <v>5.0</v>
      </c>
      <c r="F144" s="162" t="s">
        <v>277</v>
      </c>
      <c r="G144" s="137">
        <v>7.35783902</v>
      </c>
      <c r="H144" s="137">
        <v>0.11283843</v>
      </c>
      <c r="I144" s="137">
        <v>5.03363468</v>
      </c>
      <c r="J144" s="120">
        <f t="shared" si="1"/>
        <v>65.20685391</v>
      </c>
      <c r="K144" s="121">
        <v>-0.42</v>
      </c>
      <c r="L144" s="121">
        <v>-1.018</v>
      </c>
      <c r="M144" s="122">
        <v>0.598</v>
      </c>
      <c r="N144" s="120">
        <v>36.9</v>
      </c>
      <c r="O144" s="120">
        <v>8.41744929765886</v>
      </c>
      <c r="P144" s="123">
        <v>7.504102598059836</v>
      </c>
      <c r="Q144" s="120">
        <v>0.8571428571428571</v>
      </c>
      <c r="R144" s="120">
        <v>0.8914936500000001</v>
      </c>
      <c r="S144" s="15"/>
      <c r="T144" s="161"/>
      <c r="AA144" s="15"/>
      <c r="AB144" s="15"/>
      <c r="AC144" s="15"/>
      <c r="AD144" s="15"/>
      <c r="AE144" s="15"/>
    </row>
    <row r="145" ht="15.0" customHeight="1">
      <c r="A145" s="134" t="s">
        <v>256</v>
      </c>
      <c r="B145" s="3" t="s">
        <v>278</v>
      </c>
      <c r="C145" s="3" t="s">
        <v>285</v>
      </c>
      <c r="D145" s="3" t="s">
        <v>251</v>
      </c>
      <c r="E145" s="8">
        <v>6.0</v>
      </c>
      <c r="F145" s="162" t="s">
        <v>277</v>
      </c>
      <c r="G145" s="137">
        <v>3.76351846</v>
      </c>
      <c r="H145" s="137">
        <v>0.04865869</v>
      </c>
      <c r="I145" s="137">
        <v>2.47259693</v>
      </c>
      <c r="J145" s="120">
        <f t="shared" si="1"/>
        <v>77.3452483</v>
      </c>
      <c r="K145" s="121"/>
      <c r="L145" s="121">
        <v>-1.012</v>
      </c>
      <c r="M145" s="122"/>
      <c r="N145" s="120">
        <v>39.1</v>
      </c>
      <c r="O145" s="120">
        <v>3.9164888885368985</v>
      </c>
      <c r="P145" s="123">
        <v>4.063906117774761</v>
      </c>
      <c r="Q145" s="120">
        <v>0.0</v>
      </c>
      <c r="R145" s="120">
        <v>1.03764015</v>
      </c>
      <c r="S145" s="15"/>
      <c r="T145" s="161"/>
      <c r="AA145" s="15"/>
      <c r="AB145" s="15"/>
      <c r="AC145" s="15"/>
      <c r="AD145" s="15"/>
      <c r="AE145" s="15"/>
    </row>
    <row r="146" ht="15.0" customHeight="1">
      <c r="A146" s="134" t="s">
        <v>249</v>
      </c>
      <c r="B146" s="3" t="s">
        <v>278</v>
      </c>
      <c r="C146" s="3" t="s">
        <v>281</v>
      </c>
      <c r="D146" s="135" t="s">
        <v>240</v>
      </c>
      <c r="E146" s="8">
        <v>1.0</v>
      </c>
      <c r="F146" s="162" t="s">
        <v>277</v>
      </c>
      <c r="G146" s="137">
        <v>12.2441974</v>
      </c>
      <c r="H146" s="137">
        <v>0.16478016</v>
      </c>
      <c r="I146" s="137">
        <v>5.59644918</v>
      </c>
      <c r="J146" s="120">
        <f t="shared" si="1"/>
        <v>74.30625993</v>
      </c>
      <c r="K146" s="121">
        <v>-0.48</v>
      </c>
      <c r="L146" s="121">
        <v>-0.908</v>
      </c>
      <c r="M146" s="122">
        <v>0.428</v>
      </c>
      <c r="N146" s="120">
        <v>36.3</v>
      </c>
      <c r="O146" s="120">
        <v>13.075815841121493</v>
      </c>
      <c r="P146" s="123">
        <v>9.554923599122313</v>
      </c>
      <c r="Q146" s="120">
        <v>0.5714285714285714</v>
      </c>
      <c r="R146" s="120">
        <v>0.7307325000000001</v>
      </c>
      <c r="S146" s="15"/>
      <c r="T146" s="161"/>
      <c r="AA146" s="15"/>
      <c r="AB146" s="15"/>
      <c r="AC146" s="15"/>
      <c r="AD146" s="15"/>
      <c r="AE146" s="15"/>
    </row>
    <row r="147" ht="15.0" customHeight="1">
      <c r="A147" s="134" t="s">
        <v>249</v>
      </c>
      <c r="B147" s="3" t="s">
        <v>278</v>
      </c>
      <c r="C147" s="3" t="s">
        <v>281</v>
      </c>
      <c r="D147" s="135" t="s">
        <v>240</v>
      </c>
      <c r="E147" s="8">
        <v>2.0</v>
      </c>
      <c r="F147" s="162" t="s">
        <v>277</v>
      </c>
      <c r="G147" s="137">
        <v>4.04750294</v>
      </c>
      <c r="H147" s="137">
        <v>0.06155992</v>
      </c>
      <c r="I147" s="137">
        <v>2.09195947</v>
      </c>
      <c r="J147" s="120">
        <f t="shared" si="1"/>
        <v>65.7489961</v>
      </c>
      <c r="K147" s="121"/>
      <c r="L147" s="121">
        <v>-1.025</v>
      </c>
      <c r="M147" s="122"/>
      <c r="N147" s="120">
        <v>44.6</v>
      </c>
      <c r="O147" s="120">
        <v>3.453959202205822</v>
      </c>
      <c r="P147" s="123">
        <v>3.230617910689109</v>
      </c>
      <c r="Q147" s="120">
        <v>1.1428571428571428</v>
      </c>
      <c r="R147" s="120">
        <v>0.9353376000000002</v>
      </c>
      <c r="S147" s="15"/>
      <c r="T147" s="161"/>
      <c r="AA147" s="15"/>
      <c r="AB147" s="15"/>
      <c r="AC147" s="15"/>
      <c r="AD147" s="15"/>
      <c r="AE147" s="15"/>
    </row>
    <row r="148" ht="15.0" customHeight="1">
      <c r="A148" s="134" t="s">
        <v>249</v>
      </c>
      <c r="B148" s="3" t="s">
        <v>278</v>
      </c>
      <c r="C148" s="3" t="s">
        <v>281</v>
      </c>
      <c r="D148" s="135" t="s">
        <v>240</v>
      </c>
      <c r="E148" s="8">
        <v>3.0</v>
      </c>
      <c r="F148" s="162" t="s">
        <v>277</v>
      </c>
      <c r="G148" s="137">
        <v>5.70154756</v>
      </c>
      <c r="H148" s="137">
        <v>0.06487896</v>
      </c>
      <c r="I148" s="137">
        <v>2.86266593</v>
      </c>
      <c r="J148" s="120">
        <f t="shared" si="1"/>
        <v>87.87976194</v>
      </c>
      <c r="K148" s="121">
        <v>-0.415</v>
      </c>
      <c r="L148" s="121">
        <v>-1.24</v>
      </c>
      <c r="M148" s="122">
        <v>0.825</v>
      </c>
      <c r="N148" s="120">
        <v>42.7</v>
      </c>
      <c r="O148" s="120">
        <v>3.469898096969697</v>
      </c>
      <c r="P148" s="123">
        <v>3.3976601969328395</v>
      </c>
      <c r="Q148" s="120">
        <v>1.1428571428571428</v>
      </c>
      <c r="R148" s="120">
        <v>0.9791815500000003</v>
      </c>
      <c r="S148" s="15"/>
      <c r="T148" s="161"/>
      <c r="AA148" s="15"/>
      <c r="AB148" s="15"/>
      <c r="AC148" s="15"/>
      <c r="AD148" s="15"/>
      <c r="AE148" s="15"/>
    </row>
    <row r="149" ht="15.0" customHeight="1">
      <c r="A149" s="134" t="s">
        <v>249</v>
      </c>
      <c r="B149" s="3" t="s">
        <v>278</v>
      </c>
      <c r="C149" s="3" t="s">
        <v>281</v>
      </c>
      <c r="D149" s="135" t="s">
        <v>240</v>
      </c>
      <c r="E149" s="8">
        <v>4.0</v>
      </c>
      <c r="F149" s="162" t="s">
        <v>277</v>
      </c>
      <c r="G149" s="137">
        <v>10.1063176</v>
      </c>
      <c r="H149" s="137">
        <v>0.15977844</v>
      </c>
      <c r="I149" s="137">
        <v>5.66328097</v>
      </c>
      <c r="J149" s="120">
        <f t="shared" si="1"/>
        <v>63.25207331</v>
      </c>
      <c r="K149" s="121"/>
      <c r="L149" s="121">
        <v>-1.17</v>
      </c>
      <c r="M149" s="122"/>
      <c r="N149" s="120">
        <v>42.2</v>
      </c>
      <c r="O149" s="120">
        <v>7.544301717132695</v>
      </c>
      <c r="P149" s="123">
        <v>7.387241049049655</v>
      </c>
      <c r="Q149" s="120">
        <v>1.1428571428571428</v>
      </c>
      <c r="R149" s="120">
        <v>0.9791815500000003</v>
      </c>
      <c r="S149" s="15"/>
      <c r="T149" s="161"/>
      <c r="AA149" s="15"/>
      <c r="AB149" s="15"/>
      <c r="AC149" s="15"/>
      <c r="AD149" s="15"/>
      <c r="AE149" s="15"/>
    </row>
    <row r="150" ht="15.0" customHeight="1">
      <c r="A150" s="134" t="s">
        <v>249</v>
      </c>
      <c r="B150" s="3" t="s">
        <v>278</v>
      </c>
      <c r="C150" s="3" t="s">
        <v>281</v>
      </c>
      <c r="D150" s="135" t="s">
        <v>240</v>
      </c>
      <c r="E150" s="8">
        <v>5.0</v>
      </c>
      <c r="F150" s="162" t="s">
        <v>277</v>
      </c>
      <c r="G150" s="137">
        <v>8.75315193</v>
      </c>
      <c r="H150" s="137">
        <v>0.14936123</v>
      </c>
      <c r="I150" s="137">
        <v>5.86475931</v>
      </c>
      <c r="J150" s="120">
        <f t="shared" si="1"/>
        <v>58.60390899</v>
      </c>
      <c r="K150" s="121">
        <v>-0.363</v>
      </c>
      <c r="L150" s="121">
        <v>-1.161</v>
      </c>
      <c r="M150" s="122">
        <v>0.798</v>
      </c>
      <c r="N150" s="120">
        <v>39.4</v>
      </c>
      <c r="O150" s="120">
        <v>7.349322443609022</v>
      </c>
      <c r="P150" s="123">
        <v>8.70002979528974</v>
      </c>
      <c r="Q150" s="120">
        <v>1.0</v>
      </c>
      <c r="R150" s="120">
        <v>1.1837866500000003</v>
      </c>
      <c r="S150" s="15"/>
      <c r="T150" s="161"/>
      <c r="AA150" s="15"/>
      <c r="AB150" s="15"/>
      <c r="AC150" s="15"/>
      <c r="AD150" s="15"/>
      <c r="AE150" s="15"/>
    </row>
    <row r="151" ht="15.0" customHeight="1">
      <c r="A151" s="134" t="s">
        <v>249</v>
      </c>
      <c r="B151" s="3" t="s">
        <v>278</v>
      </c>
      <c r="C151" s="3" t="s">
        <v>281</v>
      </c>
      <c r="D151" s="135" t="s">
        <v>240</v>
      </c>
      <c r="E151" s="8">
        <v>6.0</v>
      </c>
      <c r="F151" s="162" t="s">
        <v>277</v>
      </c>
      <c r="G151" s="137">
        <v>4.9801727</v>
      </c>
      <c r="H151" s="137">
        <v>0.06395797</v>
      </c>
      <c r="I151" s="137">
        <v>3.10543431</v>
      </c>
      <c r="J151" s="120">
        <f t="shared" si="1"/>
        <v>77.86633472</v>
      </c>
      <c r="K151" s="121"/>
      <c r="L151" s="121">
        <v>-1.93</v>
      </c>
      <c r="M151" s="122"/>
      <c r="N151" s="120">
        <v>42.2</v>
      </c>
      <c r="O151" s="120">
        <v>2.055666896145419</v>
      </c>
      <c r="P151" s="123">
        <v>2.1931282108738706</v>
      </c>
      <c r="Q151" s="120">
        <v>1.0</v>
      </c>
      <c r="R151" s="120">
        <v>1.0668694500000002</v>
      </c>
      <c r="S151" s="15"/>
      <c r="T151" s="161"/>
      <c r="AA151" s="15"/>
      <c r="AB151" s="15"/>
      <c r="AC151" s="15"/>
      <c r="AD151" s="15"/>
      <c r="AE151" s="15"/>
    </row>
    <row r="152" ht="15.0" customHeight="1">
      <c r="A152" s="134" t="s">
        <v>256</v>
      </c>
      <c r="B152" s="3" t="s">
        <v>282</v>
      </c>
      <c r="C152" s="3" t="s">
        <v>283</v>
      </c>
      <c r="D152" s="3" t="s">
        <v>251</v>
      </c>
      <c r="E152" s="8">
        <v>1.0</v>
      </c>
      <c r="F152" s="162" t="s">
        <v>277</v>
      </c>
      <c r="G152" s="137">
        <v>6.64505701</v>
      </c>
      <c r="H152" s="137">
        <v>0.08103853</v>
      </c>
      <c r="I152" s="137">
        <v>3.20189806</v>
      </c>
      <c r="J152" s="120">
        <f t="shared" si="1"/>
        <v>81.99873579</v>
      </c>
      <c r="K152" s="121">
        <v>-0.36</v>
      </c>
      <c r="L152" s="121">
        <v>-1.099</v>
      </c>
      <c r="M152" s="122">
        <v>0.739</v>
      </c>
      <c r="N152" s="120">
        <v>38.2</v>
      </c>
      <c r="O152" s="120">
        <v>4.332744330175913</v>
      </c>
      <c r="P152" s="123">
        <v>3.9259355993503364</v>
      </c>
      <c r="Q152" s="120">
        <v>0.8571428571428571</v>
      </c>
      <c r="R152" s="120">
        <v>0.9061083000000002</v>
      </c>
      <c r="S152" s="15"/>
      <c r="T152" s="161"/>
      <c r="AA152" s="15"/>
      <c r="AB152" s="15"/>
      <c r="AC152" s="15"/>
      <c r="AD152" s="15"/>
      <c r="AE152" s="15"/>
    </row>
    <row r="153" ht="15.0" customHeight="1">
      <c r="A153" s="134" t="s">
        <v>256</v>
      </c>
      <c r="B153" s="3" t="s">
        <v>282</v>
      </c>
      <c r="C153" s="3" t="s">
        <v>283</v>
      </c>
      <c r="D153" s="3" t="s">
        <v>251</v>
      </c>
      <c r="E153" s="8">
        <v>2.0</v>
      </c>
      <c r="F153" s="162" t="s">
        <v>277</v>
      </c>
      <c r="G153" s="137">
        <v>8.29283485</v>
      </c>
      <c r="H153" s="137">
        <v>0.11249188</v>
      </c>
      <c r="I153" s="137">
        <v>3.52635846</v>
      </c>
      <c r="J153" s="120">
        <f t="shared" si="1"/>
        <v>73.71940846</v>
      </c>
      <c r="K153" s="121"/>
      <c r="L153" s="121">
        <v>-0.985</v>
      </c>
      <c r="M153" s="122"/>
      <c r="N153" s="120">
        <v>44.7</v>
      </c>
      <c r="O153" s="120">
        <v>5.709130215163437</v>
      </c>
      <c r="P153" s="123">
        <v>4.589031694447109</v>
      </c>
      <c r="Q153" s="120">
        <v>0.5714285714285714</v>
      </c>
      <c r="R153" s="120">
        <v>0.8038057500000002</v>
      </c>
      <c r="S153" s="15"/>
      <c r="T153" s="161"/>
      <c r="AA153" s="15"/>
      <c r="AB153" s="15"/>
      <c r="AC153" s="15"/>
      <c r="AD153" s="15"/>
      <c r="AE153" s="15"/>
    </row>
    <row r="154" ht="15.0" customHeight="1">
      <c r="A154" s="134" t="s">
        <v>256</v>
      </c>
      <c r="B154" s="3" t="s">
        <v>282</v>
      </c>
      <c r="C154" s="3" t="s">
        <v>283</v>
      </c>
      <c r="D154" s="3" t="s">
        <v>251</v>
      </c>
      <c r="E154" s="8">
        <v>3.0</v>
      </c>
      <c r="F154" s="162" t="s">
        <v>277</v>
      </c>
      <c r="G154" s="137">
        <v>4.65780357</v>
      </c>
      <c r="H154" s="137">
        <v>0.06310428</v>
      </c>
      <c r="I154" s="137">
        <v>2.94154343</v>
      </c>
      <c r="J154" s="120">
        <f t="shared" si="1"/>
        <v>73.81121487</v>
      </c>
      <c r="K154" s="121">
        <v>-0.301</v>
      </c>
      <c r="L154" s="121">
        <v>-1.159</v>
      </c>
      <c r="M154" s="122">
        <v>0.858</v>
      </c>
      <c r="N154" s="120">
        <v>41.2</v>
      </c>
      <c r="O154" s="120">
        <v>3.4283722960372955</v>
      </c>
      <c r="P154" s="123">
        <v>4.108565816455081</v>
      </c>
      <c r="Q154" s="120">
        <v>1.0</v>
      </c>
      <c r="R154" s="120">
        <v>1.1984013000000002</v>
      </c>
      <c r="S154" s="15"/>
      <c r="T154" s="161"/>
      <c r="AA154" s="15"/>
      <c r="AB154" s="15"/>
      <c r="AC154" s="15"/>
      <c r="AD154" s="15"/>
      <c r="AE154" s="15"/>
    </row>
    <row r="155" ht="15.0" customHeight="1">
      <c r="A155" s="134" t="s">
        <v>256</v>
      </c>
      <c r="B155" s="3" t="s">
        <v>282</v>
      </c>
      <c r="C155" s="3" t="s">
        <v>283</v>
      </c>
      <c r="D155" s="3" t="s">
        <v>251</v>
      </c>
      <c r="E155" s="8">
        <v>4.0</v>
      </c>
      <c r="F155" s="162" t="s">
        <v>277</v>
      </c>
      <c r="G155" s="137">
        <v>3.22031491</v>
      </c>
      <c r="H155" s="137">
        <v>0.05070299</v>
      </c>
      <c r="I155" s="137">
        <v>2.26903491</v>
      </c>
      <c r="J155" s="120">
        <f t="shared" si="1"/>
        <v>63.51331371</v>
      </c>
      <c r="K155" s="121"/>
      <c r="L155" s="121">
        <v>-0.983</v>
      </c>
      <c r="M155" s="122"/>
      <c r="N155" s="120">
        <v>63.7</v>
      </c>
      <c r="O155" s="120">
        <v>3.685472590836</v>
      </c>
      <c r="P155" s="123">
        <v>3.98578000797494</v>
      </c>
      <c r="Q155" s="120">
        <v>1.1428571428571428</v>
      </c>
      <c r="R155" s="120">
        <v>1.0814841000000002</v>
      </c>
      <c r="S155" s="15"/>
      <c r="T155" s="161"/>
      <c r="AA155" s="15"/>
      <c r="AB155" s="15"/>
      <c r="AC155" s="15"/>
      <c r="AD155" s="15"/>
      <c r="AE155" s="15"/>
    </row>
    <row r="156" ht="15.0" customHeight="1">
      <c r="A156" s="134" t="s">
        <v>256</v>
      </c>
      <c r="B156" s="3" t="s">
        <v>282</v>
      </c>
      <c r="C156" s="3" t="s">
        <v>283</v>
      </c>
      <c r="D156" s="3" t="s">
        <v>251</v>
      </c>
      <c r="E156" s="8">
        <v>5.0</v>
      </c>
      <c r="F156" s="162" t="s">
        <v>277</v>
      </c>
      <c r="G156" s="137">
        <v>7.86649639</v>
      </c>
      <c r="H156" s="137">
        <v>0.10147469</v>
      </c>
      <c r="I156" s="137">
        <v>4.63479178</v>
      </c>
      <c r="J156" s="120">
        <f t="shared" si="1"/>
        <v>77.52175828</v>
      </c>
      <c r="K156" s="121">
        <v>-0.441</v>
      </c>
      <c r="L156" s="121">
        <v>-1.102</v>
      </c>
      <c r="M156" s="122">
        <v>0.661</v>
      </c>
      <c r="N156" s="120">
        <v>32.5</v>
      </c>
      <c r="O156" s="120">
        <v>7.011787866868381</v>
      </c>
      <c r="P156" s="123">
        <v>7.1732377883969605</v>
      </c>
      <c r="Q156" s="120">
        <v>0.8571428571428571</v>
      </c>
      <c r="R156" s="120">
        <v>1.0230255000000004</v>
      </c>
      <c r="S156" s="15"/>
      <c r="T156" s="161"/>
      <c r="AA156" s="15"/>
      <c r="AB156" s="15"/>
      <c r="AC156" s="15"/>
      <c r="AD156" s="15"/>
      <c r="AE156" s="15"/>
    </row>
    <row r="157" ht="15.0" customHeight="1">
      <c r="A157" s="134" t="s">
        <v>256</v>
      </c>
      <c r="B157" s="3" t="s">
        <v>282</v>
      </c>
      <c r="C157" s="3" t="s">
        <v>283</v>
      </c>
      <c r="D157" s="3" t="s">
        <v>251</v>
      </c>
      <c r="E157" s="8">
        <v>6.0</v>
      </c>
      <c r="F157" s="162" t="s">
        <v>277</v>
      </c>
      <c r="G157" s="137">
        <v>6.23981898</v>
      </c>
      <c r="H157" s="137">
        <v>0.08169246</v>
      </c>
      <c r="I157" s="137">
        <v>3.66675821</v>
      </c>
      <c r="J157" s="120">
        <f t="shared" si="1"/>
        <v>76.38182251</v>
      </c>
      <c r="K157" s="121"/>
      <c r="L157" s="121">
        <v>-1.057</v>
      </c>
      <c r="M157" s="122"/>
      <c r="N157" s="120">
        <v>40.0</v>
      </c>
      <c r="O157" s="120">
        <v>5.316685095770441</v>
      </c>
      <c r="P157" s="123">
        <v>5.6722089039478085</v>
      </c>
      <c r="Q157" s="120">
        <v>1.0</v>
      </c>
      <c r="R157" s="120">
        <v>1.0668694500000002</v>
      </c>
      <c r="S157" s="15"/>
      <c r="T157" s="161"/>
      <c r="AA157" s="15"/>
      <c r="AB157" s="15"/>
      <c r="AC157" s="15"/>
      <c r="AD157" s="15"/>
      <c r="AE157" s="15"/>
    </row>
    <row r="158" ht="15.0" customHeight="1">
      <c r="A158" s="134" t="s">
        <v>244</v>
      </c>
      <c r="B158" s="3" t="s">
        <v>282</v>
      </c>
      <c r="C158" s="3" t="s">
        <v>286</v>
      </c>
      <c r="D158" s="135" t="s">
        <v>240</v>
      </c>
      <c r="E158" s="48">
        <v>1.0</v>
      </c>
      <c r="F158" s="162" t="s">
        <v>277</v>
      </c>
      <c r="G158" s="137">
        <v>8.62830921</v>
      </c>
      <c r="H158" s="137">
        <v>0.12150648</v>
      </c>
      <c r="I158" s="137">
        <v>4.53343611</v>
      </c>
      <c r="J158" s="120">
        <f t="shared" si="1"/>
        <v>71.01110336</v>
      </c>
      <c r="K158" s="121">
        <v>-0.399</v>
      </c>
      <c r="L158" s="121">
        <v>-1.265</v>
      </c>
      <c r="M158" s="122">
        <v>0.866</v>
      </c>
      <c r="N158" s="120">
        <v>49.4</v>
      </c>
      <c r="O158" s="120">
        <v>5.234914676674366</v>
      </c>
      <c r="P158" s="123">
        <v>4.972918975664838</v>
      </c>
      <c r="Q158" s="120">
        <v>0.5714285714285714</v>
      </c>
      <c r="R158" s="120">
        <v>0.9499522500000003</v>
      </c>
      <c r="S158" s="15"/>
      <c r="T158" s="161"/>
      <c r="AA158" s="15"/>
      <c r="AB158" s="15"/>
      <c r="AC158" s="15"/>
      <c r="AD158" s="15"/>
      <c r="AE158" s="15"/>
    </row>
    <row r="159" ht="15.0" customHeight="1">
      <c r="A159" s="134" t="s">
        <v>244</v>
      </c>
      <c r="B159" s="3" t="s">
        <v>282</v>
      </c>
      <c r="C159" s="3" t="s">
        <v>286</v>
      </c>
      <c r="D159" s="135" t="s">
        <v>240</v>
      </c>
      <c r="E159" s="48">
        <v>2.0</v>
      </c>
      <c r="F159" s="162" t="s">
        <v>277</v>
      </c>
      <c r="G159" s="137">
        <v>10.600966</v>
      </c>
      <c r="H159" s="137">
        <v>0.17463129</v>
      </c>
      <c r="I159" s="137">
        <v>4.97553404</v>
      </c>
      <c r="J159" s="120">
        <f t="shared" si="1"/>
        <v>60.70484848</v>
      </c>
      <c r="K159" s="121"/>
      <c r="L159" s="121">
        <v>-1.13</v>
      </c>
      <c r="M159" s="122"/>
      <c r="N159" s="120">
        <v>42.1</v>
      </c>
      <c r="O159" s="120">
        <v>6.619306397754335</v>
      </c>
      <c r="P159" s="123">
        <v>5.3206365435267235</v>
      </c>
      <c r="Q159" s="120">
        <v>0.42857142857142855</v>
      </c>
      <c r="R159" s="120">
        <v>0.8038057500000002</v>
      </c>
      <c r="S159" s="15"/>
      <c r="T159" s="161"/>
      <c r="AA159" s="15"/>
      <c r="AB159" s="15"/>
      <c r="AC159" s="15"/>
      <c r="AD159" s="15"/>
      <c r="AE159" s="15"/>
    </row>
    <row r="160" ht="15.0" customHeight="1">
      <c r="A160" s="134" t="s">
        <v>244</v>
      </c>
      <c r="B160" s="3" t="s">
        <v>282</v>
      </c>
      <c r="C160" s="3" t="s">
        <v>286</v>
      </c>
      <c r="D160" s="135" t="s">
        <v>240</v>
      </c>
      <c r="E160" s="48">
        <v>3.0</v>
      </c>
      <c r="F160" s="162" t="s">
        <v>277</v>
      </c>
      <c r="G160" s="137">
        <v>10.2512598</v>
      </c>
      <c r="H160" s="137">
        <v>0.16623854</v>
      </c>
      <c r="I160" s="137">
        <v>6.06205203</v>
      </c>
      <c r="J160" s="120">
        <f t="shared" si="1"/>
        <v>61.66596386</v>
      </c>
      <c r="K160" s="121">
        <v>-0.39</v>
      </c>
      <c r="L160" s="121">
        <v>-1.106</v>
      </c>
      <c r="M160" s="122">
        <v>0.716</v>
      </c>
      <c r="N160" s="120">
        <v>45.8</v>
      </c>
      <c r="O160" s="120">
        <v>8.466553114525139</v>
      </c>
      <c r="P160" s="123">
        <v>7.176671207561301</v>
      </c>
      <c r="Q160" s="120">
        <v>0.42857142857142855</v>
      </c>
      <c r="R160" s="120">
        <v>0.8476497000000002</v>
      </c>
      <c r="S160" s="15"/>
      <c r="T160" s="161"/>
      <c r="AA160" s="15"/>
      <c r="AB160" s="15"/>
      <c r="AC160" s="15"/>
      <c r="AD160" s="15"/>
      <c r="AE160" s="15"/>
    </row>
    <row r="161" ht="15.0" customHeight="1">
      <c r="A161" s="134" t="s">
        <v>244</v>
      </c>
      <c r="B161" s="3" t="s">
        <v>282</v>
      </c>
      <c r="C161" s="3" t="s">
        <v>286</v>
      </c>
      <c r="D161" s="135" t="s">
        <v>240</v>
      </c>
      <c r="E161" s="48">
        <v>4.0</v>
      </c>
      <c r="F161" s="162" t="s">
        <v>277</v>
      </c>
      <c r="G161" s="137">
        <v>7.55318691</v>
      </c>
      <c r="H161" s="137">
        <v>0.11779614</v>
      </c>
      <c r="I161" s="137">
        <v>4.5943443</v>
      </c>
      <c r="J161" s="120">
        <f t="shared" si="1"/>
        <v>64.12083545</v>
      </c>
      <c r="K161" s="121"/>
      <c r="L161" s="121">
        <v>-1.048</v>
      </c>
      <c r="M161" s="122"/>
      <c r="N161" s="120">
        <v>31.9</v>
      </c>
      <c r="O161" s="120">
        <v>6.860609404632133</v>
      </c>
      <c r="P161" s="123">
        <v>6.818047556007677</v>
      </c>
      <c r="Q161" s="120">
        <v>0.8571428571428571</v>
      </c>
      <c r="R161" s="120">
        <v>0.9937962000000001</v>
      </c>
      <c r="S161" s="15"/>
      <c r="T161" s="161"/>
      <c r="AA161" s="15"/>
      <c r="AB161" s="15"/>
      <c r="AC161" s="15"/>
      <c r="AD161" s="15"/>
      <c r="AE161" s="15"/>
    </row>
    <row r="162" ht="15.0" customHeight="1">
      <c r="A162" s="134" t="s">
        <v>244</v>
      </c>
      <c r="B162" s="3" t="s">
        <v>282</v>
      </c>
      <c r="C162" s="3" t="s">
        <v>286</v>
      </c>
      <c r="D162" s="135" t="s">
        <v>240</v>
      </c>
      <c r="E162" s="48">
        <v>5.0</v>
      </c>
      <c r="F162" s="162" t="s">
        <v>277</v>
      </c>
      <c r="G162" s="137">
        <v>13.5427958</v>
      </c>
      <c r="H162" s="137">
        <v>0.24546095</v>
      </c>
      <c r="I162" s="137">
        <v>8.44678092</v>
      </c>
      <c r="J162" s="120">
        <f t="shared" si="1"/>
        <v>55.17291365</v>
      </c>
      <c r="K162" s="121">
        <v>-0.346</v>
      </c>
      <c r="L162" s="121">
        <v>-1.196</v>
      </c>
      <c r="M162" s="122">
        <v>0.85</v>
      </c>
      <c r="N162" s="120">
        <v>27.3</v>
      </c>
      <c r="O162" s="120">
        <v>9.937389317647058</v>
      </c>
      <c r="P162" s="123">
        <v>9.875739741798242</v>
      </c>
      <c r="Q162" s="120">
        <v>0.8571428571428571</v>
      </c>
      <c r="R162" s="120">
        <v>0.9937962000000001</v>
      </c>
      <c r="S162" s="15"/>
      <c r="T162" s="161"/>
      <c r="AA162" s="15"/>
      <c r="AB162" s="15"/>
      <c r="AC162" s="15"/>
      <c r="AD162" s="15"/>
      <c r="AE162" s="15"/>
    </row>
    <row r="163" ht="15.0" customHeight="1">
      <c r="A163" s="134" t="s">
        <v>244</v>
      </c>
      <c r="B163" s="3" t="s">
        <v>282</v>
      </c>
      <c r="C163" s="3" t="s">
        <v>286</v>
      </c>
      <c r="D163" s="135" t="s">
        <v>240</v>
      </c>
      <c r="E163" s="48">
        <v>6.0</v>
      </c>
      <c r="F163" s="162" t="s">
        <v>277</v>
      </c>
      <c r="G163" s="137">
        <v>3.92359243</v>
      </c>
      <c r="H163" s="137">
        <v>0.0456819</v>
      </c>
      <c r="I163" s="137">
        <v>2.26897334</v>
      </c>
      <c r="J163" s="120">
        <f t="shared" si="1"/>
        <v>85.8894317</v>
      </c>
      <c r="K163" s="121"/>
      <c r="L163" s="121">
        <v>-1.182</v>
      </c>
      <c r="M163" s="122"/>
      <c r="N163" s="120">
        <v>43.6</v>
      </c>
      <c r="O163" s="120">
        <v>2.823264947055384</v>
      </c>
      <c r="P163" s="123">
        <v>2.9707940922107743</v>
      </c>
      <c r="Q163" s="120">
        <v>1.1428571428571428</v>
      </c>
      <c r="R163" s="120">
        <v>1.0522548000000003</v>
      </c>
      <c r="S163" s="15"/>
      <c r="T163" s="161"/>
      <c r="AA163" s="15"/>
      <c r="AB163" s="15"/>
      <c r="AC163" s="15"/>
      <c r="AD163" s="15"/>
      <c r="AE163" s="15"/>
    </row>
    <row r="164" ht="15.0" customHeight="1">
      <c r="A164" s="134" t="s">
        <v>238</v>
      </c>
      <c r="B164" s="3" t="s">
        <v>278</v>
      </c>
      <c r="C164" s="3" t="s">
        <v>279</v>
      </c>
      <c r="D164" s="3" t="s">
        <v>251</v>
      </c>
      <c r="E164" s="48">
        <v>1.0</v>
      </c>
      <c r="F164" s="162" t="s">
        <v>277</v>
      </c>
      <c r="G164" s="137">
        <v>7.15142307</v>
      </c>
      <c r="H164" s="137">
        <v>0.07112087</v>
      </c>
      <c r="I164" s="137">
        <v>2.93489301</v>
      </c>
      <c r="J164" s="120">
        <f t="shared" si="1"/>
        <v>100.5530876</v>
      </c>
      <c r="K164" s="121">
        <v>-0.52</v>
      </c>
      <c r="L164" s="121">
        <v>-1.178</v>
      </c>
      <c r="M164" s="122">
        <v>0.658</v>
      </c>
      <c r="N164" s="120">
        <v>35.8</v>
      </c>
      <c r="O164" s="120">
        <v>4.460323723404256</v>
      </c>
      <c r="P164" s="123">
        <v>3.5852338557337515</v>
      </c>
      <c r="Q164" s="120">
        <v>0.5714285714285714</v>
      </c>
      <c r="R164" s="120">
        <v>0.8038057500000002</v>
      </c>
      <c r="S164" s="15"/>
      <c r="T164" s="161"/>
      <c r="AA164" s="15"/>
      <c r="AB164" s="15"/>
      <c r="AC164" s="15"/>
      <c r="AD164" s="15"/>
      <c r="AE164" s="15"/>
    </row>
    <row r="165" ht="15.0" customHeight="1">
      <c r="A165" s="134" t="s">
        <v>238</v>
      </c>
      <c r="B165" s="3" t="s">
        <v>278</v>
      </c>
      <c r="C165" s="3" t="s">
        <v>279</v>
      </c>
      <c r="D165" s="3" t="s">
        <v>251</v>
      </c>
      <c r="E165" s="48">
        <v>2.0</v>
      </c>
      <c r="F165" s="162" t="s">
        <v>277</v>
      </c>
      <c r="G165" s="137">
        <v>7.52071787</v>
      </c>
      <c r="H165" s="137">
        <v>0.12679732</v>
      </c>
      <c r="I165" s="137">
        <v>4.11486903</v>
      </c>
      <c r="J165" s="120">
        <f t="shared" si="1"/>
        <v>59.31290874</v>
      </c>
      <c r="K165" s="121"/>
      <c r="L165" s="121">
        <v>-0.917</v>
      </c>
      <c r="M165" s="122"/>
      <c r="N165" s="120">
        <v>35.5</v>
      </c>
      <c r="O165" s="120">
        <v>9.13745260142562</v>
      </c>
      <c r="P165" s="123">
        <v>6.944114926394098</v>
      </c>
      <c r="Q165" s="120">
        <v>0.5714285714285714</v>
      </c>
      <c r="R165" s="120">
        <v>0.7599618000000001</v>
      </c>
      <c r="S165" s="15"/>
      <c r="T165" s="161"/>
      <c r="AA165" s="15"/>
      <c r="AB165" s="15"/>
      <c r="AC165" s="15"/>
      <c r="AD165" s="15"/>
      <c r="AE165" s="15"/>
    </row>
    <row r="166" ht="15.0" customHeight="1">
      <c r="A166" s="134" t="s">
        <v>238</v>
      </c>
      <c r="B166" s="3" t="s">
        <v>278</v>
      </c>
      <c r="C166" s="3" t="s">
        <v>279</v>
      </c>
      <c r="D166" s="3" t="s">
        <v>251</v>
      </c>
      <c r="E166" s="48">
        <v>3.0</v>
      </c>
      <c r="F166" s="162" t="s">
        <v>277</v>
      </c>
      <c r="G166" s="137">
        <v>13.4242453</v>
      </c>
      <c r="H166" s="137">
        <v>0.2888466</v>
      </c>
      <c r="I166" s="137">
        <v>8.79001886</v>
      </c>
      <c r="J166" s="120">
        <f t="shared" si="1"/>
        <v>46.4753447</v>
      </c>
      <c r="K166" s="121">
        <v>-0.43</v>
      </c>
      <c r="L166" s="121">
        <v>-1.11</v>
      </c>
      <c r="M166" s="122">
        <v>0.68</v>
      </c>
      <c r="N166" s="120">
        <v>37.2</v>
      </c>
      <c r="O166" s="120">
        <v>12.926498323529408</v>
      </c>
      <c r="P166" s="123">
        <v>13.601969908125778</v>
      </c>
      <c r="Q166" s="120">
        <v>1.2857142857142858</v>
      </c>
      <c r="R166" s="120">
        <v>1.0522548000000003</v>
      </c>
      <c r="S166" s="15"/>
      <c r="T166" s="161"/>
      <c r="AA166" s="15"/>
      <c r="AB166" s="15"/>
      <c r="AC166" s="15"/>
      <c r="AD166" s="15"/>
      <c r="AE166" s="15"/>
    </row>
    <row r="167" ht="15.0" customHeight="1">
      <c r="A167" s="134" t="s">
        <v>238</v>
      </c>
      <c r="B167" s="3" t="s">
        <v>278</v>
      </c>
      <c r="C167" s="3" t="s">
        <v>279</v>
      </c>
      <c r="D167" s="3" t="s">
        <v>251</v>
      </c>
      <c r="E167" s="48">
        <v>4.0</v>
      </c>
      <c r="F167" s="162" t="s">
        <v>277</v>
      </c>
      <c r="G167" s="137">
        <v>4.03917802</v>
      </c>
      <c r="H167" s="137">
        <v>0.06069219</v>
      </c>
      <c r="I167" s="137">
        <v>2.71821928</v>
      </c>
      <c r="J167" s="120">
        <f t="shared" si="1"/>
        <v>66.55185816</v>
      </c>
      <c r="K167" s="121"/>
      <c r="L167" s="121">
        <v>-1.023</v>
      </c>
      <c r="M167" s="122"/>
      <c r="N167" s="120">
        <v>39.7</v>
      </c>
      <c r="O167" s="120">
        <v>4.885983642801934</v>
      </c>
      <c r="P167" s="123">
        <v>5.498334445086198</v>
      </c>
      <c r="Q167" s="120">
        <v>0.8571428571428571</v>
      </c>
      <c r="R167" s="120">
        <v>1.1253280500000002</v>
      </c>
      <c r="S167" s="15"/>
      <c r="T167" s="161"/>
      <c r="AA167" s="15"/>
      <c r="AB167" s="15"/>
      <c r="AC167" s="15"/>
      <c r="AD167" s="15"/>
      <c r="AE167" s="15"/>
    </row>
    <row r="168" ht="15.0" customHeight="1">
      <c r="A168" s="134" t="s">
        <v>238</v>
      </c>
      <c r="B168" s="3" t="s">
        <v>278</v>
      </c>
      <c r="C168" s="3" t="s">
        <v>279</v>
      </c>
      <c r="D168" s="3" t="s">
        <v>251</v>
      </c>
      <c r="E168" s="48">
        <v>5.0</v>
      </c>
      <c r="F168" s="162" t="s">
        <v>277</v>
      </c>
      <c r="G168" s="137">
        <v>6.13793539</v>
      </c>
      <c r="H168" s="137">
        <v>0.17314919</v>
      </c>
      <c r="I168" s="137">
        <v>6.08740958</v>
      </c>
      <c r="J168" s="120">
        <f t="shared" si="1"/>
        <v>35.44882532</v>
      </c>
      <c r="K168" s="121">
        <v>-0.45</v>
      </c>
      <c r="L168" s="121">
        <v>-1.026</v>
      </c>
      <c r="M168" s="122">
        <v>0.576</v>
      </c>
      <c r="N168" s="120">
        <v>36.4</v>
      </c>
      <c r="O168" s="120">
        <v>10.568419409722221</v>
      </c>
      <c r="P168" s="123">
        <v>11.42957755374597</v>
      </c>
      <c r="Q168" s="120">
        <v>1.2857142857142858</v>
      </c>
      <c r="R168" s="120">
        <v>1.0814841000000002</v>
      </c>
      <c r="S168" s="15"/>
      <c r="T168" s="161"/>
      <c r="AA168" s="15"/>
      <c r="AB168" s="15"/>
      <c r="AC168" s="15"/>
      <c r="AD168" s="15"/>
      <c r="AE168" s="15"/>
    </row>
    <row r="169" ht="15.0" customHeight="1">
      <c r="A169" s="134" t="s">
        <v>238</v>
      </c>
      <c r="B169" s="3" t="s">
        <v>278</v>
      </c>
      <c r="C169" s="3" t="s">
        <v>279</v>
      </c>
      <c r="D169" s="3" t="s">
        <v>251</v>
      </c>
      <c r="E169" s="48">
        <v>6.0</v>
      </c>
      <c r="F169" s="162" t="s">
        <v>277</v>
      </c>
      <c r="G169" s="137">
        <v>6.144291</v>
      </c>
      <c r="H169" s="137">
        <v>0.09015419</v>
      </c>
      <c r="I169" s="137">
        <v>4.21513319</v>
      </c>
      <c r="J169" s="120">
        <f t="shared" si="1"/>
        <v>68.15313853</v>
      </c>
      <c r="K169" s="121"/>
      <c r="L169" s="121">
        <v>-1.19</v>
      </c>
      <c r="M169" s="122"/>
      <c r="N169" s="120">
        <v>34.9</v>
      </c>
      <c r="O169" s="120">
        <v>5.827399928110268</v>
      </c>
      <c r="P169" s="123">
        <v>6.728067418389182</v>
      </c>
      <c r="Q169" s="120">
        <v>1.1428571428571428</v>
      </c>
      <c r="R169" s="120">
        <v>1.1545573500000001</v>
      </c>
      <c r="S169" s="15"/>
      <c r="T169" s="161"/>
      <c r="AA169" s="15"/>
      <c r="AB169" s="15"/>
      <c r="AC169" s="15"/>
      <c r="AD169" s="15"/>
      <c r="AE169" s="15"/>
    </row>
    <row r="170" ht="15.0" customHeight="1">
      <c r="A170" s="134" t="s">
        <v>238</v>
      </c>
      <c r="B170" s="3" t="s">
        <v>282</v>
      </c>
      <c r="C170" s="3" t="s">
        <v>287</v>
      </c>
      <c r="D170" s="135" t="s">
        <v>240</v>
      </c>
      <c r="E170" s="48">
        <v>1.0</v>
      </c>
      <c r="F170" s="162" t="s">
        <v>277</v>
      </c>
      <c r="G170" s="137">
        <v>6.40036227</v>
      </c>
      <c r="H170" s="137">
        <v>0.09192052</v>
      </c>
      <c r="I170" s="137">
        <v>3.68517644</v>
      </c>
      <c r="J170" s="120">
        <f t="shared" si="1"/>
        <v>69.62930878</v>
      </c>
      <c r="K170" s="121">
        <v>-0.615</v>
      </c>
      <c r="L170" s="121">
        <v>-1.087</v>
      </c>
      <c r="M170" s="122">
        <v>0.472</v>
      </c>
      <c r="N170" s="120">
        <v>40.5</v>
      </c>
      <c r="O170" s="120">
        <v>7.807577203389831</v>
      </c>
      <c r="P170" s="123">
        <v>6.161670441478146</v>
      </c>
      <c r="Q170" s="120">
        <v>0.5714285714285714</v>
      </c>
      <c r="R170" s="120">
        <v>0.7891911000000001</v>
      </c>
      <c r="S170" s="15"/>
      <c r="T170" s="161"/>
      <c r="AA170" s="15"/>
      <c r="AB170" s="15"/>
      <c r="AC170" s="15"/>
      <c r="AD170" s="15"/>
      <c r="AE170" s="15"/>
    </row>
    <row r="171" ht="15.0" customHeight="1">
      <c r="A171" s="134" t="s">
        <v>238</v>
      </c>
      <c r="B171" s="3" t="s">
        <v>282</v>
      </c>
      <c r="C171" s="3" t="s">
        <v>287</v>
      </c>
      <c r="D171" s="135" t="s">
        <v>240</v>
      </c>
      <c r="E171" s="48">
        <v>2.0</v>
      </c>
      <c r="F171" s="162" t="s">
        <v>277</v>
      </c>
      <c r="G171" s="137">
        <v>6.70056905</v>
      </c>
      <c r="H171" s="137">
        <v>0.11591129</v>
      </c>
      <c r="I171" s="137">
        <v>3.82478325</v>
      </c>
      <c r="J171" s="120">
        <f t="shared" si="1"/>
        <v>57.80773426</v>
      </c>
      <c r="K171" s="121"/>
      <c r="L171" s="121">
        <v>-1.125</v>
      </c>
      <c r="M171" s="122"/>
      <c r="N171" s="120">
        <v>39.9</v>
      </c>
      <c r="O171" s="120">
        <v>5.824513454246425</v>
      </c>
      <c r="P171" s="123">
        <v>5.4478864354625625</v>
      </c>
      <c r="Q171" s="120">
        <v>0.5714285714285714</v>
      </c>
      <c r="R171" s="120">
        <v>0.9353376000000002</v>
      </c>
      <c r="S171" s="15"/>
      <c r="T171" s="161"/>
      <c r="AA171" s="15"/>
      <c r="AB171" s="15"/>
      <c r="AC171" s="15"/>
      <c r="AD171" s="15"/>
      <c r="AE171" s="15"/>
    </row>
    <row r="172" ht="15.0" customHeight="1">
      <c r="A172" s="134" t="s">
        <v>238</v>
      </c>
      <c r="B172" s="3" t="s">
        <v>282</v>
      </c>
      <c r="C172" s="3" t="s">
        <v>287</v>
      </c>
      <c r="D172" s="135" t="s">
        <v>240</v>
      </c>
      <c r="E172" s="48">
        <v>3.0</v>
      </c>
      <c r="F172" s="162" t="s">
        <v>277</v>
      </c>
      <c r="G172" s="137">
        <v>5.78256232</v>
      </c>
      <c r="H172" s="137">
        <v>0.08972417</v>
      </c>
      <c r="I172" s="137">
        <v>4.19854479</v>
      </c>
      <c r="J172" s="120">
        <f t="shared" si="1"/>
        <v>64.44821189</v>
      </c>
      <c r="K172" s="121">
        <v>-0.34</v>
      </c>
      <c r="L172" s="121">
        <v>-1.132</v>
      </c>
      <c r="M172" s="122">
        <v>0.792</v>
      </c>
      <c r="N172" s="120">
        <v>27.6</v>
      </c>
      <c r="O172" s="120">
        <v>5.301192916666667</v>
      </c>
      <c r="P172" s="123">
        <v>5.268305376050252</v>
      </c>
      <c r="Q172" s="120">
        <v>1.0</v>
      </c>
      <c r="R172" s="120">
        <v>0.9937962000000001</v>
      </c>
      <c r="S172" s="15"/>
      <c r="T172" s="161"/>
      <c r="AA172" s="15"/>
      <c r="AB172" s="15"/>
      <c r="AC172" s="15"/>
      <c r="AD172" s="15"/>
      <c r="AE172" s="15"/>
    </row>
    <row r="173" ht="15.0" customHeight="1">
      <c r="A173" s="134" t="s">
        <v>238</v>
      </c>
      <c r="B173" s="3" t="s">
        <v>282</v>
      </c>
      <c r="C173" s="3" t="s">
        <v>287</v>
      </c>
      <c r="D173" s="135" t="s">
        <v>240</v>
      </c>
      <c r="E173" s="48">
        <v>4.0</v>
      </c>
      <c r="F173" s="162" t="s">
        <v>277</v>
      </c>
      <c r="G173" s="137">
        <v>7.84322615</v>
      </c>
      <c r="H173" s="137">
        <v>0.12820499</v>
      </c>
      <c r="I173" s="137">
        <v>5.00312461</v>
      </c>
      <c r="J173" s="120">
        <f t="shared" si="1"/>
        <v>61.17722992</v>
      </c>
      <c r="K173" s="121"/>
      <c r="L173" s="121">
        <v>-0.995</v>
      </c>
      <c r="M173" s="122"/>
      <c r="N173" s="120">
        <v>42.4</v>
      </c>
      <c r="O173" s="120">
        <v>9.499543566179963</v>
      </c>
      <c r="P173" s="123">
        <v>9.02411278466568</v>
      </c>
      <c r="Q173" s="120">
        <v>1.0</v>
      </c>
      <c r="R173" s="120">
        <v>0.9499522500000003</v>
      </c>
      <c r="S173" s="15"/>
      <c r="T173" s="161"/>
      <c r="AA173" s="15"/>
      <c r="AB173" s="15"/>
      <c r="AC173" s="15"/>
      <c r="AD173" s="15"/>
      <c r="AE173" s="15"/>
    </row>
    <row r="174" ht="15.0" customHeight="1">
      <c r="A174" s="134" t="s">
        <v>238</v>
      </c>
      <c r="B174" s="3" t="s">
        <v>282</v>
      </c>
      <c r="C174" s="3" t="s">
        <v>287</v>
      </c>
      <c r="D174" s="135" t="s">
        <v>240</v>
      </c>
      <c r="E174" s="48">
        <v>5.0</v>
      </c>
      <c r="F174" s="162" t="s">
        <v>277</v>
      </c>
      <c r="G174" s="137">
        <v>12.9432313</v>
      </c>
      <c r="H174" s="137">
        <v>0.2058141</v>
      </c>
      <c r="I174" s="137">
        <v>8.30428797</v>
      </c>
      <c r="J174" s="120">
        <f t="shared" si="1"/>
        <v>62.88797172</v>
      </c>
      <c r="K174" s="121">
        <v>-0.45</v>
      </c>
      <c r="L174" s="121">
        <v>-1.172</v>
      </c>
      <c r="M174" s="122">
        <v>0.722</v>
      </c>
      <c r="N174" s="120">
        <v>41.4</v>
      </c>
      <c r="O174" s="120">
        <v>11.50178389196676</v>
      </c>
      <c r="P174" s="123">
        <v>10.75805094123085</v>
      </c>
      <c r="Q174" s="120">
        <v>0.8571428571428571</v>
      </c>
      <c r="R174" s="120">
        <v>0.9353376000000002</v>
      </c>
      <c r="S174" s="15"/>
      <c r="T174" s="161"/>
      <c r="AA174" s="15"/>
      <c r="AB174" s="15"/>
      <c r="AC174" s="15"/>
      <c r="AD174" s="15"/>
      <c r="AE174" s="15"/>
    </row>
    <row r="175" ht="15.0" customHeight="1">
      <c r="A175" s="134" t="s">
        <v>238</v>
      </c>
      <c r="B175" s="3" t="s">
        <v>282</v>
      </c>
      <c r="C175" s="3" t="s">
        <v>287</v>
      </c>
      <c r="D175" s="135" t="s">
        <v>240</v>
      </c>
      <c r="E175" s="48">
        <v>6.0</v>
      </c>
      <c r="F175" s="162" t="s">
        <v>277</v>
      </c>
      <c r="G175" s="137">
        <v>11.094302</v>
      </c>
      <c r="H175" s="137">
        <v>0.21656654</v>
      </c>
      <c r="I175" s="137">
        <v>7.61556308</v>
      </c>
      <c r="J175" s="120">
        <f t="shared" si="1"/>
        <v>51.22814448</v>
      </c>
      <c r="K175" s="121"/>
      <c r="L175" s="121">
        <v>-1.114</v>
      </c>
      <c r="M175" s="122"/>
      <c r="N175" s="120">
        <v>37.0</v>
      </c>
      <c r="O175" s="120">
        <v>11.794822556414266</v>
      </c>
      <c r="P175" s="123">
        <v>13.790176277927985</v>
      </c>
      <c r="Q175" s="120">
        <v>1.0</v>
      </c>
      <c r="R175" s="120">
        <v>1.1691720000000003</v>
      </c>
      <c r="S175" s="15"/>
      <c r="T175" s="161"/>
      <c r="AA175" s="15"/>
      <c r="AB175" s="15"/>
      <c r="AC175" s="15"/>
      <c r="AD175" s="15"/>
      <c r="AE175" s="15"/>
    </row>
    <row r="176" ht="15.0" customHeight="1">
      <c r="A176" s="134" t="s">
        <v>238</v>
      </c>
      <c r="B176" s="3" t="s">
        <v>282</v>
      </c>
      <c r="C176" s="3" t="s">
        <v>287</v>
      </c>
      <c r="D176" s="3" t="s">
        <v>251</v>
      </c>
      <c r="E176" s="48">
        <v>1.0</v>
      </c>
      <c r="F176" s="162" t="s">
        <v>277</v>
      </c>
      <c r="G176" s="137">
        <v>7.92065902</v>
      </c>
      <c r="H176" s="137">
        <v>0.12904592</v>
      </c>
      <c r="I176" s="137">
        <v>4.73337817</v>
      </c>
      <c r="J176" s="120">
        <f t="shared" si="1"/>
        <v>61.37860864</v>
      </c>
      <c r="K176" s="121">
        <v>-0.518</v>
      </c>
      <c r="L176" s="121">
        <v>-1.083</v>
      </c>
      <c r="M176" s="122">
        <v>0.565</v>
      </c>
      <c r="N176" s="120">
        <v>35.6</v>
      </c>
      <c r="O176" s="120">
        <v>8.377660477876107</v>
      </c>
      <c r="P176" s="123">
        <v>6.734011663664564</v>
      </c>
      <c r="Q176" s="120">
        <v>0.7142857142857143</v>
      </c>
      <c r="R176" s="120">
        <v>0.8038057500000002</v>
      </c>
      <c r="S176" s="15"/>
      <c r="T176" s="161"/>
      <c r="AA176" s="15"/>
      <c r="AB176" s="15"/>
      <c r="AC176" s="15"/>
      <c r="AD176" s="15"/>
      <c r="AE176" s="15"/>
    </row>
    <row r="177" ht="15.0" customHeight="1">
      <c r="A177" s="134" t="s">
        <v>238</v>
      </c>
      <c r="B177" s="3" t="s">
        <v>282</v>
      </c>
      <c r="C177" s="3" t="s">
        <v>287</v>
      </c>
      <c r="D177" s="3" t="s">
        <v>251</v>
      </c>
      <c r="E177" s="48">
        <v>2.0</v>
      </c>
      <c r="F177" s="162" t="s">
        <v>277</v>
      </c>
      <c r="G177" s="137">
        <v>4.04378806</v>
      </c>
      <c r="H177" s="137">
        <v>0.07947652</v>
      </c>
      <c r="I177" s="137">
        <v>2.88142241</v>
      </c>
      <c r="J177" s="120">
        <f t="shared" si="1"/>
        <v>50.8802859</v>
      </c>
      <c r="K177" s="121"/>
      <c r="L177" s="121">
        <v>-1.045</v>
      </c>
      <c r="M177" s="122"/>
      <c r="N177" s="120">
        <v>37.5</v>
      </c>
      <c r="O177" s="120">
        <v>4.775864634611241</v>
      </c>
      <c r="P177" s="123">
        <v>3.629474684275502</v>
      </c>
      <c r="Q177" s="120">
        <v>0.2857142857142857</v>
      </c>
      <c r="R177" s="120">
        <v>0.7599618000000001</v>
      </c>
      <c r="S177" s="15"/>
      <c r="T177" s="161"/>
      <c r="AA177" s="15"/>
      <c r="AB177" s="15"/>
      <c r="AC177" s="15"/>
      <c r="AD177" s="15"/>
      <c r="AE177" s="15"/>
    </row>
    <row r="178" ht="15.0" customHeight="1">
      <c r="A178" s="134" t="s">
        <v>238</v>
      </c>
      <c r="B178" s="3" t="s">
        <v>282</v>
      </c>
      <c r="C178" s="3" t="s">
        <v>287</v>
      </c>
      <c r="D178" s="3" t="s">
        <v>251</v>
      </c>
      <c r="E178" s="48">
        <v>3.0</v>
      </c>
      <c r="F178" s="162" t="s">
        <v>277</v>
      </c>
      <c r="G178" s="137">
        <v>10.2834998</v>
      </c>
      <c r="H178" s="137">
        <v>0.18734797</v>
      </c>
      <c r="I178" s="137">
        <v>6.6779982</v>
      </c>
      <c r="J178" s="120">
        <f t="shared" si="1"/>
        <v>54.88983841</v>
      </c>
      <c r="K178" s="121">
        <v>-0.416</v>
      </c>
      <c r="L178" s="121">
        <v>-1.124</v>
      </c>
      <c r="M178" s="122">
        <v>0.708</v>
      </c>
      <c r="N178" s="120">
        <v>38.8</v>
      </c>
      <c r="O178" s="120">
        <v>9.432200847457626</v>
      </c>
      <c r="P178" s="123">
        <v>10.200775244531949</v>
      </c>
      <c r="Q178" s="120">
        <v>0.8571428571428571</v>
      </c>
      <c r="R178" s="120">
        <v>1.0814841000000002</v>
      </c>
      <c r="S178" s="15"/>
      <c r="T178" s="161"/>
      <c r="AA178" s="15"/>
      <c r="AB178" s="15"/>
      <c r="AC178" s="15"/>
      <c r="AD178" s="15"/>
      <c r="AE178" s="15"/>
    </row>
    <row r="179" ht="15.0" customHeight="1">
      <c r="A179" s="134" t="s">
        <v>238</v>
      </c>
      <c r="B179" s="3" t="s">
        <v>282</v>
      </c>
      <c r="C179" s="3" t="s">
        <v>287</v>
      </c>
      <c r="D179" s="3" t="s">
        <v>251</v>
      </c>
      <c r="E179" s="48">
        <v>4.0</v>
      </c>
      <c r="F179" s="162" t="s">
        <v>277</v>
      </c>
      <c r="G179" s="137">
        <v>8.82051517</v>
      </c>
      <c r="H179" s="137">
        <v>0.1492552</v>
      </c>
      <c r="I179" s="137">
        <v>5.67407834</v>
      </c>
      <c r="J179" s="120">
        <f t="shared" si="1"/>
        <v>59.09687013</v>
      </c>
      <c r="K179" s="121"/>
      <c r="L179" s="121">
        <v>-1.035</v>
      </c>
      <c r="M179" s="122"/>
      <c r="N179" s="120">
        <v>41.0</v>
      </c>
      <c r="O179" s="120">
        <v>9.563107107343301</v>
      </c>
      <c r="P179" s="123">
        <v>9.084495113611762</v>
      </c>
      <c r="Q179" s="120">
        <v>0.8571428571428571</v>
      </c>
      <c r="R179" s="120">
        <v>0.9499522500000003</v>
      </c>
      <c r="S179" s="15"/>
      <c r="T179" s="161"/>
      <c r="AA179" s="15"/>
      <c r="AB179" s="15"/>
      <c r="AC179" s="15"/>
      <c r="AD179" s="15"/>
      <c r="AE179" s="15"/>
    </row>
    <row r="180" ht="15.0" customHeight="1">
      <c r="A180" s="134" t="s">
        <v>238</v>
      </c>
      <c r="B180" s="3" t="s">
        <v>282</v>
      </c>
      <c r="C180" s="3" t="s">
        <v>287</v>
      </c>
      <c r="D180" s="3" t="s">
        <v>251</v>
      </c>
      <c r="E180" s="48">
        <v>5.0</v>
      </c>
      <c r="F180" s="162" t="s">
        <v>277</v>
      </c>
      <c r="G180" s="137">
        <v>7.04307467</v>
      </c>
      <c r="H180" s="137">
        <v>0.10089673</v>
      </c>
      <c r="I180" s="137">
        <v>4.81515365</v>
      </c>
      <c r="J180" s="120">
        <f t="shared" si="1"/>
        <v>69.80478624</v>
      </c>
      <c r="K180" s="121">
        <v>-0.391</v>
      </c>
      <c r="L180" s="121">
        <v>-1.06</v>
      </c>
      <c r="M180" s="122">
        <v>0.669</v>
      </c>
      <c r="N180" s="120">
        <v>44.9</v>
      </c>
      <c r="O180" s="120">
        <v>7.19753908819133</v>
      </c>
      <c r="P180" s="123">
        <v>7.468455539101716</v>
      </c>
      <c r="Q180" s="120">
        <v>1.1428571428571428</v>
      </c>
      <c r="R180" s="120">
        <v>1.03764015</v>
      </c>
      <c r="S180" s="15"/>
      <c r="T180" s="161"/>
      <c r="AA180" s="15"/>
      <c r="AB180" s="15"/>
      <c r="AC180" s="15"/>
      <c r="AD180" s="15"/>
      <c r="AE180" s="15"/>
    </row>
    <row r="181" ht="15.0" customHeight="1">
      <c r="A181" s="134" t="s">
        <v>238</v>
      </c>
      <c r="B181" s="3" t="s">
        <v>282</v>
      </c>
      <c r="C181" s="3" t="s">
        <v>287</v>
      </c>
      <c r="D181" s="3" t="s">
        <v>251</v>
      </c>
      <c r="E181" s="48">
        <v>6.0</v>
      </c>
      <c r="F181" s="162" t="s">
        <v>277</v>
      </c>
      <c r="G181" s="137">
        <v>4.81654241</v>
      </c>
      <c r="H181" s="137">
        <v>0.05348643</v>
      </c>
      <c r="I181" s="137">
        <v>2.76465909</v>
      </c>
      <c r="J181" s="120">
        <f t="shared" si="1"/>
        <v>90.05167124</v>
      </c>
      <c r="K181" s="121"/>
      <c r="L181" s="121">
        <v>-1.182</v>
      </c>
      <c r="M181" s="122"/>
      <c r="N181" s="120">
        <v>38.0</v>
      </c>
      <c r="O181" s="120">
        <v>3.7343604743830454</v>
      </c>
      <c r="P181" s="123">
        <v>4.093227848020665</v>
      </c>
      <c r="Q181" s="120">
        <v>0.8571428571428571</v>
      </c>
      <c r="R181" s="120">
        <v>1.0960987500000003</v>
      </c>
      <c r="S181" s="15"/>
      <c r="T181" s="161"/>
      <c r="AA181" s="15"/>
      <c r="AB181" s="15"/>
      <c r="AC181" s="15"/>
      <c r="AD181" s="15"/>
      <c r="AE181" s="15"/>
    </row>
    <row r="182" ht="15.0" customHeight="1">
      <c r="A182" s="134" t="s">
        <v>249</v>
      </c>
      <c r="B182" s="3" t="s">
        <v>282</v>
      </c>
      <c r="C182" s="3" t="s">
        <v>284</v>
      </c>
      <c r="D182" s="135" t="s">
        <v>240</v>
      </c>
      <c r="E182" s="48">
        <v>1.0</v>
      </c>
      <c r="F182" s="162" t="s">
        <v>277</v>
      </c>
      <c r="G182" s="137">
        <v>8.23493993</v>
      </c>
      <c r="H182" s="137">
        <v>0.20157609</v>
      </c>
      <c r="I182" s="137">
        <v>6.04200289</v>
      </c>
      <c r="J182" s="120">
        <f t="shared" si="1"/>
        <v>40.85276151</v>
      </c>
      <c r="K182" s="121">
        <v>-0.512</v>
      </c>
      <c r="L182" s="121">
        <v>-1.107</v>
      </c>
      <c r="M182" s="122">
        <v>0.595</v>
      </c>
      <c r="N182" s="120">
        <v>41.6</v>
      </c>
      <c r="O182" s="120">
        <v>10.154626705882354</v>
      </c>
      <c r="P182" s="123">
        <v>9.349597856788785</v>
      </c>
      <c r="Q182" s="120">
        <v>0.7142857142857143</v>
      </c>
      <c r="R182" s="120">
        <v>0.9207229500000002</v>
      </c>
      <c r="S182" s="15"/>
      <c r="T182" s="161"/>
      <c r="AA182" s="15"/>
      <c r="AB182" s="15"/>
      <c r="AC182" s="15"/>
      <c r="AD182" s="15"/>
      <c r="AE182" s="15"/>
    </row>
    <row r="183" ht="15.0" customHeight="1">
      <c r="A183" s="134" t="s">
        <v>249</v>
      </c>
      <c r="B183" s="3" t="s">
        <v>282</v>
      </c>
      <c r="C183" s="3" t="s">
        <v>284</v>
      </c>
      <c r="D183" s="135" t="s">
        <v>240</v>
      </c>
      <c r="E183" s="48">
        <v>2.0</v>
      </c>
      <c r="F183" s="162" t="s">
        <v>277</v>
      </c>
      <c r="G183" s="137">
        <v>16.5477185</v>
      </c>
      <c r="H183" s="137">
        <v>0.31542867</v>
      </c>
      <c r="I183" s="137">
        <v>7.95235883</v>
      </c>
      <c r="J183" s="120">
        <f t="shared" si="1"/>
        <v>52.46104769</v>
      </c>
      <c r="K183" s="121"/>
      <c r="L183" s="121">
        <v>-1.035</v>
      </c>
      <c r="M183" s="122"/>
      <c r="N183" s="120">
        <v>35.9</v>
      </c>
      <c r="O183" s="120">
        <v>13.21714366679409</v>
      </c>
      <c r="P183" s="123">
        <v>11.78299965008465</v>
      </c>
      <c r="Q183" s="120">
        <v>0.8571428571428571</v>
      </c>
      <c r="R183" s="120">
        <v>0.8914936500000001</v>
      </c>
      <c r="S183" s="15"/>
      <c r="T183" s="161"/>
      <c r="AA183" s="15"/>
      <c r="AB183" s="15"/>
      <c r="AC183" s="15"/>
      <c r="AD183" s="15"/>
      <c r="AE183" s="15"/>
    </row>
    <row r="184" ht="15.0" customHeight="1">
      <c r="A184" s="134" t="s">
        <v>249</v>
      </c>
      <c r="B184" s="3" t="s">
        <v>282</v>
      </c>
      <c r="C184" s="3" t="s">
        <v>284</v>
      </c>
      <c r="D184" s="135" t="s">
        <v>240</v>
      </c>
      <c r="E184" s="48">
        <v>3.0</v>
      </c>
      <c r="F184" s="162" t="s">
        <v>277</v>
      </c>
      <c r="G184" s="137">
        <v>9.25851294</v>
      </c>
      <c r="H184" s="137">
        <v>0.1820312</v>
      </c>
      <c r="I184" s="137">
        <v>6.66369642</v>
      </c>
      <c r="J184" s="120">
        <f t="shared" si="1"/>
        <v>50.86223098</v>
      </c>
      <c r="K184" s="121">
        <v>-0.42</v>
      </c>
      <c r="L184" s="121">
        <v>-1.212</v>
      </c>
      <c r="M184" s="122">
        <v>0.792</v>
      </c>
      <c r="N184" s="120">
        <v>49.7</v>
      </c>
      <c r="O184" s="120">
        <v>8.413758106060605</v>
      </c>
      <c r="P184" s="123">
        <v>8.361560833522228</v>
      </c>
      <c r="Q184" s="120">
        <v>0.7142857142857143</v>
      </c>
      <c r="R184" s="120">
        <v>0.9937962000000001</v>
      </c>
      <c r="S184" s="15"/>
      <c r="T184" s="161"/>
      <c r="AA184" s="15"/>
      <c r="AB184" s="15"/>
      <c r="AC184" s="15"/>
      <c r="AD184" s="15"/>
      <c r="AE184" s="15"/>
    </row>
    <row r="185" ht="15.0" customHeight="1">
      <c r="A185" s="134" t="s">
        <v>249</v>
      </c>
      <c r="B185" s="3" t="s">
        <v>282</v>
      </c>
      <c r="C185" s="3" t="s">
        <v>284</v>
      </c>
      <c r="D185" s="135" t="s">
        <v>240</v>
      </c>
      <c r="E185" s="48">
        <v>4.0</v>
      </c>
      <c r="F185" s="162" t="s">
        <v>277</v>
      </c>
      <c r="G185" s="137">
        <v>8.04576886</v>
      </c>
      <c r="H185" s="137">
        <v>0.12657203</v>
      </c>
      <c r="I185" s="137">
        <v>5.04997867</v>
      </c>
      <c r="J185" s="120">
        <f t="shared" si="1"/>
        <v>63.56672055</v>
      </c>
      <c r="K185" s="121"/>
      <c r="L185" s="121">
        <v>-1.13</v>
      </c>
      <c r="M185" s="122"/>
      <c r="N185" s="120">
        <v>41.5</v>
      </c>
      <c r="O185" s="120">
        <v>7.2487385275668546</v>
      </c>
      <c r="P185" s="123">
        <v>6.780017697401917</v>
      </c>
      <c r="Q185" s="120">
        <v>0.8571428571428571</v>
      </c>
      <c r="R185" s="120">
        <v>0.9353376000000002</v>
      </c>
      <c r="S185" s="15"/>
      <c r="T185" s="161"/>
      <c r="AA185" s="15"/>
      <c r="AB185" s="15"/>
      <c r="AC185" s="15"/>
      <c r="AD185" s="15"/>
      <c r="AE185" s="15"/>
    </row>
    <row r="186" ht="15.0" customHeight="1">
      <c r="A186" s="134" t="s">
        <v>249</v>
      </c>
      <c r="B186" s="3" t="s">
        <v>282</v>
      </c>
      <c r="C186" s="3" t="s">
        <v>284</v>
      </c>
      <c r="D186" s="135" t="s">
        <v>240</v>
      </c>
      <c r="E186" s="48">
        <v>5.0</v>
      </c>
      <c r="F186" s="162" t="s">
        <v>277</v>
      </c>
      <c r="G186" s="137">
        <v>6.76930548</v>
      </c>
      <c r="H186" s="137">
        <v>0.0917058</v>
      </c>
      <c r="I186" s="137">
        <v>4.21613741</v>
      </c>
      <c r="J186" s="120">
        <f t="shared" si="1"/>
        <v>73.81545638</v>
      </c>
      <c r="K186" s="121">
        <v>-0.368</v>
      </c>
      <c r="L186" s="121">
        <v>-1.052</v>
      </c>
      <c r="M186" s="122">
        <v>0.684</v>
      </c>
      <c r="N186" s="120">
        <v>32.2</v>
      </c>
      <c r="O186" s="120">
        <v>6.163943581871345</v>
      </c>
      <c r="P186" s="123">
        <v>6.486039220953317</v>
      </c>
      <c r="Q186" s="120">
        <v>0.8571428571428571</v>
      </c>
      <c r="R186" s="120">
        <v>1.0522548000000003</v>
      </c>
      <c r="S186" s="15"/>
      <c r="T186" s="161"/>
      <c r="AA186" s="15"/>
      <c r="AB186" s="15"/>
      <c r="AC186" s="15"/>
      <c r="AD186" s="15"/>
      <c r="AE186" s="15"/>
    </row>
    <row r="187" ht="15.0" customHeight="1">
      <c r="A187" s="134" t="s">
        <v>249</v>
      </c>
      <c r="B187" s="3" t="s">
        <v>282</v>
      </c>
      <c r="C187" s="3" t="s">
        <v>284</v>
      </c>
      <c r="D187" s="135" t="s">
        <v>240</v>
      </c>
      <c r="E187" s="48">
        <v>6.0</v>
      </c>
      <c r="F187" s="162" t="s">
        <v>277</v>
      </c>
      <c r="G187" s="137">
        <v>5.63243583</v>
      </c>
      <c r="H187" s="137">
        <v>0.07071715</v>
      </c>
      <c r="I187" s="137">
        <v>3.60597358</v>
      </c>
      <c r="J187" s="120">
        <f t="shared" si="1"/>
        <v>79.64738158</v>
      </c>
      <c r="K187" s="121"/>
      <c r="L187" s="121">
        <v>-1.152</v>
      </c>
      <c r="M187" s="122"/>
      <c r="N187" s="120">
        <v>34.1</v>
      </c>
      <c r="O187" s="120">
        <v>5.0175651968219075</v>
      </c>
      <c r="P187" s="123">
        <v>4.693117389038932</v>
      </c>
      <c r="Q187" s="120">
        <v>0.8571428571428571</v>
      </c>
      <c r="R187" s="120">
        <v>0.9353376000000002</v>
      </c>
      <c r="S187" s="15"/>
      <c r="T187" s="161"/>
      <c r="AA187" s="15"/>
      <c r="AB187" s="15"/>
      <c r="AC187" s="15"/>
      <c r="AD187" s="15"/>
      <c r="AE187" s="15"/>
    </row>
    <row r="188" ht="15.0" customHeight="1">
      <c r="A188" s="134" t="s">
        <v>244</v>
      </c>
      <c r="B188" s="3" t="s">
        <v>278</v>
      </c>
      <c r="C188" s="3" t="s">
        <v>280</v>
      </c>
      <c r="D188" s="3" t="s">
        <v>251</v>
      </c>
      <c r="E188" s="48">
        <v>1.0</v>
      </c>
      <c r="F188" s="162" t="s">
        <v>277</v>
      </c>
      <c r="G188" s="137">
        <v>9.68992379</v>
      </c>
      <c r="H188" s="137">
        <v>0.16021444</v>
      </c>
      <c r="I188" s="137">
        <v>5.64331226</v>
      </c>
      <c r="J188" s="120">
        <f t="shared" si="1"/>
        <v>60.48096408</v>
      </c>
      <c r="K188" s="121">
        <v>-0.386</v>
      </c>
      <c r="L188" s="121">
        <v>-1.083</v>
      </c>
      <c r="M188" s="122">
        <v>0.697</v>
      </c>
      <c r="N188" s="120">
        <v>28.7</v>
      </c>
      <c r="O188" s="120">
        <v>8.096574261119082</v>
      </c>
      <c r="P188" s="123">
        <v>6.271415748338993</v>
      </c>
      <c r="Q188" s="120">
        <v>0.8571428571428571</v>
      </c>
      <c r="R188" s="120">
        <v>0.7745764500000002</v>
      </c>
      <c r="S188" s="15"/>
      <c r="T188" s="161"/>
      <c r="AA188" s="15"/>
      <c r="AB188" s="15"/>
      <c r="AC188" s="15"/>
      <c r="AD188" s="15"/>
      <c r="AE188" s="15"/>
    </row>
    <row r="189" ht="15.0" customHeight="1">
      <c r="A189" s="134" t="s">
        <v>244</v>
      </c>
      <c r="B189" s="3" t="s">
        <v>278</v>
      </c>
      <c r="C189" s="3" t="s">
        <v>280</v>
      </c>
      <c r="D189" s="3" t="s">
        <v>251</v>
      </c>
      <c r="E189" s="48">
        <v>2.0</v>
      </c>
      <c r="F189" s="162" t="s">
        <v>277</v>
      </c>
      <c r="G189" s="137">
        <v>7.08036417</v>
      </c>
      <c r="H189" s="137">
        <v>0.14242714</v>
      </c>
      <c r="I189" s="137">
        <v>4.73845519</v>
      </c>
      <c r="J189" s="120">
        <f t="shared" si="1"/>
        <v>49.71218386</v>
      </c>
      <c r="K189" s="121"/>
      <c r="L189" s="121">
        <v>-1.027</v>
      </c>
      <c r="M189" s="122"/>
      <c r="N189" s="120">
        <v>41.3</v>
      </c>
      <c r="O189" s="120">
        <v>7.186773224333794</v>
      </c>
      <c r="P189" s="123">
        <v>7.457284446513701</v>
      </c>
      <c r="Q189" s="120">
        <v>1.1428571428571428</v>
      </c>
      <c r="R189" s="120">
        <v>1.03764015</v>
      </c>
      <c r="S189" s="15"/>
      <c r="T189" s="161"/>
      <c r="AA189" s="15"/>
      <c r="AB189" s="15"/>
      <c r="AC189" s="15"/>
      <c r="AD189" s="15"/>
      <c r="AE189" s="15"/>
    </row>
    <row r="190" ht="15.0" customHeight="1">
      <c r="A190" s="134" t="s">
        <v>244</v>
      </c>
      <c r="B190" s="3" t="s">
        <v>278</v>
      </c>
      <c r="C190" s="3" t="s">
        <v>280</v>
      </c>
      <c r="D190" s="3" t="s">
        <v>251</v>
      </c>
      <c r="E190" s="48">
        <v>3.0</v>
      </c>
      <c r="F190" s="162" t="s">
        <v>277</v>
      </c>
      <c r="G190" s="137">
        <v>12.4192835</v>
      </c>
      <c r="H190" s="137">
        <v>0.28833057</v>
      </c>
      <c r="I190" s="137">
        <v>9.05725098</v>
      </c>
      <c r="J190" s="120">
        <f t="shared" si="1"/>
        <v>43.07307234</v>
      </c>
      <c r="K190" s="121">
        <v>-0.344</v>
      </c>
      <c r="L190" s="121">
        <v>-1.081</v>
      </c>
      <c r="M190" s="122">
        <v>0.737</v>
      </c>
      <c r="N190" s="120">
        <v>41.2</v>
      </c>
      <c r="O190" s="120">
        <v>12.289350040705562</v>
      </c>
      <c r="P190" s="123">
        <v>11.674295722205844</v>
      </c>
      <c r="Q190" s="120">
        <v>0.5714285714285714</v>
      </c>
      <c r="R190" s="120">
        <v>0.9499522500000003</v>
      </c>
      <c r="S190" s="15"/>
      <c r="T190" s="161"/>
      <c r="AA190" s="15"/>
      <c r="AB190" s="15"/>
      <c r="AC190" s="15"/>
      <c r="AD190" s="15"/>
      <c r="AE190" s="15"/>
    </row>
    <row r="191" ht="15.0" customHeight="1">
      <c r="A191" s="134" t="s">
        <v>244</v>
      </c>
      <c r="B191" s="3" t="s">
        <v>278</v>
      </c>
      <c r="C191" s="3" t="s">
        <v>280</v>
      </c>
      <c r="D191" s="3" t="s">
        <v>251</v>
      </c>
      <c r="E191" s="48">
        <v>4.0</v>
      </c>
      <c r="F191" s="162" t="s">
        <v>277</v>
      </c>
      <c r="G191" s="137">
        <v>4.20978833</v>
      </c>
      <c r="H191" s="137">
        <v>0.06284455</v>
      </c>
      <c r="I191" s="137">
        <v>3.01432512</v>
      </c>
      <c r="J191" s="120">
        <f t="shared" si="1"/>
        <v>66.98732555</v>
      </c>
      <c r="K191" s="121"/>
      <c r="L191" s="121">
        <v>-1.052</v>
      </c>
      <c r="M191" s="122"/>
      <c r="N191" s="120">
        <v>42.8</v>
      </c>
      <c r="O191" s="120">
        <v>4.4047829555916</v>
      </c>
      <c r="P191" s="123">
        <v>4.634954007979449</v>
      </c>
      <c r="Q191" s="120">
        <v>1.2857142857142858</v>
      </c>
      <c r="R191" s="120">
        <v>1.0522548000000003</v>
      </c>
      <c r="S191" s="15"/>
      <c r="T191" s="161"/>
      <c r="AA191" s="15"/>
      <c r="AB191" s="15"/>
      <c r="AC191" s="15"/>
      <c r="AD191" s="15"/>
      <c r="AE191" s="15"/>
    </row>
    <row r="192" ht="15.0" customHeight="1">
      <c r="A192" s="134" t="s">
        <v>244</v>
      </c>
      <c r="B192" s="3" t="s">
        <v>278</v>
      </c>
      <c r="C192" s="3" t="s">
        <v>280</v>
      </c>
      <c r="D192" s="3" t="s">
        <v>251</v>
      </c>
      <c r="E192" s="48">
        <v>5.0</v>
      </c>
      <c r="F192" s="162" t="s">
        <v>277</v>
      </c>
      <c r="G192" s="137">
        <v>6.57747341</v>
      </c>
      <c r="H192" s="137">
        <v>0.09123402</v>
      </c>
      <c r="I192" s="137">
        <v>4.19892957</v>
      </c>
      <c r="J192" s="120">
        <f t="shared" si="1"/>
        <v>72.09452581</v>
      </c>
      <c r="K192" s="121">
        <v>-0.373</v>
      </c>
      <c r="L192" s="121">
        <v>-1.083</v>
      </c>
      <c r="M192" s="122">
        <v>0.71</v>
      </c>
      <c r="N192" s="120">
        <v>33.9</v>
      </c>
      <c r="O192" s="120">
        <v>5.913985309859155</v>
      </c>
      <c r="P192" s="123">
        <v>6.223019429428784</v>
      </c>
      <c r="Q192" s="120">
        <v>0.8571428571428571</v>
      </c>
      <c r="R192" s="120">
        <v>1.0522548000000003</v>
      </c>
      <c r="S192" s="15"/>
      <c r="T192" s="161"/>
      <c r="AA192" s="15"/>
      <c r="AB192" s="15"/>
      <c r="AC192" s="15"/>
      <c r="AD192" s="15"/>
      <c r="AE192" s="15"/>
    </row>
    <row r="193" ht="15.0" customHeight="1">
      <c r="A193" s="153" t="s">
        <v>244</v>
      </c>
      <c r="B193" s="154" t="s">
        <v>278</v>
      </c>
      <c r="C193" s="3" t="s">
        <v>280</v>
      </c>
      <c r="D193" s="154" t="s">
        <v>251</v>
      </c>
      <c r="E193" s="155">
        <v>6.0</v>
      </c>
      <c r="F193" s="163" t="s">
        <v>277</v>
      </c>
      <c r="G193" s="157">
        <v>8.65969603</v>
      </c>
      <c r="H193" s="157">
        <v>0.10008383</v>
      </c>
      <c r="I193" s="157">
        <v>4.64999294</v>
      </c>
      <c r="J193" s="120">
        <f t="shared" si="1"/>
        <v>86.52442687</v>
      </c>
      <c r="K193" s="158"/>
      <c r="L193" s="158">
        <v>-1.2</v>
      </c>
      <c r="M193" s="159"/>
      <c r="N193" s="120">
        <v>40.8</v>
      </c>
      <c r="O193" s="120">
        <v>5.58671793639542</v>
      </c>
      <c r="P193" s="123">
        <v>5.633706982950752</v>
      </c>
      <c r="Q193" s="120">
        <v>0.8571428571428571</v>
      </c>
      <c r="R193" s="120">
        <v>1.0084108500000002</v>
      </c>
      <c r="S193" s="15"/>
      <c r="T193" s="161"/>
      <c r="AA193" s="15"/>
      <c r="AB193" s="15"/>
      <c r="AC193" s="15"/>
      <c r="AD193" s="15"/>
      <c r="AE193" s="15"/>
    </row>
    <row r="194" ht="15.0" customHeight="1">
      <c r="A194" s="115" t="s">
        <v>238</v>
      </c>
      <c r="B194" s="116" t="s">
        <v>278</v>
      </c>
      <c r="C194" s="116" t="s">
        <v>279</v>
      </c>
      <c r="D194" s="116" t="s">
        <v>240</v>
      </c>
      <c r="E194" s="117">
        <v>1.0</v>
      </c>
      <c r="F194" s="164" t="s">
        <v>233</v>
      </c>
      <c r="G194" s="119">
        <v>12.0261816</v>
      </c>
      <c r="H194" s="119">
        <v>0.18013141</v>
      </c>
      <c r="I194" s="119">
        <v>4.47671046</v>
      </c>
      <c r="J194" s="120">
        <f t="shared" si="1"/>
        <v>66.76337902</v>
      </c>
      <c r="K194" s="121">
        <v>-0.6</v>
      </c>
      <c r="L194" s="121">
        <v>-1.45</v>
      </c>
      <c r="M194" s="122">
        <f t="shared" ref="M194:M292" si="3">K194-L194</f>
        <v>0.85</v>
      </c>
      <c r="N194" s="120">
        <v>45.1</v>
      </c>
      <c r="O194" s="120">
        <v>5.266718188235294</v>
      </c>
      <c r="P194" s="123">
        <v>3.694619662545261</v>
      </c>
      <c r="Q194" s="120">
        <v>0.0</v>
      </c>
      <c r="R194" s="120">
        <v>0.7015032000000001</v>
      </c>
      <c r="S194" s="15"/>
      <c r="T194" s="161"/>
      <c r="AA194" s="15"/>
      <c r="AB194" s="15"/>
      <c r="AC194" s="15"/>
      <c r="AD194" s="15"/>
      <c r="AE194" s="15"/>
    </row>
    <row r="195" ht="15.0" customHeight="1">
      <c r="A195" s="134" t="s">
        <v>238</v>
      </c>
      <c r="B195" s="135" t="s">
        <v>278</v>
      </c>
      <c r="C195" s="116" t="s">
        <v>279</v>
      </c>
      <c r="D195" s="135" t="s">
        <v>240</v>
      </c>
      <c r="E195" s="8">
        <v>2.0</v>
      </c>
      <c r="F195" s="165" t="s">
        <v>233</v>
      </c>
      <c r="G195" s="137">
        <v>4.12617528</v>
      </c>
      <c r="H195" s="137">
        <v>0.05714486</v>
      </c>
      <c r="I195" s="137">
        <v>2.74091656</v>
      </c>
      <c r="J195" s="120">
        <f t="shared" si="1"/>
        <v>72.2055366</v>
      </c>
      <c r="K195" s="121">
        <v>-0.543</v>
      </c>
      <c r="L195" s="121">
        <v>-1.482</v>
      </c>
      <c r="M195" s="122">
        <f t="shared" si="3"/>
        <v>0.939</v>
      </c>
      <c r="N195" s="120">
        <v>39.5</v>
      </c>
      <c r="O195" s="120">
        <v>2.9189739723109693</v>
      </c>
      <c r="P195" s="123">
        <v>2.986184807510417</v>
      </c>
      <c r="Q195" s="120">
        <v>0.2857142857142857</v>
      </c>
      <c r="R195" s="120">
        <v>1.0230255000000004</v>
      </c>
      <c r="S195" s="15"/>
      <c r="T195" s="161"/>
      <c r="AA195" s="15"/>
      <c r="AB195" s="15"/>
      <c r="AC195" s="15"/>
      <c r="AD195" s="15"/>
      <c r="AE195" s="15"/>
    </row>
    <row r="196" ht="15.0" customHeight="1">
      <c r="A196" s="134" t="s">
        <v>238</v>
      </c>
      <c r="B196" s="135" t="s">
        <v>278</v>
      </c>
      <c r="C196" s="116" t="s">
        <v>279</v>
      </c>
      <c r="D196" s="135" t="s">
        <v>240</v>
      </c>
      <c r="E196" s="8">
        <v>3.0</v>
      </c>
      <c r="F196" s="165" t="s">
        <v>233</v>
      </c>
      <c r="G196" s="137">
        <v>7.19914942</v>
      </c>
      <c r="H196" s="137">
        <v>0.10779768</v>
      </c>
      <c r="I196" s="137">
        <v>3.36422787</v>
      </c>
      <c r="J196" s="120">
        <f t="shared" si="1"/>
        <v>66.78389943</v>
      </c>
      <c r="K196" s="121">
        <v>-0.56</v>
      </c>
      <c r="L196" s="121">
        <v>-1.353</v>
      </c>
      <c r="M196" s="122">
        <f t="shared" si="3"/>
        <v>0.793</v>
      </c>
      <c r="N196" s="120">
        <v>67.0</v>
      </c>
      <c r="O196" s="120">
        <v>4.242405889029004</v>
      </c>
      <c r="P196" s="123">
        <v>4.464091960279038</v>
      </c>
      <c r="Q196" s="120">
        <v>0.14285714285714285</v>
      </c>
      <c r="R196" s="120">
        <v>1.0522548000000003</v>
      </c>
      <c r="S196" s="15"/>
      <c r="T196" s="161"/>
      <c r="AA196" s="15"/>
      <c r="AB196" s="15"/>
      <c r="AC196" s="15"/>
      <c r="AD196" s="15"/>
      <c r="AE196" s="15"/>
    </row>
    <row r="197" ht="15.0" customHeight="1">
      <c r="A197" s="134" t="s">
        <v>238</v>
      </c>
      <c r="B197" s="135" t="s">
        <v>278</v>
      </c>
      <c r="C197" s="116" t="s">
        <v>279</v>
      </c>
      <c r="D197" s="135" t="s">
        <v>240</v>
      </c>
      <c r="E197" s="8">
        <v>4.0</v>
      </c>
      <c r="F197" s="165" t="s">
        <v>233</v>
      </c>
      <c r="G197" s="137">
        <v>9.57958457</v>
      </c>
      <c r="H197" s="137">
        <v>0.103803</v>
      </c>
      <c r="I197" s="137">
        <v>3.51412928</v>
      </c>
      <c r="J197" s="120">
        <f t="shared" si="1"/>
        <v>92.28620146</v>
      </c>
      <c r="K197" s="121">
        <v>-0.48</v>
      </c>
      <c r="L197" s="121">
        <v>-1.415</v>
      </c>
      <c r="M197" s="122">
        <f t="shared" si="3"/>
        <v>0.935</v>
      </c>
      <c r="N197" s="120">
        <v>43.5</v>
      </c>
      <c r="O197" s="120">
        <v>3.758427037433155</v>
      </c>
      <c r="P197" s="123">
        <v>3.405541933562593</v>
      </c>
      <c r="Q197" s="120">
        <v>0.0</v>
      </c>
      <c r="R197" s="120">
        <v>0.9061083000000002</v>
      </c>
      <c r="S197" s="15"/>
      <c r="T197" s="161"/>
      <c r="AA197" s="15"/>
      <c r="AB197" s="15"/>
      <c r="AC197" s="15"/>
      <c r="AD197" s="15"/>
      <c r="AE197" s="15"/>
    </row>
    <row r="198" ht="15.0" customHeight="1">
      <c r="A198" s="134" t="s">
        <v>238</v>
      </c>
      <c r="B198" s="135" t="s">
        <v>278</v>
      </c>
      <c r="C198" s="116" t="s">
        <v>279</v>
      </c>
      <c r="D198" s="135" t="s">
        <v>240</v>
      </c>
      <c r="E198" s="8">
        <v>5.0</v>
      </c>
      <c r="F198" s="165" t="s">
        <v>233</v>
      </c>
      <c r="G198" s="137">
        <v>7.16653398</v>
      </c>
      <c r="H198" s="137">
        <v>0.09442003</v>
      </c>
      <c r="I198" s="137">
        <v>3.38220742</v>
      </c>
      <c r="J198" s="120">
        <f t="shared" si="1"/>
        <v>75.90056877</v>
      </c>
      <c r="K198" s="121">
        <v>-0.502</v>
      </c>
      <c r="L198" s="121">
        <v>-1.34</v>
      </c>
      <c r="M198" s="122">
        <f t="shared" si="3"/>
        <v>0.838</v>
      </c>
      <c r="N198" s="120">
        <v>31.4</v>
      </c>
      <c r="O198" s="120">
        <v>4.036047040572792</v>
      </c>
      <c r="P198" s="123">
        <v>3.53912489289043</v>
      </c>
      <c r="Q198" s="120">
        <v>0.14285714285714285</v>
      </c>
      <c r="R198" s="120">
        <v>0.8768790000000003</v>
      </c>
      <c r="S198" s="15"/>
      <c r="T198" s="161"/>
      <c r="AA198" s="15"/>
      <c r="AB198" s="15"/>
      <c r="AC198" s="15"/>
      <c r="AD198" s="15"/>
      <c r="AE198" s="15"/>
    </row>
    <row r="199" ht="15.0" customHeight="1">
      <c r="A199" s="134" t="s">
        <v>238</v>
      </c>
      <c r="B199" s="135" t="s">
        <v>278</v>
      </c>
      <c r="C199" s="116" t="s">
        <v>279</v>
      </c>
      <c r="D199" s="135" t="s">
        <v>240</v>
      </c>
      <c r="E199" s="8">
        <v>6.0</v>
      </c>
      <c r="F199" s="165" t="s">
        <v>233</v>
      </c>
      <c r="G199" s="137">
        <v>-1.22380573</v>
      </c>
      <c r="H199" s="137">
        <v>0.00715686</v>
      </c>
      <c r="I199" s="137">
        <v>0.29803199</v>
      </c>
      <c r="J199" s="120">
        <f t="shared" si="1"/>
        <v>-170.9975785</v>
      </c>
      <c r="K199" s="121">
        <v>-0.87</v>
      </c>
      <c r="L199" s="121">
        <v>-1.34</v>
      </c>
      <c r="M199" s="122">
        <f t="shared" si="3"/>
        <v>0.47</v>
      </c>
      <c r="N199" s="120">
        <v>38.2</v>
      </c>
      <c r="O199" s="120">
        <v>0.6341106170212766</v>
      </c>
      <c r="P199" s="123">
        <v>0.6394440263044501</v>
      </c>
      <c r="Q199" s="120">
        <v>0.0</v>
      </c>
      <c r="R199" s="120">
        <v>1.0084108500000002</v>
      </c>
      <c r="S199" s="15"/>
      <c r="T199" s="161"/>
      <c r="AA199" s="15"/>
      <c r="AB199" s="15"/>
      <c r="AC199" s="15"/>
      <c r="AD199" s="15"/>
      <c r="AE199" s="15"/>
    </row>
    <row r="200" ht="15.0" customHeight="1">
      <c r="A200" s="134" t="s">
        <v>244</v>
      </c>
      <c r="B200" s="3" t="s">
        <v>278</v>
      </c>
      <c r="C200" s="3" t="s">
        <v>280</v>
      </c>
      <c r="D200" s="135" t="s">
        <v>240</v>
      </c>
      <c r="E200" s="8">
        <v>1.0</v>
      </c>
      <c r="F200" s="165" t="s">
        <v>233</v>
      </c>
      <c r="G200" s="137">
        <v>9.48132749</v>
      </c>
      <c r="H200" s="137">
        <v>0.13954226</v>
      </c>
      <c r="I200" s="137">
        <v>3.56095791</v>
      </c>
      <c r="J200" s="120">
        <f t="shared" si="1"/>
        <v>67.94592183</v>
      </c>
      <c r="K200" s="121">
        <v>-0.52</v>
      </c>
      <c r="L200" s="121">
        <v>-1.42</v>
      </c>
      <c r="M200" s="122">
        <f t="shared" si="3"/>
        <v>0.9</v>
      </c>
      <c r="N200" s="120">
        <v>52.2</v>
      </c>
      <c r="O200" s="120">
        <v>3.9566199</v>
      </c>
      <c r="P200" s="123">
        <v>3.238178441205961</v>
      </c>
      <c r="Q200" s="120">
        <v>0.14285714285714285</v>
      </c>
      <c r="R200" s="120">
        <v>0.8184204000000002</v>
      </c>
      <c r="S200" s="15"/>
      <c r="T200" s="161"/>
      <c r="AA200" s="15"/>
      <c r="AB200" s="15"/>
      <c r="AC200" s="15"/>
      <c r="AD200" s="15"/>
      <c r="AE200" s="15"/>
    </row>
    <row r="201" ht="15.0" customHeight="1">
      <c r="A201" s="134" t="s">
        <v>244</v>
      </c>
      <c r="B201" s="3" t="s">
        <v>278</v>
      </c>
      <c r="C201" s="3" t="s">
        <v>280</v>
      </c>
      <c r="D201" s="135" t="s">
        <v>240</v>
      </c>
      <c r="E201" s="8">
        <v>2.0</v>
      </c>
      <c r="F201" s="165" t="s">
        <v>233</v>
      </c>
      <c r="G201" s="137">
        <v>5.60426607</v>
      </c>
      <c r="H201" s="137">
        <v>0.08328328</v>
      </c>
      <c r="I201" s="137">
        <v>3.86360495</v>
      </c>
      <c r="J201" s="120">
        <f t="shared" si="1"/>
        <v>67.29161087</v>
      </c>
      <c r="K201" s="121">
        <v>-0.507</v>
      </c>
      <c r="L201" s="121">
        <v>-1.47</v>
      </c>
      <c r="M201" s="122">
        <f t="shared" si="3"/>
        <v>0.963</v>
      </c>
      <c r="N201" s="120">
        <v>44.5</v>
      </c>
      <c r="O201" s="120">
        <v>4.012050830737279</v>
      </c>
      <c r="P201" s="123">
        <v>4.045795588466986</v>
      </c>
      <c r="Q201" s="120">
        <v>0.0</v>
      </c>
      <c r="R201" s="120">
        <v>1.0084108500000002</v>
      </c>
      <c r="S201" s="15"/>
      <c r="T201" s="161"/>
      <c r="AA201" s="15"/>
      <c r="AB201" s="15"/>
      <c r="AC201" s="15"/>
      <c r="AD201" s="15"/>
      <c r="AE201" s="15"/>
    </row>
    <row r="202" ht="15.0" customHeight="1">
      <c r="A202" s="134" t="s">
        <v>244</v>
      </c>
      <c r="B202" s="3" t="s">
        <v>278</v>
      </c>
      <c r="C202" s="3" t="s">
        <v>280</v>
      </c>
      <c r="D202" s="135" t="s">
        <v>240</v>
      </c>
      <c r="E202" s="8">
        <v>3.0</v>
      </c>
      <c r="F202" s="165" t="s">
        <v>233</v>
      </c>
      <c r="G202" s="137">
        <v>4.50395273</v>
      </c>
      <c r="H202" s="137">
        <v>0.05087259</v>
      </c>
      <c r="I202" s="137">
        <v>1.85485619</v>
      </c>
      <c r="J202" s="120">
        <f t="shared" si="1"/>
        <v>88.53397733</v>
      </c>
      <c r="K202" s="121">
        <v>-0.42</v>
      </c>
      <c r="L202" s="121">
        <v>-1.43</v>
      </c>
      <c r="M202" s="122">
        <f t="shared" si="3"/>
        <v>1.01</v>
      </c>
      <c r="N202" s="120">
        <v>47.5</v>
      </c>
      <c r="O202" s="120">
        <v>1.8364912772277229</v>
      </c>
      <c r="P202" s="123">
        <v>1.7445790209078496</v>
      </c>
      <c r="Q202" s="120">
        <v>0.0</v>
      </c>
      <c r="R202" s="120">
        <v>0.9499522500000003</v>
      </c>
      <c r="S202" s="15"/>
      <c r="T202" s="161"/>
      <c r="AA202" s="15"/>
      <c r="AB202" s="15"/>
      <c r="AC202" s="15"/>
      <c r="AD202" s="15"/>
      <c r="AE202" s="15"/>
    </row>
    <row r="203" ht="15.0" customHeight="1">
      <c r="A203" s="134" t="s">
        <v>244</v>
      </c>
      <c r="B203" s="3" t="s">
        <v>278</v>
      </c>
      <c r="C203" s="3" t="s">
        <v>280</v>
      </c>
      <c r="D203" s="135" t="s">
        <v>240</v>
      </c>
      <c r="E203" s="8">
        <v>4.0</v>
      </c>
      <c r="F203" s="165" t="s">
        <v>233</v>
      </c>
      <c r="G203" s="137">
        <v>6.91161325</v>
      </c>
      <c r="H203" s="137">
        <v>0.11126474</v>
      </c>
      <c r="I203" s="137">
        <v>3.24521022</v>
      </c>
      <c r="J203" s="120">
        <f t="shared" si="1"/>
        <v>62.1186303</v>
      </c>
      <c r="K203" s="121">
        <v>-0.503</v>
      </c>
      <c r="L203" s="121">
        <v>-1.42</v>
      </c>
      <c r="M203" s="122">
        <f t="shared" si="3"/>
        <v>0.917</v>
      </c>
      <c r="N203" s="120">
        <v>53.3</v>
      </c>
      <c r="O203" s="120">
        <v>3.538942442748092</v>
      </c>
      <c r="P203" s="123">
        <v>2.94806309474178</v>
      </c>
      <c r="Q203" s="120">
        <v>0.14285714285714285</v>
      </c>
      <c r="R203" s="120">
        <v>0.8330350500000002</v>
      </c>
      <c r="S203" s="15"/>
      <c r="T203" s="161"/>
      <c r="AA203" s="15"/>
      <c r="AB203" s="15"/>
      <c r="AC203" s="15"/>
      <c r="AD203" s="15"/>
      <c r="AE203" s="15"/>
    </row>
    <row r="204" ht="15.0" customHeight="1">
      <c r="A204" s="134" t="s">
        <v>244</v>
      </c>
      <c r="B204" s="3" t="s">
        <v>278</v>
      </c>
      <c r="C204" s="3" t="s">
        <v>280</v>
      </c>
      <c r="D204" s="135" t="s">
        <v>240</v>
      </c>
      <c r="E204" s="8">
        <v>5.0</v>
      </c>
      <c r="F204" s="165" t="s">
        <v>233</v>
      </c>
      <c r="G204" s="137">
        <v>3.53623477</v>
      </c>
      <c r="H204" s="137">
        <v>0.05464551</v>
      </c>
      <c r="I204" s="137">
        <v>2.28880838</v>
      </c>
      <c r="J204" s="120">
        <f t="shared" si="1"/>
        <v>64.71226584</v>
      </c>
      <c r="K204" s="121">
        <v>-0.836</v>
      </c>
      <c r="L204" s="121">
        <v>-1.507</v>
      </c>
      <c r="M204" s="122">
        <f t="shared" si="3"/>
        <v>0.671</v>
      </c>
      <c r="N204" s="120">
        <v>52.2</v>
      </c>
      <c r="O204" s="120">
        <v>3.4110408047690015</v>
      </c>
      <c r="P204" s="123">
        <v>3.5394328923166283</v>
      </c>
      <c r="Q204" s="120">
        <v>0.0</v>
      </c>
      <c r="R204" s="120">
        <v>1.03764015</v>
      </c>
      <c r="S204" s="15"/>
      <c r="T204" s="161"/>
      <c r="AA204" s="15"/>
      <c r="AB204" s="15"/>
      <c r="AC204" s="15"/>
      <c r="AD204" s="15"/>
      <c r="AE204" s="15"/>
    </row>
    <row r="205" ht="15.0" customHeight="1">
      <c r="A205" s="134" t="s">
        <v>244</v>
      </c>
      <c r="B205" s="3" t="s">
        <v>278</v>
      </c>
      <c r="C205" s="3" t="s">
        <v>280</v>
      </c>
      <c r="D205" s="135" t="s">
        <v>240</v>
      </c>
      <c r="E205" s="8">
        <v>6.0</v>
      </c>
      <c r="F205" s="165" t="s">
        <v>233</v>
      </c>
      <c r="G205" s="137">
        <v>8.97118911</v>
      </c>
      <c r="H205" s="137">
        <v>0.10696003</v>
      </c>
      <c r="I205" s="137">
        <v>3.93449122</v>
      </c>
      <c r="J205" s="120">
        <f t="shared" si="1"/>
        <v>83.87422021</v>
      </c>
      <c r="K205" s="121">
        <v>-0.438</v>
      </c>
      <c r="L205" s="121">
        <v>-1.435</v>
      </c>
      <c r="M205" s="122">
        <f t="shared" si="3"/>
        <v>0.997</v>
      </c>
      <c r="N205" s="120">
        <v>50.1</v>
      </c>
      <c r="O205" s="120">
        <v>3.946330210631895</v>
      </c>
      <c r="P205" s="123">
        <v>4.4985903153992925</v>
      </c>
      <c r="Q205" s="120">
        <v>0.0</v>
      </c>
      <c r="R205" s="120">
        <v>1.1399427000000004</v>
      </c>
      <c r="S205" s="15"/>
      <c r="T205" s="161"/>
      <c r="AA205" s="15"/>
      <c r="AB205" s="15"/>
      <c r="AC205" s="15"/>
      <c r="AD205" s="15"/>
      <c r="AE205" s="15"/>
    </row>
    <row r="206" ht="15.0" customHeight="1">
      <c r="A206" s="134" t="s">
        <v>249</v>
      </c>
      <c r="B206" s="3" t="s">
        <v>278</v>
      </c>
      <c r="C206" s="3" t="s">
        <v>281</v>
      </c>
      <c r="D206" s="3" t="s">
        <v>251</v>
      </c>
      <c r="E206" s="8">
        <v>1.0</v>
      </c>
      <c r="F206" s="165" t="s">
        <v>233</v>
      </c>
      <c r="G206" s="137">
        <v>3.20292386</v>
      </c>
      <c r="H206" s="137">
        <v>0.05487775</v>
      </c>
      <c r="I206" s="137">
        <v>1.64788099</v>
      </c>
      <c r="J206" s="120">
        <f t="shared" si="1"/>
        <v>58.3647081</v>
      </c>
      <c r="K206" s="121">
        <v>-0.515</v>
      </c>
      <c r="L206" s="121">
        <v>-1.4</v>
      </c>
      <c r="M206" s="122">
        <f t="shared" si="3"/>
        <v>0.885</v>
      </c>
      <c r="N206" s="120">
        <v>40.2</v>
      </c>
      <c r="O206" s="120">
        <v>1.8620124180790962</v>
      </c>
      <c r="P206" s="123">
        <v>2.1498001230844936</v>
      </c>
      <c r="Q206" s="120">
        <v>0.0</v>
      </c>
      <c r="R206" s="120">
        <v>1.1545573500000001</v>
      </c>
      <c r="S206" s="15"/>
      <c r="T206" s="161"/>
      <c r="AA206" s="15"/>
      <c r="AB206" s="15"/>
      <c r="AC206" s="15"/>
      <c r="AD206" s="15"/>
      <c r="AE206" s="15"/>
    </row>
    <row r="207" ht="15.0" customHeight="1">
      <c r="A207" s="134" t="s">
        <v>249</v>
      </c>
      <c r="B207" s="3" t="s">
        <v>278</v>
      </c>
      <c r="C207" s="3" t="s">
        <v>281</v>
      </c>
      <c r="D207" s="3" t="s">
        <v>251</v>
      </c>
      <c r="E207" s="8">
        <v>2.0</v>
      </c>
      <c r="F207" s="165" t="s">
        <v>233</v>
      </c>
      <c r="G207" s="137">
        <v>2.4043877</v>
      </c>
      <c r="H207" s="137">
        <v>0.03249638</v>
      </c>
      <c r="I207" s="137">
        <v>1.701193</v>
      </c>
      <c r="J207" s="120">
        <f t="shared" si="1"/>
        <v>73.98940128</v>
      </c>
      <c r="K207" s="121">
        <v>-0.402</v>
      </c>
      <c r="L207" s="121">
        <v>-1.2</v>
      </c>
      <c r="M207" s="122">
        <f t="shared" si="3"/>
        <v>0.798</v>
      </c>
      <c r="N207" s="120">
        <v>35.0</v>
      </c>
      <c r="O207" s="120">
        <v>2.1318208020050124</v>
      </c>
      <c r="P207" s="123">
        <v>2.18090704188158</v>
      </c>
      <c r="Q207" s="120">
        <v>0.0</v>
      </c>
      <c r="R207" s="120">
        <v>1.0230255000000004</v>
      </c>
      <c r="S207" s="15"/>
      <c r="T207" s="161"/>
      <c r="AA207" s="15"/>
      <c r="AB207" s="15"/>
      <c r="AC207" s="15"/>
      <c r="AD207" s="15"/>
      <c r="AE207" s="15"/>
    </row>
    <row r="208" ht="15.0" customHeight="1">
      <c r="A208" s="134" t="s">
        <v>249</v>
      </c>
      <c r="B208" s="3" t="s">
        <v>278</v>
      </c>
      <c r="C208" s="3" t="s">
        <v>281</v>
      </c>
      <c r="D208" s="3" t="s">
        <v>251</v>
      </c>
      <c r="E208" s="8">
        <v>3.0</v>
      </c>
      <c r="F208" s="165" t="s">
        <v>233</v>
      </c>
      <c r="G208" s="137">
        <v>3.03291467</v>
      </c>
      <c r="H208" s="137">
        <v>0.04845238</v>
      </c>
      <c r="I208" s="137">
        <v>1.7865949</v>
      </c>
      <c r="J208" s="120">
        <f t="shared" si="1"/>
        <v>62.59578312</v>
      </c>
      <c r="K208" s="121">
        <v>-0.315</v>
      </c>
      <c r="L208" s="121">
        <v>-1.45</v>
      </c>
      <c r="M208" s="122">
        <f t="shared" si="3"/>
        <v>1.135</v>
      </c>
      <c r="N208" s="120">
        <v>42.0</v>
      </c>
      <c r="O208" s="120">
        <v>1.574092422907489</v>
      </c>
      <c r="P208" s="123">
        <v>1.7023559273049256</v>
      </c>
      <c r="Q208" s="120">
        <v>0.0</v>
      </c>
      <c r="R208" s="120">
        <v>1.0814841000000002</v>
      </c>
      <c r="S208" s="15"/>
      <c r="T208" s="161"/>
      <c r="AA208" s="15"/>
      <c r="AB208" s="15"/>
      <c r="AC208" s="15"/>
      <c r="AD208" s="15"/>
      <c r="AE208" s="15"/>
    </row>
    <row r="209" ht="15.0" customHeight="1">
      <c r="A209" s="134" t="s">
        <v>249</v>
      </c>
      <c r="B209" s="3" t="s">
        <v>278</v>
      </c>
      <c r="C209" s="3" t="s">
        <v>281</v>
      </c>
      <c r="D209" s="3" t="s">
        <v>251</v>
      </c>
      <c r="E209" s="8">
        <v>4.0</v>
      </c>
      <c r="F209" s="165" t="s">
        <v>233</v>
      </c>
      <c r="G209" s="137">
        <v>6.24615359</v>
      </c>
      <c r="H209" s="137">
        <v>0.06572943</v>
      </c>
      <c r="I209" s="137">
        <v>2.47210743</v>
      </c>
      <c r="J209" s="120">
        <f t="shared" si="1"/>
        <v>95.02826344</v>
      </c>
      <c r="K209" s="121">
        <v>-0.378</v>
      </c>
      <c r="L209" s="121">
        <v>-1.416</v>
      </c>
      <c r="M209" s="122">
        <f t="shared" si="3"/>
        <v>1.038</v>
      </c>
      <c r="N209" s="120">
        <v>44.8</v>
      </c>
      <c r="O209" s="120">
        <v>2.381606387283237</v>
      </c>
      <c r="P209" s="123">
        <v>2.471250408941537</v>
      </c>
      <c r="Q209" s="120">
        <v>0.0</v>
      </c>
      <c r="R209" s="120">
        <v>1.03764015</v>
      </c>
      <c r="S209" s="15"/>
      <c r="T209" s="161"/>
      <c r="AA209" s="15"/>
      <c r="AB209" s="15"/>
      <c r="AC209" s="15"/>
      <c r="AD209" s="15"/>
      <c r="AE209" s="15"/>
    </row>
    <row r="210" ht="15.0" customHeight="1">
      <c r="A210" s="134" t="s">
        <v>249</v>
      </c>
      <c r="B210" s="3" t="s">
        <v>278</v>
      </c>
      <c r="C210" s="3" t="s">
        <v>281</v>
      </c>
      <c r="D210" s="3" t="s">
        <v>251</v>
      </c>
      <c r="E210" s="8">
        <v>5.0</v>
      </c>
      <c r="F210" s="165" t="s">
        <v>233</v>
      </c>
      <c r="G210" s="137">
        <v>4.09387505</v>
      </c>
      <c r="H210" s="137">
        <v>0.05827258</v>
      </c>
      <c r="I210" s="137">
        <v>2.43426449</v>
      </c>
      <c r="J210" s="120">
        <f t="shared" si="1"/>
        <v>70.25388356</v>
      </c>
      <c r="K210" s="121">
        <v>-0.382</v>
      </c>
      <c r="L210" s="121">
        <v>-1.428</v>
      </c>
      <c r="M210" s="122">
        <f t="shared" si="3"/>
        <v>1.046</v>
      </c>
      <c r="N210" s="120">
        <v>41.2</v>
      </c>
      <c r="O210" s="120">
        <v>2.3272127055449334</v>
      </c>
      <c r="P210" s="123">
        <v>2.7889347317015662</v>
      </c>
      <c r="Q210" s="120">
        <v>0.0</v>
      </c>
      <c r="R210" s="120">
        <v>1.1984013000000002</v>
      </c>
      <c r="S210" s="15"/>
      <c r="T210" s="161"/>
      <c r="AA210" s="15"/>
      <c r="AB210" s="15"/>
      <c r="AC210" s="15"/>
      <c r="AD210" s="15"/>
      <c r="AE210" s="15"/>
    </row>
    <row r="211" ht="15.0" customHeight="1">
      <c r="A211" s="134" t="s">
        <v>249</v>
      </c>
      <c r="B211" s="3" t="s">
        <v>278</v>
      </c>
      <c r="C211" s="3" t="s">
        <v>281</v>
      </c>
      <c r="D211" s="3" t="s">
        <v>251</v>
      </c>
      <c r="E211" s="8">
        <v>6.0</v>
      </c>
      <c r="F211" s="165" t="s">
        <v>233</v>
      </c>
      <c r="G211" s="137">
        <v>7.24938216</v>
      </c>
      <c r="H211" s="137">
        <v>0.08178942</v>
      </c>
      <c r="I211" s="137">
        <v>2.9759954</v>
      </c>
      <c r="J211" s="120">
        <f t="shared" si="1"/>
        <v>88.63471779</v>
      </c>
      <c r="K211" s="121">
        <v>-0.34</v>
      </c>
      <c r="L211" s="121">
        <v>-1.469</v>
      </c>
      <c r="M211" s="122">
        <f t="shared" si="3"/>
        <v>1.129</v>
      </c>
      <c r="N211" s="120">
        <v>50.2</v>
      </c>
      <c r="O211" s="120">
        <v>2.6359569530558016</v>
      </c>
      <c r="P211" s="123">
        <v>3.158934239286112</v>
      </c>
      <c r="Q211" s="120">
        <v>0.14285714285714285</v>
      </c>
      <c r="R211" s="120">
        <v>1.1984013000000002</v>
      </c>
      <c r="S211" s="15"/>
      <c r="T211" s="161"/>
      <c r="AA211" s="15"/>
      <c r="AB211" s="15"/>
      <c r="AC211" s="15"/>
      <c r="AD211" s="15"/>
      <c r="AE211" s="15"/>
    </row>
    <row r="212" ht="15.0" customHeight="1">
      <c r="A212" s="134" t="s">
        <v>256</v>
      </c>
      <c r="B212" s="3" t="s">
        <v>282</v>
      </c>
      <c r="C212" s="3" t="s">
        <v>283</v>
      </c>
      <c r="D212" s="135" t="s">
        <v>240</v>
      </c>
      <c r="E212" s="8">
        <v>1.0</v>
      </c>
      <c r="F212" s="165" t="s">
        <v>233</v>
      </c>
      <c r="G212" s="137">
        <v>6.72970191</v>
      </c>
      <c r="H212" s="137">
        <v>0.08898405</v>
      </c>
      <c r="I212" s="137">
        <v>2.64996994</v>
      </c>
      <c r="J212" s="120">
        <f t="shared" si="1"/>
        <v>75.62818179</v>
      </c>
      <c r="K212" s="121">
        <v>-0.522</v>
      </c>
      <c r="L212" s="121">
        <v>-1.414</v>
      </c>
      <c r="M212" s="122">
        <f t="shared" si="3"/>
        <v>0.892</v>
      </c>
      <c r="N212" s="120">
        <v>42.9</v>
      </c>
      <c r="O212" s="120">
        <v>2.9708183183856507</v>
      </c>
      <c r="P212" s="123">
        <v>2.86555301582846</v>
      </c>
      <c r="Q212" s="120">
        <v>0.0</v>
      </c>
      <c r="R212" s="120">
        <v>0.9645669000000001</v>
      </c>
      <c r="S212" s="15"/>
      <c r="T212" s="161"/>
      <c r="AA212" s="15"/>
      <c r="AB212" s="15"/>
      <c r="AC212" s="15"/>
      <c r="AD212" s="15"/>
      <c r="AE212" s="15"/>
    </row>
    <row r="213" ht="15.0" customHeight="1">
      <c r="A213" s="134" t="s">
        <v>256</v>
      </c>
      <c r="B213" s="3" t="s">
        <v>282</v>
      </c>
      <c r="C213" s="3" t="s">
        <v>283</v>
      </c>
      <c r="D213" s="135" t="s">
        <v>240</v>
      </c>
      <c r="E213" s="8">
        <v>2.0</v>
      </c>
      <c r="F213" s="165" t="s">
        <v>233</v>
      </c>
      <c r="G213" s="137">
        <v>2.19233276</v>
      </c>
      <c r="H213" s="137">
        <v>0.03656611</v>
      </c>
      <c r="I213" s="137">
        <v>1.97993884</v>
      </c>
      <c r="J213" s="120">
        <f t="shared" si="1"/>
        <v>59.95531819</v>
      </c>
      <c r="K213" s="121">
        <v>-0.463</v>
      </c>
      <c r="L213" s="121">
        <v>-1.37</v>
      </c>
      <c r="M213" s="122">
        <f t="shared" si="3"/>
        <v>0.907</v>
      </c>
      <c r="N213" s="120">
        <v>49.3</v>
      </c>
      <c r="O213" s="120">
        <v>2.1829535170893055</v>
      </c>
      <c r="P213" s="123">
        <v>2.137507808441458</v>
      </c>
      <c r="Q213" s="120">
        <v>0.0</v>
      </c>
      <c r="R213" s="120">
        <v>0.9791815500000003</v>
      </c>
      <c r="S213" s="15"/>
      <c r="T213" s="161"/>
      <c r="AA213" s="15"/>
      <c r="AB213" s="15"/>
      <c r="AC213" s="15"/>
      <c r="AD213" s="15"/>
      <c r="AE213" s="15"/>
    </row>
    <row r="214" ht="15.0" customHeight="1">
      <c r="A214" s="134" t="s">
        <v>256</v>
      </c>
      <c r="B214" s="3" t="s">
        <v>282</v>
      </c>
      <c r="C214" s="3" t="s">
        <v>283</v>
      </c>
      <c r="D214" s="135" t="s">
        <v>240</v>
      </c>
      <c r="E214" s="8">
        <v>3.0</v>
      </c>
      <c r="F214" s="165" t="s">
        <v>233</v>
      </c>
      <c r="G214" s="137">
        <v>7.23920454</v>
      </c>
      <c r="H214" s="137">
        <v>0.07875493</v>
      </c>
      <c r="I214" s="137">
        <v>2.60074896</v>
      </c>
      <c r="J214" s="120">
        <f t="shared" si="1"/>
        <v>91.92065233</v>
      </c>
      <c r="K214" s="121">
        <v>-0.472</v>
      </c>
      <c r="L214" s="121">
        <v>-1.396</v>
      </c>
      <c r="M214" s="122">
        <f t="shared" si="3"/>
        <v>0.924</v>
      </c>
      <c r="N214" s="120">
        <v>45.0</v>
      </c>
      <c r="O214" s="120">
        <v>2.8146633766233773</v>
      </c>
      <c r="P214" s="123">
        <v>2.8383370880846504</v>
      </c>
      <c r="Q214" s="120">
        <v>0.0</v>
      </c>
      <c r="R214" s="120">
        <v>1.0084108500000002</v>
      </c>
      <c r="S214" s="15"/>
      <c r="T214" s="161"/>
      <c r="AA214" s="15"/>
      <c r="AB214" s="15"/>
      <c r="AC214" s="15"/>
      <c r="AD214" s="15"/>
      <c r="AE214" s="15"/>
    </row>
    <row r="215" ht="15.0" customHeight="1">
      <c r="A215" s="134" t="s">
        <v>256</v>
      </c>
      <c r="B215" s="3" t="s">
        <v>282</v>
      </c>
      <c r="C215" s="3" t="s">
        <v>283</v>
      </c>
      <c r="D215" s="135" t="s">
        <v>240</v>
      </c>
      <c r="E215" s="8">
        <v>4.0</v>
      </c>
      <c r="F215" s="165" t="s">
        <v>233</v>
      </c>
      <c r="G215" s="137">
        <v>6.89492782</v>
      </c>
      <c r="H215" s="137">
        <v>0.1009392</v>
      </c>
      <c r="I215" s="137">
        <v>3.47914023</v>
      </c>
      <c r="J215" s="120">
        <f t="shared" si="1"/>
        <v>68.30773198</v>
      </c>
      <c r="K215" s="121">
        <v>-0.501</v>
      </c>
      <c r="L215" s="121">
        <v>-1.35</v>
      </c>
      <c r="M215" s="122">
        <f t="shared" si="3"/>
        <v>0.849</v>
      </c>
      <c r="N215" s="120">
        <v>50.6</v>
      </c>
      <c r="O215" s="120">
        <v>4.097927243816254</v>
      </c>
      <c r="P215" s="123">
        <v>3.832945433205711</v>
      </c>
      <c r="Q215" s="120">
        <v>0.14285714285714285</v>
      </c>
      <c r="R215" s="120">
        <v>0.9353376000000002</v>
      </c>
      <c r="S215" s="15"/>
      <c r="T215" s="161"/>
      <c r="AA215" s="15"/>
      <c r="AB215" s="15"/>
      <c r="AC215" s="15"/>
      <c r="AD215" s="15"/>
      <c r="AE215" s="15"/>
    </row>
    <row r="216" ht="15.0" customHeight="1">
      <c r="A216" s="134" t="s">
        <v>256</v>
      </c>
      <c r="B216" s="3" t="s">
        <v>282</v>
      </c>
      <c r="C216" s="3" t="s">
        <v>283</v>
      </c>
      <c r="D216" s="135" t="s">
        <v>240</v>
      </c>
      <c r="E216" s="8">
        <v>5.0</v>
      </c>
      <c r="F216" s="165" t="s">
        <v>233</v>
      </c>
      <c r="G216" s="137">
        <v>6.85830613</v>
      </c>
      <c r="H216" s="137">
        <v>0.08078911</v>
      </c>
      <c r="I216" s="137">
        <v>3.23479664</v>
      </c>
      <c r="J216" s="120">
        <f t="shared" si="1"/>
        <v>84.8914678</v>
      </c>
      <c r="K216" s="121">
        <v>-0.482</v>
      </c>
      <c r="L216" s="121">
        <v>-1.411</v>
      </c>
      <c r="M216" s="122">
        <f t="shared" si="3"/>
        <v>0.929</v>
      </c>
      <c r="N216" s="120">
        <v>41.5</v>
      </c>
      <c r="O216" s="120">
        <v>3.4820200645855754</v>
      </c>
      <c r="P216" s="123">
        <v>3.562195317582692</v>
      </c>
      <c r="Q216" s="120">
        <v>0.0</v>
      </c>
      <c r="R216" s="120">
        <v>1.0230255000000004</v>
      </c>
      <c r="S216" s="15"/>
      <c r="T216" s="161"/>
      <c r="AA216" s="15"/>
      <c r="AB216" s="15"/>
      <c r="AC216" s="15"/>
      <c r="AD216" s="15"/>
      <c r="AE216" s="15"/>
    </row>
    <row r="217" ht="15.0" customHeight="1">
      <c r="A217" s="134" t="s">
        <v>256</v>
      </c>
      <c r="B217" s="3" t="s">
        <v>282</v>
      </c>
      <c r="C217" s="3" t="s">
        <v>283</v>
      </c>
      <c r="D217" s="135" t="s">
        <v>240</v>
      </c>
      <c r="E217" s="8">
        <v>6.0</v>
      </c>
      <c r="F217" s="165" t="s">
        <v>233</v>
      </c>
      <c r="G217" s="137">
        <v>13.6120014</v>
      </c>
      <c r="H217" s="137">
        <v>0.15040004</v>
      </c>
      <c r="I217" s="137">
        <v>4.75625997</v>
      </c>
      <c r="J217" s="120">
        <f t="shared" si="1"/>
        <v>90.50530439</v>
      </c>
      <c r="K217" s="121">
        <v>-0.53</v>
      </c>
      <c r="L217" s="121">
        <v>-1.107</v>
      </c>
      <c r="M217" s="122">
        <f t="shared" si="3"/>
        <v>0.577</v>
      </c>
      <c r="N217" s="120">
        <v>49.7</v>
      </c>
      <c r="O217" s="120">
        <v>8.243084870017332</v>
      </c>
      <c r="P217" s="123">
        <v>8.914765221874314</v>
      </c>
      <c r="Q217" s="120">
        <v>0.0</v>
      </c>
      <c r="R217" s="120">
        <v>1.0814841000000002</v>
      </c>
      <c r="S217" s="15"/>
      <c r="T217" s="161"/>
      <c r="AA217" s="15"/>
      <c r="AB217" s="15"/>
      <c r="AC217" s="15"/>
      <c r="AD217" s="15"/>
      <c r="AE217" s="15"/>
    </row>
    <row r="218" ht="15.0" customHeight="1">
      <c r="A218" s="134" t="s">
        <v>249</v>
      </c>
      <c r="B218" s="3" t="s">
        <v>282</v>
      </c>
      <c r="C218" s="3" t="s">
        <v>284</v>
      </c>
      <c r="D218" s="3" t="s">
        <v>251</v>
      </c>
      <c r="E218" s="8">
        <v>1.0</v>
      </c>
      <c r="F218" s="165" t="s">
        <v>233</v>
      </c>
      <c r="G218" s="137">
        <v>6.37219859</v>
      </c>
      <c r="H218" s="137">
        <v>0.08403736</v>
      </c>
      <c r="I218" s="137">
        <v>2.70781739</v>
      </c>
      <c r="J218" s="120">
        <f t="shared" si="1"/>
        <v>75.8257826</v>
      </c>
      <c r="K218" s="121">
        <v>-0.37</v>
      </c>
      <c r="L218" s="121">
        <v>-1.27</v>
      </c>
      <c r="M218" s="122">
        <f t="shared" si="3"/>
        <v>0.9</v>
      </c>
      <c r="N218" s="120">
        <v>40.2</v>
      </c>
      <c r="O218" s="120">
        <v>3.008685988888889</v>
      </c>
      <c r="P218" s="123">
        <v>3.4297296296261717</v>
      </c>
      <c r="Q218" s="120">
        <v>0.0</v>
      </c>
      <c r="R218" s="120">
        <v>1.1399427000000004</v>
      </c>
      <c r="S218" s="15"/>
      <c r="T218" s="161"/>
      <c r="AA218" s="15"/>
      <c r="AB218" s="15"/>
      <c r="AC218" s="15"/>
      <c r="AD218" s="15"/>
      <c r="AE218" s="15"/>
    </row>
    <row r="219" ht="15.0" customHeight="1">
      <c r="A219" s="134" t="s">
        <v>249</v>
      </c>
      <c r="B219" s="3" t="s">
        <v>282</v>
      </c>
      <c r="C219" s="3" t="s">
        <v>284</v>
      </c>
      <c r="D219" s="3" t="s">
        <v>251</v>
      </c>
      <c r="E219" s="8">
        <v>2.0</v>
      </c>
      <c r="F219" s="165" t="s">
        <v>233</v>
      </c>
      <c r="G219" s="137">
        <v>3.10212475</v>
      </c>
      <c r="H219" s="137">
        <v>0.0444765</v>
      </c>
      <c r="I219" s="137">
        <v>2.38156258</v>
      </c>
      <c r="J219" s="120">
        <f t="shared" si="1"/>
        <v>69.74750149</v>
      </c>
      <c r="K219" s="121">
        <v>-0.408</v>
      </c>
      <c r="L219" s="121">
        <v>-1.52</v>
      </c>
      <c r="M219" s="122">
        <f t="shared" si="3"/>
        <v>1.112</v>
      </c>
      <c r="N219" s="120">
        <v>61.2</v>
      </c>
      <c r="O219" s="120">
        <v>2.1416929676258993</v>
      </c>
      <c r="P219" s="123">
        <v>2.0658061465347144</v>
      </c>
      <c r="Q219" s="120">
        <v>0.0</v>
      </c>
      <c r="R219" s="120">
        <v>0.9645669000000001</v>
      </c>
      <c r="S219" s="15"/>
      <c r="T219" s="161"/>
      <c r="AA219" s="15"/>
      <c r="AB219" s="15"/>
      <c r="AC219" s="15"/>
      <c r="AD219" s="15"/>
      <c r="AE219" s="15"/>
    </row>
    <row r="220" ht="15.0" customHeight="1">
      <c r="A220" s="134" t="s">
        <v>249</v>
      </c>
      <c r="B220" s="3" t="s">
        <v>282</v>
      </c>
      <c r="C220" s="3" t="s">
        <v>284</v>
      </c>
      <c r="D220" s="3" t="s">
        <v>251</v>
      </c>
      <c r="E220" s="8">
        <v>3.0</v>
      </c>
      <c r="F220" s="165" t="s">
        <v>233</v>
      </c>
      <c r="G220" s="137">
        <v>7.48923293</v>
      </c>
      <c r="H220" s="137">
        <v>0.07771835</v>
      </c>
      <c r="I220" s="137">
        <v>2.70369173</v>
      </c>
      <c r="J220" s="120">
        <f t="shared" si="1"/>
        <v>96.36376647</v>
      </c>
      <c r="K220" s="121">
        <v>-0.537</v>
      </c>
      <c r="L220" s="121">
        <v>-1.56</v>
      </c>
      <c r="M220" s="122">
        <f t="shared" si="3"/>
        <v>1.023</v>
      </c>
      <c r="N220" s="120">
        <v>32.5</v>
      </c>
      <c r="O220" s="120">
        <v>2.6429049169110455</v>
      </c>
      <c r="P220" s="123">
        <v>3.3217612095783258</v>
      </c>
      <c r="Q220" s="120">
        <v>0.14285714285714285</v>
      </c>
      <c r="R220" s="120">
        <v>1.2568599000000003</v>
      </c>
      <c r="S220" s="15"/>
      <c r="T220" s="161"/>
      <c r="AA220" s="15"/>
      <c r="AB220" s="15"/>
      <c r="AC220" s="15"/>
      <c r="AD220" s="15"/>
      <c r="AE220" s="15"/>
    </row>
    <row r="221" ht="15.0" customHeight="1">
      <c r="A221" s="134" t="s">
        <v>249</v>
      </c>
      <c r="B221" s="3" t="s">
        <v>282</v>
      </c>
      <c r="C221" s="3" t="s">
        <v>284</v>
      </c>
      <c r="D221" s="3" t="s">
        <v>251</v>
      </c>
      <c r="E221" s="8">
        <v>4.0</v>
      </c>
      <c r="F221" s="165" t="s">
        <v>233</v>
      </c>
      <c r="G221" s="137">
        <v>5.13024967</v>
      </c>
      <c r="H221" s="137">
        <v>0.05696661</v>
      </c>
      <c r="I221" s="137">
        <v>2.27019988</v>
      </c>
      <c r="J221" s="120">
        <f t="shared" si="1"/>
        <v>90.0571347</v>
      </c>
      <c r="K221" s="121">
        <v>-0.506</v>
      </c>
      <c r="L221" s="121">
        <v>-1.53</v>
      </c>
      <c r="M221" s="122">
        <f t="shared" si="3"/>
        <v>1.024</v>
      </c>
      <c r="N221" s="120">
        <v>43.0</v>
      </c>
      <c r="O221" s="120">
        <v>2.2169920703124997</v>
      </c>
      <c r="P221" s="123">
        <v>2.494843363350229</v>
      </c>
      <c r="Q221" s="120">
        <v>0.0</v>
      </c>
      <c r="R221" s="120">
        <v>1.1253280500000002</v>
      </c>
      <c r="S221" s="15"/>
      <c r="T221" s="161"/>
      <c r="AA221" s="15"/>
      <c r="AB221" s="15"/>
      <c r="AC221" s="15"/>
      <c r="AD221" s="15"/>
      <c r="AE221" s="15"/>
    </row>
    <row r="222" ht="15.0" customHeight="1">
      <c r="A222" s="134" t="s">
        <v>249</v>
      </c>
      <c r="B222" s="3" t="s">
        <v>282</v>
      </c>
      <c r="C222" s="3" t="s">
        <v>284</v>
      </c>
      <c r="D222" s="3" t="s">
        <v>251</v>
      </c>
      <c r="E222" s="8">
        <v>5.0</v>
      </c>
      <c r="F222" s="165" t="s">
        <v>233</v>
      </c>
      <c r="G222" s="137">
        <v>1.82861197</v>
      </c>
      <c r="H222" s="137">
        <v>0.03227301</v>
      </c>
      <c r="I222" s="137">
        <v>1.51062269</v>
      </c>
      <c r="J222" s="120">
        <f t="shared" si="1"/>
        <v>56.66071959</v>
      </c>
      <c r="K222" s="121">
        <v>-0.842</v>
      </c>
      <c r="L222" s="121">
        <v>-1.419</v>
      </c>
      <c r="M222" s="122">
        <f t="shared" si="3"/>
        <v>0.577</v>
      </c>
      <c r="N222" s="120">
        <v>44.2</v>
      </c>
      <c r="O222" s="120">
        <v>2.6180635875216636</v>
      </c>
      <c r="P222" s="123">
        <v>2.869656225703012</v>
      </c>
      <c r="Q222" s="120">
        <v>0.0</v>
      </c>
      <c r="R222" s="120">
        <v>1.0960987500000003</v>
      </c>
      <c r="S222" s="15"/>
      <c r="T222" s="161"/>
      <c r="AA222" s="15"/>
      <c r="AB222" s="15"/>
      <c r="AC222" s="15"/>
      <c r="AD222" s="15"/>
      <c r="AE222" s="15"/>
    </row>
    <row r="223" ht="15.0" customHeight="1">
      <c r="A223" s="134" t="s">
        <v>249</v>
      </c>
      <c r="B223" s="3" t="s">
        <v>282</v>
      </c>
      <c r="C223" s="3" t="s">
        <v>284</v>
      </c>
      <c r="D223" s="3" t="s">
        <v>251</v>
      </c>
      <c r="E223" s="8">
        <v>6.0</v>
      </c>
      <c r="F223" s="165" t="s">
        <v>233</v>
      </c>
      <c r="G223" s="137">
        <v>8.43657079</v>
      </c>
      <c r="H223" s="137">
        <v>0.0908845</v>
      </c>
      <c r="I223" s="137">
        <v>3.46316151</v>
      </c>
      <c r="J223" s="120">
        <f t="shared" si="1"/>
        <v>92.8273885</v>
      </c>
      <c r="K223" s="121">
        <v>-0.4</v>
      </c>
      <c r="L223" s="121">
        <v>-1.443</v>
      </c>
      <c r="M223" s="122">
        <f t="shared" si="3"/>
        <v>1.043</v>
      </c>
      <c r="N223" s="120">
        <v>42.7</v>
      </c>
      <c r="O223" s="120">
        <v>3.3203849568552246</v>
      </c>
      <c r="P223" s="123">
        <v>4.076206176815154</v>
      </c>
      <c r="Q223" s="120">
        <v>0.0</v>
      </c>
      <c r="R223" s="120">
        <v>1.2276306000000001</v>
      </c>
      <c r="S223" s="15"/>
      <c r="T223" s="161"/>
      <c r="AA223" s="15"/>
      <c r="AB223" s="15"/>
      <c r="AC223" s="15"/>
      <c r="AD223" s="15"/>
      <c r="AE223" s="15"/>
    </row>
    <row r="224" ht="15.0" customHeight="1">
      <c r="A224" s="134" t="s">
        <v>256</v>
      </c>
      <c r="B224" s="3" t="s">
        <v>278</v>
      </c>
      <c r="C224" s="3" t="s">
        <v>285</v>
      </c>
      <c r="D224" s="135" t="s">
        <v>240</v>
      </c>
      <c r="E224" s="8">
        <v>1.0</v>
      </c>
      <c r="F224" s="165" t="s">
        <v>233</v>
      </c>
      <c r="G224" s="137">
        <v>8.79984702</v>
      </c>
      <c r="H224" s="137">
        <v>0.11728596</v>
      </c>
      <c r="I224" s="137">
        <v>3.12130863</v>
      </c>
      <c r="J224" s="120">
        <f t="shared" si="1"/>
        <v>75.02898915</v>
      </c>
      <c r="K224" s="121">
        <v>-0.465</v>
      </c>
      <c r="L224" s="121">
        <v>-1.446</v>
      </c>
      <c r="M224" s="122">
        <f t="shared" si="3"/>
        <v>0.981</v>
      </c>
      <c r="N224" s="120">
        <v>48.7</v>
      </c>
      <c r="O224" s="120">
        <v>3.1817621100917437</v>
      </c>
      <c r="P224" s="123">
        <v>3.301524113179914</v>
      </c>
      <c r="Q224" s="120">
        <v>0.14285714285714285</v>
      </c>
      <c r="R224" s="120">
        <v>1.03764015</v>
      </c>
      <c r="S224" s="15"/>
      <c r="T224" s="161"/>
      <c r="AA224" s="15"/>
      <c r="AB224" s="15"/>
      <c r="AC224" s="15"/>
      <c r="AD224" s="15"/>
      <c r="AE224" s="15"/>
    </row>
    <row r="225" ht="15.0" customHeight="1">
      <c r="A225" s="134" t="s">
        <v>256</v>
      </c>
      <c r="B225" s="3" t="s">
        <v>278</v>
      </c>
      <c r="C225" s="3" t="s">
        <v>285</v>
      </c>
      <c r="D225" s="135" t="s">
        <v>240</v>
      </c>
      <c r="E225" s="8">
        <v>2.0</v>
      </c>
      <c r="F225" s="165" t="s">
        <v>233</v>
      </c>
      <c r="G225" s="137">
        <v>4.32597176</v>
      </c>
      <c r="H225" s="137">
        <v>0.05408333</v>
      </c>
      <c r="I225" s="137">
        <v>2.8477145</v>
      </c>
      <c r="J225" s="120">
        <f t="shared" si="1"/>
        <v>79.98715612</v>
      </c>
      <c r="K225" s="121">
        <v>-0.607</v>
      </c>
      <c r="L225" s="121">
        <v>-1.34</v>
      </c>
      <c r="M225" s="122">
        <f t="shared" si="3"/>
        <v>0.733</v>
      </c>
      <c r="N225" s="120">
        <v>46.2</v>
      </c>
      <c r="O225" s="120">
        <v>3.8850129604365615</v>
      </c>
      <c r="P225" s="123">
        <v>4.371914058992804</v>
      </c>
      <c r="Q225" s="120">
        <v>0.14285714285714285</v>
      </c>
      <c r="R225" s="120">
        <v>1.1253280500000002</v>
      </c>
      <c r="S225" s="15"/>
      <c r="T225" s="161"/>
      <c r="AA225" s="15"/>
      <c r="AB225" s="15"/>
      <c r="AC225" s="15"/>
      <c r="AD225" s="15"/>
      <c r="AE225" s="15"/>
    </row>
    <row r="226" ht="15.0" customHeight="1">
      <c r="A226" s="134" t="s">
        <v>256</v>
      </c>
      <c r="B226" s="3" t="s">
        <v>278</v>
      </c>
      <c r="C226" s="3" t="s">
        <v>285</v>
      </c>
      <c r="D226" s="135" t="s">
        <v>240</v>
      </c>
      <c r="E226" s="8">
        <v>3.0</v>
      </c>
      <c r="F226" s="165" t="s">
        <v>233</v>
      </c>
      <c r="G226" s="137">
        <v>7.76277903</v>
      </c>
      <c r="H226" s="137">
        <v>0.08825384</v>
      </c>
      <c r="I226" s="137">
        <v>3.02838857</v>
      </c>
      <c r="J226" s="120">
        <f t="shared" si="1"/>
        <v>87.95967439</v>
      </c>
      <c r="K226" s="121">
        <v>-0.454</v>
      </c>
      <c r="L226" s="121">
        <v>-1.39</v>
      </c>
      <c r="M226" s="122">
        <f t="shared" si="3"/>
        <v>0.936</v>
      </c>
      <c r="N226" s="120">
        <v>47.0</v>
      </c>
      <c r="O226" s="120">
        <v>3.235457873931624</v>
      </c>
      <c r="P226" s="123">
        <v>3.357240993625092</v>
      </c>
      <c r="Q226" s="120">
        <v>0.0</v>
      </c>
      <c r="R226" s="120">
        <v>1.03764015</v>
      </c>
      <c r="S226" s="15"/>
      <c r="T226" s="161"/>
      <c r="AA226" s="15"/>
      <c r="AB226" s="15"/>
      <c r="AC226" s="15"/>
      <c r="AD226" s="15"/>
      <c r="AE226" s="15"/>
    </row>
    <row r="227" ht="15.0" customHeight="1">
      <c r="A227" s="134" t="s">
        <v>256</v>
      </c>
      <c r="B227" s="3" t="s">
        <v>278</v>
      </c>
      <c r="C227" s="3" t="s">
        <v>285</v>
      </c>
      <c r="D227" s="135" t="s">
        <v>240</v>
      </c>
      <c r="E227" s="8">
        <v>4.0</v>
      </c>
      <c r="F227" s="165" t="s">
        <v>233</v>
      </c>
      <c r="G227" s="137">
        <v>5.52022231</v>
      </c>
      <c r="H227" s="137">
        <v>0.09474846</v>
      </c>
      <c r="I227" s="137">
        <v>3.22700745</v>
      </c>
      <c r="J227" s="120">
        <f t="shared" si="1"/>
        <v>58.26186843</v>
      </c>
      <c r="K227" s="121">
        <v>-0.556</v>
      </c>
      <c r="L227" s="121">
        <v>-1.466</v>
      </c>
      <c r="M227" s="122">
        <f t="shared" si="3"/>
        <v>0.91</v>
      </c>
      <c r="N227" s="120">
        <v>49.0</v>
      </c>
      <c r="O227" s="120">
        <v>3.5461620329670334</v>
      </c>
      <c r="P227" s="123">
        <v>3.368684602081608</v>
      </c>
      <c r="Q227" s="120">
        <v>0.0</v>
      </c>
      <c r="R227" s="120">
        <v>0.9499522500000003</v>
      </c>
      <c r="S227" s="15"/>
      <c r="T227" s="161"/>
      <c r="AA227" s="15"/>
      <c r="AB227" s="15"/>
      <c r="AC227" s="15"/>
      <c r="AD227" s="15"/>
      <c r="AE227" s="15"/>
    </row>
    <row r="228" ht="15.0" customHeight="1">
      <c r="A228" s="134" t="s">
        <v>256</v>
      </c>
      <c r="B228" s="3" t="s">
        <v>278</v>
      </c>
      <c r="C228" s="3" t="s">
        <v>285</v>
      </c>
      <c r="D228" s="135" t="s">
        <v>240</v>
      </c>
      <c r="E228" s="8">
        <v>5.0</v>
      </c>
      <c r="F228" s="165" t="s">
        <v>233</v>
      </c>
      <c r="G228" s="137">
        <v>5.48857348</v>
      </c>
      <c r="H228" s="137">
        <v>0.07239157</v>
      </c>
      <c r="I228" s="137">
        <v>2.98385316</v>
      </c>
      <c r="J228" s="120">
        <f t="shared" si="1"/>
        <v>75.81785393</v>
      </c>
      <c r="K228" s="121">
        <v>-0.514</v>
      </c>
      <c r="L228" s="121">
        <v>-1.35</v>
      </c>
      <c r="M228" s="122">
        <f t="shared" si="3"/>
        <v>0.836</v>
      </c>
      <c r="N228" s="120">
        <v>40.2</v>
      </c>
      <c r="O228" s="120">
        <v>3.569202344497607</v>
      </c>
      <c r="P228" s="123">
        <v>3.494897083948802</v>
      </c>
      <c r="Q228" s="120">
        <v>0.0</v>
      </c>
      <c r="R228" s="120">
        <v>0.9791815500000003</v>
      </c>
      <c r="S228" s="15"/>
      <c r="T228" s="161"/>
      <c r="AA228" s="15"/>
      <c r="AB228" s="15"/>
      <c r="AC228" s="15"/>
      <c r="AD228" s="15"/>
      <c r="AE228" s="15"/>
    </row>
    <row r="229" ht="15.0" customHeight="1">
      <c r="A229" s="134" t="s">
        <v>256</v>
      </c>
      <c r="B229" s="3" t="s">
        <v>278</v>
      </c>
      <c r="C229" s="3" t="s">
        <v>285</v>
      </c>
      <c r="D229" s="135" t="s">
        <v>240</v>
      </c>
      <c r="E229" s="8">
        <v>6.0</v>
      </c>
      <c r="F229" s="165" t="s">
        <v>233</v>
      </c>
      <c r="G229" s="137">
        <v>4.72992745</v>
      </c>
      <c r="H229" s="137">
        <v>0.09301211</v>
      </c>
      <c r="I229" s="137">
        <v>3.32802454</v>
      </c>
      <c r="J229" s="120">
        <f t="shared" si="1"/>
        <v>50.85281314</v>
      </c>
      <c r="K229" s="121">
        <v>-0.437</v>
      </c>
      <c r="L229" s="121">
        <v>-1.35</v>
      </c>
      <c r="M229" s="122">
        <f t="shared" si="3"/>
        <v>0.913</v>
      </c>
      <c r="N229" s="120">
        <v>40.9</v>
      </c>
      <c r="O229" s="120">
        <v>3.6451528368017523</v>
      </c>
      <c r="P229" s="123">
        <v>4.2085379996028145</v>
      </c>
      <c r="Q229" s="120">
        <v>0.0</v>
      </c>
      <c r="R229" s="120">
        <v>1.1545573500000001</v>
      </c>
      <c r="S229" s="15"/>
      <c r="T229" s="161"/>
      <c r="AA229" s="15"/>
      <c r="AB229" s="15"/>
      <c r="AC229" s="15"/>
      <c r="AD229" s="15"/>
      <c r="AE229" s="15"/>
    </row>
    <row r="230" ht="15.0" customHeight="1">
      <c r="A230" s="134" t="s">
        <v>244</v>
      </c>
      <c r="B230" s="3" t="s">
        <v>282</v>
      </c>
      <c r="C230" s="3" t="s">
        <v>286</v>
      </c>
      <c r="D230" s="3" t="s">
        <v>251</v>
      </c>
      <c r="E230" s="8">
        <v>1.0</v>
      </c>
      <c r="F230" s="165" t="s">
        <v>233</v>
      </c>
      <c r="G230" s="137">
        <v>5.28004686</v>
      </c>
      <c r="H230" s="137">
        <v>0.07005585</v>
      </c>
      <c r="I230" s="137">
        <v>2.14655955</v>
      </c>
      <c r="J230" s="120">
        <f t="shared" si="1"/>
        <v>75.36910708</v>
      </c>
      <c r="K230" s="121">
        <v>-0.8</v>
      </c>
      <c r="L230" s="121">
        <v>-1.461</v>
      </c>
      <c r="M230" s="122">
        <f t="shared" si="3"/>
        <v>0.661</v>
      </c>
      <c r="N230" s="120">
        <v>40.4</v>
      </c>
      <c r="O230" s="120">
        <v>3.24744258698941</v>
      </c>
      <c r="P230" s="123">
        <v>3.8917394179234726</v>
      </c>
      <c r="Q230" s="120">
        <v>0.0</v>
      </c>
      <c r="R230" s="120">
        <v>1.1984013000000002</v>
      </c>
      <c r="S230" s="15"/>
      <c r="T230" s="161"/>
      <c r="AA230" s="15"/>
      <c r="AB230" s="15"/>
      <c r="AC230" s="15"/>
      <c r="AD230" s="15"/>
      <c r="AE230" s="15"/>
    </row>
    <row r="231" ht="15.0" customHeight="1">
      <c r="A231" s="134" t="s">
        <v>244</v>
      </c>
      <c r="B231" s="3" t="s">
        <v>282</v>
      </c>
      <c r="C231" s="3" t="s">
        <v>286</v>
      </c>
      <c r="D231" s="3" t="s">
        <v>251</v>
      </c>
      <c r="E231" s="8">
        <v>2.0</v>
      </c>
      <c r="F231" s="165" t="s">
        <v>233</v>
      </c>
      <c r="G231" s="137">
        <v>3.47324966</v>
      </c>
      <c r="H231" s="137">
        <v>0.04677231</v>
      </c>
      <c r="I231" s="137">
        <v>2.53561299</v>
      </c>
      <c r="J231" s="120">
        <f t="shared" si="1"/>
        <v>74.25867271</v>
      </c>
      <c r="K231" s="121">
        <v>-0.41</v>
      </c>
      <c r="L231" s="121">
        <v>-1.41</v>
      </c>
      <c r="M231" s="122">
        <f t="shared" si="3"/>
        <v>1</v>
      </c>
      <c r="N231" s="120">
        <v>45.8</v>
      </c>
      <c r="O231" s="120">
        <v>2.53561299</v>
      </c>
      <c r="P231" s="123">
        <v>2.4828254577483353</v>
      </c>
      <c r="Q231" s="120">
        <v>0.0</v>
      </c>
      <c r="R231" s="120">
        <v>0.9791815500000003</v>
      </c>
      <c r="S231" s="15"/>
      <c r="T231" s="161"/>
      <c r="AA231" s="15"/>
      <c r="AB231" s="15"/>
      <c r="AC231" s="15"/>
      <c r="AD231" s="15"/>
      <c r="AE231" s="15"/>
    </row>
    <row r="232" ht="15.0" customHeight="1">
      <c r="A232" s="134" t="s">
        <v>244</v>
      </c>
      <c r="B232" s="3" t="s">
        <v>282</v>
      </c>
      <c r="C232" s="3" t="s">
        <v>286</v>
      </c>
      <c r="D232" s="3" t="s">
        <v>251</v>
      </c>
      <c r="E232" s="8">
        <v>3.0</v>
      </c>
      <c r="F232" s="165" t="s">
        <v>233</v>
      </c>
      <c r="G232" s="137">
        <v>7.19236989</v>
      </c>
      <c r="H232" s="137">
        <v>0.09558426</v>
      </c>
      <c r="I232" s="137">
        <v>3.22412675</v>
      </c>
      <c r="J232" s="120">
        <f t="shared" si="1"/>
        <v>75.24638356</v>
      </c>
      <c r="K232" s="121">
        <v>-0.35</v>
      </c>
      <c r="L232" s="121">
        <v>-1.392</v>
      </c>
      <c r="M232" s="122">
        <f t="shared" si="3"/>
        <v>1.042</v>
      </c>
      <c r="N232" s="120">
        <v>47.0</v>
      </c>
      <c r="O232" s="120">
        <v>3.0941715451055667</v>
      </c>
      <c r="P232" s="123">
        <v>3.7984996704208744</v>
      </c>
      <c r="Q232" s="120">
        <v>0.0</v>
      </c>
      <c r="R232" s="120">
        <v>1.2276306000000001</v>
      </c>
      <c r="S232" s="15"/>
      <c r="T232" s="161"/>
      <c r="AA232" s="15"/>
      <c r="AB232" s="15"/>
      <c r="AC232" s="15"/>
      <c r="AD232" s="15"/>
      <c r="AE232" s="15"/>
    </row>
    <row r="233" ht="15.0" customHeight="1">
      <c r="A233" s="134" t="s">
        <v>244</v>
      </c>
      <c r="B233" s="3" t="s">
        <v>282</v>
      </c>
      <c r="C233" s="3" t="s">
        <v>286</v>
      </c>
      <c r="D233" s="3" t="s">
        <v>251</v>
      </c>
      <c r="E233" s="8">
        <v>4.0</v>
      </c>
      <c r="F233" s="165" t="s">
        <v>233</v>
      </c>
      <c r="G233" s="137">
        <v>3.23999261</v>
      </c>
      <c r="H233" s="137">
        <v>0.04210463</v>
      </c>
      <c r="I233" s="137">
        <v>1.48631764</v>
      </c>
      <c r="J233" s="120">
        <f t="shared" si="1"/>
        <v>76.95098164</v>
      </c>
      <c r="K233" s="121">
        <v>-0.398</v>
      </c>
      <c r="L233" s="121">
        <v>-1.41</v>
      </c>
      <c r="M233" s="122">
        <f t="shared" si="3"/>
        <v>1.012</v>
      </c>
      <c r="N233" s="120">
        <v>42.1</v>
      </c>
      <c r="O233" s="120">
        <v>1.4686933201581027</v>
      </c>
      <c r="P233" s="123">
        <v>1.695690667684441</v>
      </c>
      <c r="Q233" s="120">
        <v>0.0</v>
      </c>
      <c r="R233" s="120">
        <v>1.1545573500000001</v>
      </c>
      <c r="S233" s="15"/>
      <c r="T233" s="161"/>
      <c r="AA233" s="15"/>
      <c r="AB233" s="15"/>
      <c r="AC233" s="15"/>
      <c r="AD233" s="15"/>
      <c r="AE233" s="15"/>
    </row>
    <row r="234" ht="15.0" customHeight="1">
      <c r="A234" s="134" t="s">
        <v>244</v>
      </c>
      <c r="B234" s="3" t="s">
        <v>282</v>
      </c>
      <c r="C234" s="3" t="s">
        <v>286</v>
      </c>
      <c r="D234" s="3" t="s">
        <v>251</v>
      </c>
      <c r="E234" s="8">
        <v>5.0</v>
      </c>
      <c r="F234" s="165" t="s">
        <v>233</v>
      </c>
      <c r="G234" s="137">
        <v>1.35978782</v>
      </c>
      <c r="H234" s="137">
        <v>0.03374445</v>
      </c>
      <c r="I234" s="137">
        <v>1.62534946</v>
      </c>
      <c r="J234" s="120">
        <f t="shared" si="1"/>
        <v>40.29663604</v>
      </c>
      <c r="K234" s="121">
        <v>-0.634</v>
      </c>
      <c r="L234" s="121">
        <v>-1.356</v>
      </c>
      <c r="M234" s="122">
        <f t="shared" si="3"/>
        <v>0.722</v>
      </c>
      <c r="N234" s="120">
        <v>41.0</v>
      </c>
      <c r="O234" s="120">
        <v>2.2511765373961214</v>
      </c>
      <c r="P234" s="123">
        <v>2.1714103740289112</v>
      </c>
      <c r="Q234" s="120">
        <v>0.0</v>
      </c>
      <c r="R234" s="120">
        <v>0.9645669000000001</v>
      </c>
      <c r="S234" s="15"/>
      <c r="T234" s="161"/>
      <c r="AA234" s="15"/>
      <c r="AB234" s="15"/>
      <c r="AC234" s="15"/>
      <c r="AD234" s="15"/>
      <c r="AE234" s="15"/>
    </row>
    <row r="235" ht="15.0" customHeight="1">
      <c r="A235" s="134" t="s">
        <v>244</v>
      </c>
      <c r="B235" s="3" t="s">
        <v>282</v>
      </c>
      <c r="C235" s="3" t="s">
        <v>286</v>
      </c>
      <c r="D235" s="3" t="s">
        <v>251</v>
      </c>
      <c r="E235" s="8">
        <v>6.0</v>
      </c>
      <c r="F235" s="165" t="s">
        <v>233</v>
      </c>
      <c r="G235" s="137">
        <v>6.16990136</v>
      </c>
      <c r="H235" s="137">
        <v>0.10833436</v>
      </c>
      <c r="I235" s="137">
        <v>3.03194453</v>
      </c>
      <c r="J235" s="120">
        <f t="shared" si="1"/>
        <v>56.9523959</v>
      </c>
      <c r="K235" s="121">
        <v>-0.491</v>
      </c>
      <c r="L235" s="121">
        <v>-1.426</v>
      </c>
      <c r="M235" s="122">
        <f t="shared" si="3"/>
        <v>0.935</v>
      </c>
      <c r="N235" s="120">
        <v>43.6</v>
      </c>
      <c r="O235" s="120">
        <v>3.2427214224598933</v>
      </c>
      <c r="P235" s="123">
        <v>3.554342897756512</v>
      </c>
      <c r="Q235" s="120">
        <v>0.0</v>
      </c>
      <c r="R235" s="120">
        <v>1.0960987500000003</v>
      </c>
      <c r="S235" s="15"/>
      <c r="T235" s="161"/>
      <c r="AA235" s="15"/>
      <c r="AB235" s="15"/>
      <c r="AC235" s="15"/>
      <c r="AD235" s="15"/>
      <c r="AE235" s="15"/>
    </row>
    <row r="236" ht="15.0" customHeight="1">
      <c r="A236" s="134" t="s">
        <v>256</v>
      </c>
      <c r="B236" s="3" t="s">
        <v>278</v>
      </c>
      <c r="C236" s="3" t="s">
        <v>285</v>
      </c>
      <c r="D236" s="3" t="s">
        <v>251</v>
      </c>
      <c r="E236" s="8">
        <v>1.0</v>
      </c>
      <c r="F236" s="165" t="s">
        <v>233</v>
      </c>
      <c r="G236" s="137">
        <v>3.17030307</v>
      </c>
      <c r="H236" s="137">
        <v>0.05549812</v>
      </c>
      <c r="I236" s="137">
        <v>1.99822462</v>
      </c>
      <c r="J236" s="120">
        <f t="shared" si="1"/>
        <v>57.12451287</v>
      </c>
      <c r="K236" s="121">
        <v>-0.315</v>
      </c>
      <c r="L236" s="121">
        <v>-1.31</v>
      </c>
      <c r="M236" s="122">
        <f t="shared" si="3"/>
        <v>0.995</v>
      </c>
      <c r="N236" s="120">
        <v>43.6</v>
      </c>
      <c r="O236" s="120">
        <v>2.0082659497487434</v>
      </c>
      <c r="P236" s="123">
        <v>2.259958005112152</v>
      </c>
      <c r="Q236" s="120">
        <v>0.0</v>
      </c>
      <c r="R236" s="120">
        <v>1.1253280500000002</v>
      </c>
      <c r="S236" s="15"/>
      <c r="T236" s="161"/>
      <c r="AA236" s="15"/>
      <c r="AB236" s="15"/>
      <c r="AC236" s="15"/>
      <c r="AD236" s="15"/>
      <c r="AE236" s="15"/>
    </row>
    <row r="237" ht="15.0" customHeight="1">
      <c r="A237" s="134" t="s">
        <v>256</v>
      </c>
      <c r="B237" s="3" t="s">
        <v>278</v>
      </c>
      <c r="C237" s="3" t="s">
        <v>285</v>
      </c>
      <c r="D237" s="3" t="s">
        <v>251</v>
      </c>
      <c r="E237" s="8">
        <v>2.0</v>
      </c>
      <c r="F237" s="165" t="s">
        <v>233</v>
      </c>
      <c r="G237" s="137">
        <v>3.56704675</v>
      </c>
      <c r="H237" s="137">
        <v>0.05042096</v>
      </c>
      <c r="I237" s="137">
        <v>2.59866633</v>
      </c>
      <c r="J237" s="120">
        <f t="shared" si="1"/>
        <v>70.74531604</v>
      </c>
      <c r="K237" s="121">
        <v>-0.31</v>
      </c>
      <c r="L237" s="121">
        <v>-1.38</v>
      </c>
      <c r="M237" s="122">
        <f t="shared" si="3"/>
        <v>1.07</v>
      </c>
      <c r="N237" s="120">
        <v>36.8</v>
      </c>
      <c r="O237" s="120">
        <v>2.4286601214953274</v>
      </c>
      <c r="P237" s="123">
        <v>2.413593199833595</v>
      </c>
      <c r="Q237" s="120">
        <v>0.0</v>
      </c>
      <c r="R237" s="120">
        <v>0.9937962000000001</v>
      </c>
      <c r="S237" s="15"/>
      <c r="T237" s="161"/>
      <c r="AA237" s="15"/>
      <c r="AB237" s="15"/>
      <c r="AC237" s="15"/>
      <c r="AD237" s="15"/>
      <c r="AE237" s="15"/>
    </row>
    <row r="238" ht="15.0" customHeight="1">
      <c r="A238" s="134" t="s">
        <v>256</v>
      </c>
      <c r="B238" s="3" t="s">
        <v>278</v>
      </c>
      <c r="C238" s="3" t="s">
        <v>285</v>
      </c>
      <c r="D238" s="3" t="s">
        <v>251</v>
      </c>
      <c r="E238" s="8">
        <v>3.0</v>
      </c>
      <c r="F238" s="165" t="s">
        <v>233</v>
      </c>
      <c r="G238" s="137">
        <v>8.04459155</v>
      </c>
      <c r="H238" s="137">
        <v>0.11116483</v>
      </c>
      <c r="I238" s="137">
        <v>3.60539999</v>
      </c>
      <c r="J238" s="120">
        <f t="shared" si="1"/>
        <v>72.366337</v>
      </c>
      <c r="K238" s="121">
        <v>-0.32</v>
      </c>
      <c r="L238" s="121">
        <v>-1.422</v>
      </c>
      <c r="M238" s="122">
        <f t="shared" si="3"/>
        <v>1.102</v>
      </c>
      <c r="N238" s="120">
        <v>43.4</v>
      </c>
      <c r="O238" s="120">
        <v>3.271687831215971</v>
      </c>
      <c r="P238" s="123">
        <v>3.538278369623557</v>
      </c>
      <c r="Q238" s="120">
        <v>0.0</v>
      </c>
      <c r="R238" s="120">
        <v>1.0814841000000002</v>
      </c>
      <c r="S238" s="15"/>
      <c r="T238" s="161"/>
      <c r="AA238" s="15"/>
      <c r="AB238" s="15"/>
      <c r="AC238" s="15"/>
      <c r="AD238" s="15"/>
      <c r="AE238" s="15"/>
    </row>
    <row r="239" ht="15.0" customHeight="1">
      <c r="A239" s="134" t="s">
        <v>256</v>
      </c>
      <c r="B239" s="3" t="s">
        <v>278</v>
      </c>
      <c r="C239" s="3" t="s">
        <v>285</v>
      </c>
      <c r="D239" s="3" t="s">
        <v>251</v>
      </c>
      <c r="E239" s="8">
        <v>4.0</v>
      </c>
      <c r="F239" s="165" t="s">
        <v>233</v>
      </c>
      <c r="G239" s="137">
        <v>3.75227282</v>
      </c>
      <c r="H239" s="137">
        <v>0.04621938</v>
      </c>
      <c r="I239" s="137">
        <v>1.71275416</v>
      </c>
      <c r="J239" s="120">
        <f t="shared" si="1"/>
        <v>81.18397131</v>
      </c>
      <c r="K239" s="121">
        <v>-0.38</v>
      </c>
      <c r="L239" s="121">
        <v>-1.312</v>
      </c>
      <c r="M239" s="122">
        <f t="shared" si="3"/>
        <v>0.932</v>
      </c>
      <c r="N239" s="120">
        <v>47.4</v>
      </c>
      <c r="O239" s="120">
        <v>1.8377190557939913</v>
      </c>
      <c r="P239" s="123">
        <v>1.9337486975106957</v>
      </c>
      <c r="Q239" s="120">
        <v>0.0</v>
      </c>
      <c r="R239" s="120">
        <v>1.0522548000000003</v>
      </c>
      <c r="S239" s="15"/>
      <c r="T239" s="161"/>
      <c r="AA239" s="15"/>
      <c r="AB239" s="15"/>
      <c r="AC239" s="15"/>
      <c r="AD239" s="15"/>
      <c r="AE239" s="15"/>
    </row>
    <row r="240" ht="15.0" customHeight="1">
      <c r="A240" s="134" t="s">
        <v>256</v>
      </c>
      <c r="B240" s="3" t="s">
        <v>278</v>
      </c>
      <c r="C240" s="3" t="s">
        <v>285</v>
      </c>
      <c r="D240" s="3" t="s">
        <v>251</v>
      </c>
      <c r="E240" s="8">
        <v>5.0</v>
      </c>
      <c r="F240" s="165" t="s">
        <v>233</v>
      </c>
      <c r="G240" s="137">
        <v>6.47362106</v>
      </c>
      <c r="H240" s="137">
        <v>0.08230672</v>
      </c>
      <c r="I240" s="137">
        <v>3.27140122</v>
      </c>
      <c r="J240" s="120">
        <f t="shared" si="1"/>
        <v>78.65239995</v>
      </c>
      <c r="K240" s="121">
        <v>-0.517</v>
      </c>
      <c r="L240" s="121">
        <v>-1.47</v>
      </c>
      <c r="M240" s="122">
        <f t="shared" si="3"/>
        <v>0.953</v>
      </c>
      <c r="N240" s="120">
        <v>34.5</v>
      </c>
      <c r="O240" s="120">
        <v>3.4327400000000003</v>
      </c>
      <c r="P240" s="123">
        <v>3.0602659121010007</v>
      </c>
      <c r="Q240" s="120">
        <v>0.0</v>
      </c>
      <c r="R240" s="120">
        <v>0.8914936500000001</v>
      </c>
      <c r="S240" s="15"/>
      <c r="T240" s="161"/>
      <c r="AA240" s="15"/>
      <c r="AB240" s="15"/>
      <c r="AC240" s="15"/>
      <c r="AD240" s="15"/>
      <c r="AE240" s="15"/>
    </row>
    <row r="241" ht="15.0" customHeight="1">
      <c r="A241" s="134" t="s">
        <v>256</v>
      </c>
      <c r="B241" s="3" t="s">
        <v>278</v>
      </c>
      <c r="C241" s="3" t="s">
        <v>285</v>
      </c>
      <c r="D241" s="3" t="s">
        <v>251</v>
      </c>
      <c r="E241" s="8">
        <v>6.0</v>
      </c>
      <c r="F241" s="165" t="s">
        <v>233</v>
      </c>
      <c r="G241" s="137">
        <v>6.42695211</v>
      </c>
      <c r="H241" s="137">
        <v>0.12010264</v>
      </c>
      <c r="I241" s="137">
        <v>3.68220088</v>
      </c>
      <c r="J241" s="120">
        <f t="shared" si="1"/>
        <v>53.51216351</v>
      </c>
      <c r="K241" s="121">
        <v>-0.34</v>
      </c>
      <c r="L241" s="121">
        <v>-1.002</v>
      </c>
      <c r="M241" s="122">
        <f t="shared" si="3"/>
        <v>0.662</v>
      </c>
      <c r="N241" s="120">
        <v>34.5</v>
      </c>
      <c r="O241" s="120">
        <v>5.562236978851964</v>
      </c>
      <c r="P241" s="123">
        <v>6.096760999723417</v>
      </c>
      <c r="Q241" s="120">
        <v>0.0</v>
      </c>
      <c r="R241" s="120">
        <v>1.0960987500000003</v>
      </c>
      <c r="S241" s="15"/>
      <c r="T241" s="161"/>
      <c r="AA241" s="15"/>
      <c r="AB241" s="15"/>
      <c r="AC241" s="15"/>
      <c r="AD241" s="15"/>
      <c r="AE241" s="15"/>
    </row>
    <row r="242" ht="15.0" customHeight="1">
      <c r="A242" s="134" t="s">
        <v>249</v>
      </c>
      <c r="B242" s="3" t="s">
        <v>278</v>
      </c>
      <c r="C242" s="3" t="s">
        <v>281</v>
      </c>
      <c r="D242" s="135" t="s">
        <v>240</v>
      </c>
      <c r="E242" s="8">
        <v>1.0</v>
      </c>
      <c r="F242" s="165" t="s">
        <v>233</v>
      </c>
      <c r="G242" s="137">
        <v>8.2565027</v>
      </c>
      <c r="H242" s="137">
        <v>0.12522638</v>
      </c>
      <c r="I242" s="137">
        <v>3.97306805</v>
      </c>
      <c r="J242" s="120">
        <f t="shared" si="1"/>
        <v>65.932615</v>
      </c>
      <c r="K242" s="121">
        <v>-0.426</v>
      </c>
      <c r="L242" s="121">
        <v>-1.443</v>
      </c>
      <c r="M242" s="122">
        <f t="shared" si="3"/>
        <v>1.017</v>
      </c>
      <c r="N242" s="120">
        <v>44.4</v>
      </c>
      <c r="O242" s="120">
        <v>3.9066549164208455</v>
      </c>
      <c r="P242" s="123">
        <v>2.968908502262036</v>
      </c>
      <c r="Q242" s="120">
        <v>0.0</v>
      </c>
      <c r="R242" s="120">
        <v>0.7599618000000001</v>
      </c>
      <c r="S242" s="15"/>
      <c r="T242" s="161"/>
      <c r="AA242" s="15"/>
      <c r="AB242" s="15"/>
      <c r="AC242" s="15"/>
      <c r="AD242" s="15"/>
      <c r="AE242" s="15"/>
    </row>
    <row r="243" ht="15.0" customHeight="1">
      <c r="A243" s="134" t="s">
        <v>249</v>
      </c>
      <c r="B243" s="3" t="s">
        <v>278</v>
      </c>
      <c r="C243" s="3" t="s">
        <v>281</v>
      </c>
      <c r="D243" s="135" t="s">
        <v>240</v>
      </c>
      <c r="E243" s="8">
        <v>2.0</v>
      </c>
      <c r="F243" s="165" t="s">
        <v>233</v>
      </c>
      <c r="G243" s="137">
        <v>4.69871017</v>
      </c>
      <c r="H243" s="137">
        <v>0.07324114</v>
      </c>
      <c r="I243" s="137">
        <v>3.54086764</v>
      </c>
      <c r="J243" s="120">
        <f t="shared" si="1"/>
        <v>64.15397371</v>
      </c>
      <c r="K243" s="121">
        <v>-0.445</v>
      </c>
      <c r="L243" s="121">
        <v>-1.35</v>
      </c>
      <c r="M243" s="122">
        <f t="shared" si="3"/>
        <v>0.905</v>
      </c>
      <c r="N243" s="120">
        <v>44.9</v>
      </c>
      <c r="O243" s="120">
        <v>3.9125609281767955</v>
      </c>
      <c r="P243" s="123">
        <v>3.773926765552615</v>
      </c>
      <c r="Q243" s="120">
        <v>0.0</v>
      </c>
      <c r="R243" s="120">
        <v>0.9645669000000001</v>
      </c>
      <c r="S243" s="15"/>
      <c r="T243" s="161"/>
      <c r="AA243" s="15"/>
      <c r="AB243" s="15"/>
      <c r="AC243" s="15"/>
      <c r="AD243" s="15"/>
      <c r="AE243" s="15"/>
    </row>
    <row r="244" ht="15.0" customHeight="1">
      <c r="A244" s="134" t="s">
        <v>249</v>
      </c>
      <c r="B244" s="3" t="s">
        <v>278</v>
      </c>
      <c r="C244" s="3" t="s">
        <v>281</v>
      </c>
      <c r="D244" s="135" t="s">
        <v>240</v>
      </c>
      <c r="E244" s="8">
        <v>3.0</v>
      </c>
      <c r="F244" s="165" t="s">
        <v>233</v>
      </c>
      <c r="G244" s="137">
        <v>2.63878364</v>
      </c>
      <c r="H244" s="137">
        <v>0.03772557</v>
      </c>
      <c r="I244" s="137">
        <v>1.53459934</v>
      </c>
      <c r="J244" s="120">
        <f t="shared" si="1"/>
        <v>69.94681962</v>
      </c>
      <c r="K244" s="121">
        <v>-0.581</v>
      </c>
      <c r="L244" s="121">
        <v>-1.452</v>
      </c>
      <c r="M244" s="122">
        <f t="shared" si="3"/>
        <v>0.871</v>
      </c>
      <c r="N244" s="120">
        <v>41.3</v>
      </c>
      <c r="O244" s="120">
        <v>1.7618821354764638</v>
      </c>
      <c r="P244" s="123">
        <v>1.8024503525868778</v>
      </c>
      <c r="Q244" s="120">
        <v>0.0</v>
      </c>
      <c r="R244" s="120">
        <v>1.0230255000000004</v>
      </c>
      <c r="S244" s="15"/>
      <c r="T244" s="161"/>
      <c r="AA244" s="15"/>
      <c r="AB244" s="15"/>
      <c r="AC244" s="15"/>
      <c r="AD244" s="15"/>
      <c r="AE244" s="15"/>
    </row>
    <row r="245" ht="15.0" customHeight="1">
      <c r="A245" s="134" t="s">
        <v>249</v>
      </c>
      <c r="B245" s="3" t="s">
        <v>278</v>
      </c>
      <c r="C245" s="3" t="s">
        <v>281</v>
      </c>
      <c r="D245" s="135" t="s">
        <v>240</v>
      </c>
      <c r="E245" s="8">
        <v>4.0</v>
      </c>
      <c r="F245" s="165" t="s">
        <v>233</v>
      </c>
      <c r="G245" s="137">
        <v>3.40946168</v>
      </c>
      <c r="H245" s="137">
        <v>0.03328406</v>
      </c>
      <c r="I245" s="137">
        <v>1.35603062</v>
      </c>
      <c r="J245" s="120">
        <f t="shared" si="1"/>
        <v>102.4352702</v>
      </c>
      <c r="K245" s="121">
        <v>-0.578</v>
      </c>
      <c r="L245" s="121">
        <v>-1.45</v>
      </c>
      <c r="M245" s="122">
        <f t="shared" si="3"/>
        <v>0.872</v>
      </c>
      <c r="N245" s="120">
        <v>39.1</v>
      </c>
      <c r="O245" s="120">
        <v>1.5550809862385322</v>
      </c>
      <c r="P245" s="123">
        <v>1.5908875034871681</v>
      </c>
      <c r="Q245" s="120">
        <v>0.0</v>
      </c>
      <c r="R245" s="120">
        <v>1.0230255000000004</v>
      </c>
      <c r="S245" s="15"/>
      <c r="T245" s="161"/>
      <c r="AA245" s="15"/>
      <c r="AB245" s="15"/>
      <c r="AC245" s="15"/>
      <c r="AD245" s="15"/>
      <c r="AE245" s="15"/>
    </row>
    <row r="246" ht="15.0" customHeight="1">
      <c r="A246" s="134" t="s">
        <v>249</v>
      </c>
      <c r="B246" s="3" t="s">
        <v>278</v>
      </c>
      <c r="C246" s="3" t="s">
        <v>281</v>
      </c>
      <c r="D246" s="135" t="s">
        <v>240</v>
      </c>
      <c r="E246" s="8">
        <v>5.0</v>
      </c>
      <c r="F246" s="165" t="s">
        <v>233</v>
      </c>
      <c r="G246" s="137">
        <v>3.07289176</v>
      </c>
      <c r="H246" s="137">
        <v>0.04361313</v>
      </c>
      <c r="I246" s="137">
        <v>1.95682668</v>
      </c>
      <c r="J246" s="120">
        <f t="shared" si="1"/>
        <v>70.45795062</v>
      </c>
      <c r="K246" s="121">
        <v>-0.466</v>
      </c>
      <c r="L246" s="121">
        <v>-1.45</v>
      </c>
      <c r="M246" s="122">
        <f t="shared" si="3"/>
        <v>0.984</v>
      </c>
      <c r="N246" s="120">
        <v>36.3</v>
      </c>
      <c r="O246" s="120">
        <v>1.988645</v>
      </c>
      <c r="P246" s="123">
        <v>2.3541314025892506</v>
      </c>
      <c r="Q246" s="120">
        <v>0.0</v>
      </c>
      <c r="R246" s="120">
        <v>1.1837866500000003</v>
      </c>
      <c r="S246" s="15"/>
      <c r="T246" s="161"/>
      <c r="AA246" s="15"/>
      <c r="AB246" s="15"/>
      <c r="AC246" s="15"/>
      <c r="AD246" s="15"/>
      <c r="AE246" s="15"/>
    </row>
    <row r="247" ht="15.0" customHeight="1">
      <c r="A247" s="134" t="s">
        <v>249</v>
      </c>
      <c r="B247" s="3" t="s">
        <v>278</v>
      </c>
      <c r="C247" s="3" t="s">
        <v>281</v>
      </c>
      <c r="D247" s="135" t="s">
        <v>240</v>
      </c>
      <c r="E247" s="8">
        <v>6.0</v>
      </c>
      <c r="F247" s="165" t="s">
        <v>233</v>
      </c>
      <c r="G247" s="137">
        <v>3.54722326</v>
      </c>
      <c r="H247" s="137">
        <v>0.08984978</v>
      </c>
      <c r="I247" s="137">
        <v>2.7547759</v>
      </c>
      <c r="J247" s="120">
        <f t="shared" si="1"/>
        <v>39.47948743</v>
      </c>
      <c r="K247" s="121">
        <v>-0.348</v>
      </c>
      <c r="L247" s="121">
        <v>-1.523</v>
      </c>
      <c r="M247" s="122">
        <f t="shared" si="3"/>
        <v>1.175</v>
      </c>
      <c r="N247" s="120">
        <v>40.9</v>
      </c>
      <c r="O247" s="120">
        <v>2.344490127659575</v>
      </c>
      <c r="P247" s="123">
        <v>2.5355287956708006</v>
      </c>
      <c r="Q247" s="120">
        <v>0.0</v>
      </c>
      <c r="R247" s="120">
        <v>1.0814841000000002</v>
      </c>
      <c r="S247" s="15"/>
      <c r="T247" s="161"/>
      <c r="AA247" s="15"/>
      <c r="AB247" s="15"/>
      <c r="AC247" s="15"/>
      <c r="AD247" s="15"/>
      <c r="AE247" s="15"/>
    </row>
    <row r="248" ht="15.0" customHeight="1">
      <c r="A248" s="134" t="s">
        <v>256</v>
      </c>
      <c r="B248" s="3" t="s">
        <v>282</v>
      </c>
      <c r="C248" s="3" t="s">
        <v>283</v>
      </c>
      <c r="D248" s="3" t="s">
        <v>251</v>
      </c>
      <c r="E248" s="8">
        <v>1.0</v>
      </c>
      <c r="F248" s="165" t="s">
        <v>233</v>
      </c>
      <c r="G248" s="137">
        <v>5.43338014</v>
      </c>
      <c r="H248" s="137">
        <v>0.14975551</v>
      </c>
      <c r="I248" s="137">
        <v>4.3147828</v>
      </c>
      <c r="J248" s="120">
        <f t="shared" si="1"/>
        <v>36.28167097</v>
      </c>
      <c r="K248" s="121">
        <v>-0.33</v>
      </c>
      <c r="L248" s="121">
        <v>-1.481</v>
      </c>
      <c r="M248" s="122">
        <f t="shared" si="3"/>
        <v>1.151</v>
      </c>
      <c r="N248" s="120">
        <v>47.4</v>
      </c>
      <c r="O248" s="120">
        <v>3.748725282363162</v>
      </c>
      <c r="P248" s="123">
        <v>3.67068263250855</v>
      </c>
      <c r="Q248" s="120">
        <v>0.0</v>
      </c>
      <c r="R248" s="120">
        <v>0.9791815500000003</v>
      </c>
      <c r="S248" s="15"/>
      <c r="T248" s="161"/>
      <c r="AA248" s="15"/>
      <c r="AB248" s="15"/>
      <c r="AC248" s="15"/>
      <c r="AD248" s="15"/>
      <c r="AE248" s="15"/>
    </row>
    <row r="249" ht="15.0" customHeight="1">
      <c r="A249" s="134" t="s">
        <v>256</v>
      </c>
      <c r="B249" s="3" t="s">
        <v>282</v>
      </c>
      <c r="C249" s="3" t="s">
        <v>283</v>
      </c>
      <c r="D249" s="3" t="s">
        <v>251</v>
      </c>
      <c r="E249" s="8">
        <v>2.0</v>
      </c>
      <c r="F249" s="165" t="s">
        <v>233</v>
      </c>
      <c r="G249" s="137">
        <v>0.96598274</v>
      </c>
      <c r="H249" s="137">
        <v>0.01988061</v>
      </c>
      <c r="I249" s="137">
        <v>1.27886073</v>
      </c>
      <c r="J249" s="120">
        <f t="shared" si="1"/>
        <v>48.58919017</v>
      </c>
      <c r="K249" s="121">
        <v>-0.275</v>
      </c>
      <c r="L249" s="121">
        <v>-1.27</v>
      </c>
      <c r="M249" s="122">
        <f t="shared" si="3"/>
        <v>0.995</v>
      </c>
      <c r="N249" s="120">
        <v>63.0</v>
      </c>
      <c r="O249" s="120">
        <v>1.2852871658291456</v>
      </c>
      <c r="P249" s="123">
        <v>1.070689258450841</v>
      </c>
      <c r="Q249" s="120">
        <v>0.0</v>
      </c>
      <c r="R249" s="120">
        <v>0.8330350500000002</v>
      </c>
      <c r="S249" s="15"/>
      <c r="T249" s="161"/>
      <c r="AA249" s="15"/>
      <c r="AB249" s="15"/>
      <c r="AC249" s="15"/>
      <c r="AD249" s="15"/>
      <c r="AE249" s="15"/>
    </row>
    <row r="250" ht="15.0" customHeight="1">
      <c r="A250" s="134" t="s">
        <v>256</v>
      </c>
      <c r="B250" s="3" t="s">
        <v>282</v>
      </c>
      <c r="C250" s="3" t="s">
        <v>283</v>
      </c>
      <c r="D250" s="3" t="s">
        <v>251</v>
      </c>
      <c r="E250" s="8">
        <v>3.0</v>
      </c>
      <c r="F250" s="165" t="s">
        <v>233</v>
      </c>
      <c r="G250" s="137">
        <v>4.936579</v>
      </c>
      <c r="H250" s="137">
        <v>0.06567314</v>
      </c>
      <c r="I250" s="137">
        <v>2.62018816</v>
      </c>
      <c r="J250" s="120">
        <f t="shared" si="1"/>
        <v>75.1689199</v>
      </c>
      <c r="K250" s="121">
        <v>-0.34</v>
      </c>
      <c r="L250" s="121">
        <v>-1.39</v>
      </c>
      <c r="M250" s="122">
        <f t="shared" si="3"/>
        <v>1.05</v>
      </c>
      <c r="N250" s="120">
        <v>42.0</v>
      </c>
      <c r="O250" s="120">
        <v>2.495417295238096</v>
      </c>
      <c r="P250" s="123">
        <v>3.063450631403521</v>
      </c>
      <c r="Q250" s="120">
        <v>0.0</v>
      </c>
      <c r="R250" s="120">
        <v>1.2276306000000001</v>
      </c>
      <c r="S250" s="15"/>
      <c r="T250" s="161"/>
      <c r="AA250" s="15"/>
      <c r="AB250" s="15"/>
      <c r="AC250" s="15"/>
      <c r="AD250" s="15"/>
      <c r="AE250" s="15"/>
    </row>
    <row r="251" ht="15.0" customHeight="1">
      <c r="A251" s="134" t="s">
        <v>256</v>
      </c>
      <c r="B251" s="3" t="s">
        <v>282</v>
      </c>
      <c r="C251" s="3" t="s">
        <v>283</v>
      </c>
      <c r="D251" s="3" t="s">
        <v>251</v>
      </c>
      <c r="E251" s="8">
        <v>4.0</v>
      </c>
      <c r="F251" s="165" t="s">
        <v>233</v>
      </c>
      <c r="G251" s="137">
        <v>7.24464923</v>
      </c>
      <c r="H251" s="137">
        <v>0.07049519</v>
      </c>
      <c r="I251" s="137">
        <v>2.72405151</v>
      </c>
      <c r="J251" s="120">
        <f t="shared" si="1"/>
        <v>102.7679935</v>
      </c>
      <c r="K251" s="121">
        <v>-0.52</v>
      </c>
      <c r="L251" s="121">
        <v>-1.348</v>
      </c>
      <c r="M251" s="122">
        <f t="shared" si="3"/>
        <v>0.828</v>
      </c>
      <c r="N251" s="120">
        <v>42.7</v>
      </c>
      <c r="O251" s="120">
        <v>3.289917282608695</v>
      </c>
      <c r="P251" s="123">
        <v>3.942641148370728</v>
      </c>
      <c r="Q251" s="120">
        <v>0.0</v>
      </c>
      <c r="R251" s="120">
        <v>1.1984013000000002</v>
      </c>
      <c r="S251" s="15"/>
      <c r="T251" s="161"/>
      <c r="AA251" s="15"/>
      <c r="AB251" s="15"/>
      <c r="AC251" s="15"/>
      <c r="AD251" s="15"/>
      <c r="AE251" s="15"/>
    </row>
    <row r="252" ht="15.0" customHeight="1">
      <c r="A252" s="134" t="s">
        <v>256</v>
      </c>
      <c r="B252" s="3" t="s">
        <v>282</v>
      </c>
      <c r="C252" s="3" t="s">
        <v>283</v>
      </c>
      <c r="D252" s="3" t="s">
        <v>251</v>
      </c>
      <c r="E252" s="8">
        <v>5.0</v>
      </c>
      <c r="F252" s="165" t="s">
        <v>233</v>
      </c>
      <c r="G252" s="137">
        <v>3.3797114</v>
      </c>
      <c r="H252" s="137">
        <v>0.04449769</v>
      </c>
      <c r="I252" s="137">
        <v>2.09384921</v>
      </c>
      <c r="J252" s="120">
        <f t="shared" si="1"/>
        <v>75.95251349</v>
      </c>
      <c r="K252" s="121">
        <v>-0.483</v>
      </c>
      <c r="L252" s="121">
        <v>-1.25</v>
      </c>
      <c r="M252" s="122">
        <f t="shared" si="3"/>
        <v>0.767</v>
      </c>
      <c r="N252" s="120">
        <v>42.7</v>
      </c>
      <c r="O252" s="120">
        <v>2.72992074315515</v>
      </c>
      <c r="P252" s="123">
        <v>2.992262714171432</v>
      </c>
      <c r="Q252" s="120">
        <v>0.0</v>
      </c>
      <c r="R252" s="120">
        <v>1.0960987500000003</v>
      </c>
      <c r="S252" s="15"/>
      <c r="T252" s="161"/>
      <c r="AA252" s="15"/>
      <c r="AB252" s="15"/>
      <c r="AC252" s="15"/>
      <c r="AD252" s="15"/>
      <c r="AE252" s="15"/>
    </row>
    <row r="253" ht="15.0" customHeight="1">
      <c r="A253" s="134" t="s">
        <v>256</v>
      </c>
      <c r="B253" s="3" t="s">
        <v>282</v>
      </c>
      <c r="C253" s="3" t="s">
        <v>283</v>
      </c>
      <c r="D253" s="3" t="s">
        <v>251</v>
      </c>
      <c r="E253" s="8">
        <v>6.0</v>
      </c>
      <c r="F253" s="165" t="s">
        <v>233</v>
      </c>
      <c r="G253" s="137">
        <v>1.36157702</v>
      </c>
      <c r="H253" s="137">
        <v>0.02854403</v>
      </c>
      <c r="I253" s="137">
        <v>1.19388666</v>
      </c>
      <c r="J253" s="120">
        <f t="shared" si="1"/>
        <v>47.70093851</v>
      </c>
      <c r="K253" s="121">
        <v>-0.507</v>
      </c>
      <c r="L253" s="121">
        <v>-1.543</v>
      </c>
      <c r="M253" s="122">
        <f t="shared" si="3"/>
        <v>1.036</v>
      </c>
      <c r="N253" s="120">
        <v>47.6</v>
      </c>
      <c r="O253" s="120">
        <v>1.152400250965251</v>
      </c>
      <c r="P253" s="123">
        <v>1.2968283272382366</v>
      </c>
      <c r="Q253" s="120">
        <v>0.0</v>
      </c>
      <c r="R253" s="120">
        <v>1.1253280500000002</v>
      </c>
      <c r="S253" s="15"/>
      <c r="T253" s="161"/>
      <c r="AA253" s="15"/>
      <c r="AB253" s="15"/>
      <c r="AC253" s="15"/>
      <c r="AD253" s="15"/>
      <c r="AE253" s="15"/>
    </row>
    <row r="254" ht="15.0" customHeight="1">
      <c r="A254" s="134" t="s">
        <v>244</v>
      </c>
      <c r="B254" s="3" t="s">
        <v>282</v>
      </c>
      <c r="C254" s="3" t="s">
        <v>286</v>
      </c>
      <c r="D254" s="135" t="s">
        <v>240</v>
      </c>
      <c r="E254" s="48">
        <v>1.0</v>
      </c>
      <c r="F254" s="165" t="s">
        <v>233</v>
      </c>
      <c r="G254" s="137">
        <v>2.60293758</v>
      </c>
      <c r="H254" s="137">
        <v>0.08135807</v>
      </c>
      <c r="I254" s="137">
        <v>2.87185929</v>
      </c>
      <c r="J254" s="120">
        <f t="shared" si="1"/>
        <v>31.99360039</v>
      </c>
      <c r="K254" s="121">
        <v>-0.637</v>
      </c>
      <c r="L254" s="121">
        <v>-1.52</v>
      </c>
      <c r="M254" s="122">
        <f t="shared" si="3"/>
        <v>0.883</v>
      </c>
      <c r="N254" s="120">
        <v>40.9</v>
      </c>
      <c r="O254" s="120">
        <v>3.2523887768969426</v>
      </c>
      <c r="P254" s="123">
        <v>3.2322116074028293</v>
      </c>
      <c r="Q254" s="120">
        <v>0.0</v>
      </c>
      <c r="R254" s="120">
        <v>0.9937962000000001</v>
      </c>
      <c r="S254" s="15"/>
      <c r="T254" s="161"/>
      <c r="AA254" s="15"/>
      <c r="AB254" s="15"/>
      <c r="AC254" s="15"/>
      <c r="AD254" s="15"/>
      <c r="AE254" s="15"/>
    </row>
    <row r="255" ht="15.0" customHeight="1">
      <c r="A255" s="134" t="s">
        <v>244</v>
      </c>
      <c r="B255" s="3" t="s">
        <v>282</v>
      </c>
      <c r="C255" s="3" t="s">
        <v>286</v>
      </c>
      <c r="D255" s="135" t="s">
        <v>240</v>
      </c>
      <c r="E255" s="48">
        <v>2.0</v>
      </c>
      <c r="F255" s="165" t="s">
        <v>233</v>
      </c>
      <c r="G255" s="137">
        <v>0.80433027</v>
      </c>
      <c r="H255" s="137">
        <v>0.03014276</v>
      </c>
      <c r="I255" s="137">
        <v>1.77305038</v>
      </c>
      <c r="J255" s="120">
        <f t="shared" si="1"/>
        <v>26.6840286</v>
      </c>
      <c r="K255" s="121">
        <v>-0.472</v>
      </c>
      <c r="L255" s="121">
        <v>-1.573</v>
      </c>
      <c r="M255" s="122">
        <f t="shared" si="3"/>
        <v>1.101</v>
      </c>
      <c r="N255" s="120">
        <v>36.4</v>
      </c>
      <c r="O255" s="120">
        <v>1.6103999818346957</v>
      </c>
      <c r="P255" s="123">
        <v>1.2944487651986243</v>
      </c>
      <c r="Q255" s="120">
        <v>0.0</v>
      </c>
      <c r="R255" s="120">
        <v>0.8038057500000002</v>
      </c>
      <c r="S255" s="15"/>
      <c r="T255" s="161"/>
      <c r="AA255" s="15"/>
      <c r="AB255" s="15"/>
      <c r="AC255" s="15"/>
      <c r="AD255" s="15"/>
      <c r="AE255" s="15"/>
    </row>
    <row r="256" ht="15.0" customHeight="1">
      <c r="A256" s="134" t="s">
        <v>244</v>
      </c>
      <c r="B256" s="3" t="s">
        <v>282</v>
      </c>
      <c r="C256" s="3" t="s">
        <v>286</v>
      </c>
      <c r="D256" s="135" t="s">
        <v>240</v>
      </c>
      <c r="E256" s="48">
        <v>3.0</v>
      </c>
      <c r="F256" s="165" t="s">
        <v>233</v>
      </c>
      <c r="G256" s="137">
        <v>6.18652158</v>
      </c>
      <c r="H256" s="137">
        <v>0.07542854</v>
      </c>
      <c r="I256" s="137">
        <v>2.78878248</v>
      </c>
      <c r="J256" s="120">
        <f t="shared" si="1"/>
        <v>82.0183127</v>
      </c>
      <c r="K256" s="121">
        <v>-0.4</v>
      </c>
      <c r="L256" s="121">
        <v>-1.48</v>
      </c>
      <c r="M256" s="122">
        <f t="shared" si="3"/>
        <v>1.08</v>
      </c>
      <c r="N256" s="120">
        <v>39.0</v>
      </c>
      <c r="O256" s="120">
        <v>2.582206</v>
      </c>
      <c r="P256" s="123">
        <v>2.2265441781561006</v>
      </c>
      <c r="Q256" s="120">
        <v>0.0</v>
      </c>
      <c r="R256" s="120">
        <v>0.8622643500000002</v>
      </c>
      <c r="S256" s="15"/>
      <c r="T256" s="161"/>
      <c r="AA256" s="15"/>
      <c r="AB256" s="15"/>
      <c r="AC256" s="15"/>
      <c r="AD256" s="15"/>
      <c r="AE256" s="15"/>
    </row>
    <row r="257" ht="15.0" customHeight="1">
      <c r="A257" s="134" t="s">
        <v>244</v>
      </c>
      <c r="B257" s="3" t="s">
        <v>282</v>
      </c>
      <c r="C257" s="3" t="s">
        <v>286</v>
      </c>
      <c r="D257" s="135" t="s">
        <v>240</v>
      </c>
      <c r="E257" s="48">
        <v>4.0</v>
      </c>
      <c r="F257" s="165" t="s">
        <v>233</v>
      </c>
      <c r="G257" s="137">
        <v>7.48178482</v>
      </c>
      <c r="H257" s="137">
        <v>0.11300288</v>
      </c>
      <c r="I257" s="137">
        <v>4.21764418</v>
      </c>
      <c r="J257" s="120">
        <f t="shared" si="1"/>
        <v>66.20879769</v>
      </c>
      <c r="K257" s="121">
        <v>-0.585</v>
      </c>
      <c r="L257" s="121">
        <v>-1.473</v>
      </c>
      <c r="M257" s="122">
        <f t="shared" si="3"/>
        <v>0.888</v>
      </c>
      <c r="N257" s="120">
        <v>42.2</v>
      </c>
      <c r="O257" s="120">
        <v>4.749599301801801</v>
      </c>
      <c r="P257" s="123">
        <v>4.928374931961517</v>
      </c>
      <c r="Q257" s="120">
        <v>0.0</v>
      </c>
      <c r="R257" s="120">
        <v>1.03764015</v>
      </c>
      <c r="S257" s="15"/>
      <c r="T257" s="161"/>
      <c r="AA257" s="15"/>
      <c r="AB257" s="15"/>
      <c r="AC257" s="15"/>
      <c r="AD257" s="15"/>
      <c r="AE257" s="15"/>
    </row>
    <row r="258" ht="15.0" customHeight="1">
      <c r="A258" s="134" t="s">
        <v>244</v>
      </c>
      <c r="B258" s="3" t="s">
        <v>282</v>
      </c>
      <c r="C258" s="3" t="s">
        <v>286</v>
      </c>
      <c r="D258" s="135" t="s">
        <v>240</v>
      </c>
      <c r="E258" s="48">
        <v>5.0</v>
      </c>
      <c r="F258" s="165" t="s">
        <v>233</v>
      </c>
      <c r="G258" s="137">
        <v>5.55078829</v>
      </c>
      <c r="H258" s="137">
        <v>0.08328612</v>
      </c>
      <c r="I258" s="137">
        <v>3.34622812</v>
      </c>
      <c r="J258" s="120">
        <f t="shared" si="1"/>
        <v>66.64721913</v>
      </c>
      <c r="K258" s="121">
        <v>-0.622</v>
      </c>
      <c r="L258" s="121">
        <v>-1.42</v>
      </c>
      <c r="M258" s="122">
        <f t="shared" si="3"/>
        <v>0.798</v>
      </c>
      <c r="N258" s="120">
        <v>39.8</v>
      </c>
      <c r="O258" s="120">
        <v>4.193268320802005</v>
      </c>
      <c r="P258" s="123">
        <v>4.47366986711646</v>
      </c>
      <c r="Q258" s="120">
        <v>0.0</v>
      </c>
      <c r="R258" s="120">
        <v>1.0668694500000002</v>
      </c>
      <c r="S258" s="15"/>
      <c r="T258" s="161"/>
      <c r="AA258" s="15"/>
      <c r="AB258" s="15"/>
      <c r="AC258" s="15"/>
      <c r="AD258" s="15"/>
      <c r="AE258" s="15"/>
    </row>
    <row r="259" ht="15.0" customHeight="1">
      <c r="A259" s="134" t="s">
        <v>244</v>
      </c>
      <c r="B259" s="3" t="s">
        <v>282</v>
      </c>
      <c r="C259" s="3" t="s">
        <v>286</v>
      </c>
      <c r="D259" s="135" t="s">
        <v>240</v>
      </c>
      <c r="E259" s="48">
        <v>6.0</v>
      </c>
      <c r="F259" s="165" t="s">
        <v>233</v>
      </c>
      <c r="G259" s="137">
        <v>9.3242294</v>
      </c>
      <c r="H259" s="137">
        <v>0.11055134</v>
      </c>
      <c r="I259" s="137">
        <v>3.71929245</v>
      </c>
      <c r="J259" s="120">
        <f t="shared" si="1"/>
        <v>84.34297947</v>
      </c>
      <c r="K259" s="121">
        <v>-0.435</v>
      </c>
      <c r="L259" s="121">
        <v>-1.478</v>
      </c>
      <c r="M259" s="122">
        <f t="shared" si="3"/>
        <v>1.043</v>
      </c>
      <c r="N259" s="120">
        <v>38.3</v>
      </c>
      <c r="O259" s="120">
        <v>3.565956327900288</v>
      </c>
      <c r="P259" s="123">
        <v>4.273446699098932</v>
      </c>
      <c r="Q259" s="120">
        <v>0.14285714285714285</v>
      </c>
      <c r="R259" s="120">
        <v>1.1984013000000002</v>
      </c>
      <c r="S259" s="15"/>
      <c r="T259" s="161"/>
      <c r="AA259" s="15"/>
      <c r="AB259" s="15"/>
      <c r="AC259" s="15"/>
      <c r="AD259" s="15"/>
      <c r="AE259" s="15"/>
    </row>
    <row r="260" ht="15.0" customHeight="1">
      <c r="A260" s="134" t="s">
        <v>238</v>
      </c>
      <c r="B260" s="3" t="s">
        <v>278</v>
      </c>
      <c r="C260" s="3" t="s">
        <v>279</v>
      </c>
      <c r="D260" s="3" t="s">
        <v>251</v>
      </c>
      <c r="E260" s="48">
        <v>1.0</v>
      </c>
      <c r="F260" s="165" t="s">
        <v>233</v>
      </c>
      <c r="G260" s="137">
        <v>8.18765599</v>
      </c>
      <c r="H260" s="137">
        <v>0.13461438</v>
      </c>
      <c r="I260" s="137">
        <v>4.04750768</v>
      </c>
      <c r="J260" s="120">
        <f t="shared" si="1"/>
        <v>60.82304127</v>
      </c>
      <c r="K260" s="121">
        <v>-0.508</v>
      </c>
      <c r="L260" s="121">
        <v>-1.46</v>
      </c>
      <c r="M260" s="122">
        <f t="shared" si="3"/>
        <v>0.952</v>
      </c>
      <c r="N260" s="120">
        <v>41.8</v>
      </c>
      <c r="O260" s="120">
        <v>4.251583697478992</v>
      </c>
      <c r="P260" s="123">
        <v>3.6038536456929586</v>
      </c>
      <c r="Q260" s="120">
        <v>0.0</v>
      </c>
      <c r="R260" s="120">
        <v>0.8476497000000002</v>
      </c>
      <c r="S260" s="15"/>
      <c r="T260" s="161"/>
      <c r="AA260" s="15"/>
      <c r="AB260" s="15"/>
      <c r="AC260" s="15"/>
      <c r="AD260" s="15"/>
      <c r="AE260" s="15"/>
    </row>
    <row r="261" ht="15.0" customHeight="1">
      <c r="A261" s="134" t="s">
        <v>238</v>
      </c>
      <c r="B261" s="3" t="s">
        <v>278</v>
      </c>
      <c r="C261" s="3" t="s">
        <v>279</v>
      </c>
      <c r="D261" s="3" t="s">
        <v>251</v>
      </c>
      <c r="E261" s="48">
        <v>2.0</v>
      </c>
      <c r="F261" s="165" t="s">
        <v>233</v>
      </c>
      <c r="G261" s="137">
        <v>1.0272584</v>
      </c>
      <c r="H261" s="137">
        <v>0.05181315</v>
      </c>
      <c r="I261" s="137">
        <v>2.79716324</v>
      </c>
      <c r="J261" s="120">
        <f t="shared" si="1"/>
        <v>19.82621014</v>
      </c>
      <c r="K261" s="121">
        <v>-0.255</v>
      </c>
      <c r="L261" s="121">
        <v>-0.98</v>
      </c>
      <c r="M261" s="122">
        <f t="shared" si="3"/>
        <v>0.725</v>
      </c>
      <c r="N261" s="120">
        <v>35.2</v>
      </c>
      <c r="O261" s="120">
        <v>3.8581561931034485</v>
      </c>
      <c r="P261" s="123">
        <v>2.988436927599585</v>
      </c>
      <c r="Q261" s="120">
        <v>0.0</v>
      </c>
      <c r="R261" s="120">
        <v>0.7745764500000002</v>
      </c>
      <c r="S261" s="15"/>
      <c r="T261" s="161"/>
      <c r="AA261" s="15"/>
      <c r="AB261" s="15"/>
      <c r="AC261" s="15"/>
      <c r="AD261" s="15"/>
      <c r="AE261" s="15"/>
    </row>
    <row r="262" ht="15.0" customHeight="1">
      <c r="A262" s="134" t="s">
        <v>238</v>
      </c>
      <c r="B262" s="3" t="s">
        <v>278</v>
      </c>
      <c r="C262" s="3" t="s">
        <v>279</v>
      </c>
      <c r="D262" s="3" t="s">
        <v>251</v>
      </c>
      <c r="E262" s="48">
        <v>3.0</v>
      </c>
      <c r="F262" s="165" t="s">
        <v>233</v>
      </c>
      <c r="G262" s="137">
        <v>6.23186097</v>
      </c>
      <c r="H262" s="137">
        <v>0.07612727</v>
      </c>
      <c r="I262" s="137">
        <v>2.91946145</v>
      </c>
      <c r="J262" s="120">
        <f t="shared" si="1"/>
        <v>81.86108565</v>
      </c>
      <c r="K262" s="121">
        <v>-0.401</v>
      </c>
      <c r="L262" s="121">
        <v>-1.352</v>
      </c>
      <c r="M262" s="122">
        <f t="shared" si="3"/>
        <v>0.951</v>
      </c>
      <c r="N262" s="120">
        <v>31.6</v>
      </c>
      <c r="O262" s="120">
        <v>3.0698858569926393</v>
      </c>
      <c r="P262" s="123">
        <v>3.3648980504923114</v>
      </c>
      <c r="Q262" s="120">
        <v>0.0</v>
      </c>
      <c r="R262" s="120">
        <v>1.0960987500000003</v>
      </c>
      <c r="S262" s="15"/>
      <c r="T262" s="161"/>
      <c r="AA262" s="15"/>
      <c r="AB262" s="15"/>
      <c r="AC262" s="15"/>
      <c r="AD262" s="15"/>
      <c r="AE262" s="15"/>
    </row>
    <row r="263" ht="15.0" customHeight="1">
      <c r="A263" s="134" t="s">
        <v>238</v>
      </c>
      <c r="B263" s="3" t="s">
        <v>278</v>
      </c>
      <c r="C263" s="3" t="s">
        <v>279</v>
      </c>
      <c r="D263" s="3" t="s">
        <v>251</v>
      </c>
      <c r="E263" s="48">
        <v>4.0</v>
      </c>
      <c r="F263" s="165" t="s">
        <v>233</v>
      </c>
      <c r="G263" s="137">
        <v>4.41835776</v>
      </c>
      <c r="H263" s="137">
        <v>0.08045949</v>
      </c>
      <c r="I263" s="137">
        <v>3.10107615</v>
      </c>
      <c r="J263" s="120">
        <f t="shared" si="1"/>
        <v>54.9140662</v>
      </c>
      <c r="K263" s="121">
        <v>-0.491</v>
      </c>
      <c r="L263" s="121">
        <v>-1.45</v>
      </c>
      <c r="M263" s="122">
        <f t="shared" si="3"/>
        <v>0.959</v>
      </c>
      <c r="N263" s="120">
        <v>40.1</v>
      </c>
      <c r="O263" s="120">
        <v>3.233656047966632</v>
      </c>
      <c r="P263" s="123">
        <v>3.6861826061904135</v>
      </c>
      <c r="Q263" s="120">
        <v>0.0</v>
      </c>
      <c r="R263" s="120">
        <v>1.1399427000000004</v>
      </c>
      <c r="S263" s="15"/>
      <c r="T263" s="161"/>
      <c r="AA263" s="15"/>
      <c r="AB263" s="15"/>
      <c r="AC263" s="15"/>
      <c r="AD263" s="15"/>
      <c r="AE263" s="15"/>
    </row>
    <row r="264" ht="15.0" customHeight="1">
      <c r="A264" s="134" t="s">
        <v>238</v>
      </c>
      <c r="B264" s="3" t="s">
        <v>278</v>
      </c>
      <c r="C264" s="3" t="s">
        <v>279</v>
      </c>
      <c r="D264" s="3" t="s">
        <v>251</v>
      </c>
      <c r="E264" s="48">
        <v>5.0</v>
      </c>
      <c r="F264" s="165" t="s">
        <v>233</v>
      </c>
      <c r="G264" s="137">
        <v>5.60640056</v>
      </c>
      <c r="H264" s="137">
        <v>0.07626646</v>
      </c>
      <c r="I264" s="137">
        <v>3.34622812</v>
      </c>
      <c r="J264" s="120">
        <f t="shared" si="1"/>
        <v>73.51069605</v>
      </c>
      <c r="K264" s="121">
        <v>-0.41</v>
      </c>
      <c r="L264" s="121">
        <v>-1.343</v>
      </c>
      <c r="M264" s="122">
        <f t="shared" si="3"/>
        <v>0.933</v>
      </c>
      <c r="N264" s="120">
        <v>44.6</v>
      </c>
      <c r="O264" s="120">
        <v>3.5865253161843516</v>
      </c>
      <c r="P264" s="123">
        <v>4.036017540337371</v>
      </c>
      <c r="Q264" s="120">
        <v>0.0</v>
      </c>
      <c r="R264" s="120">
        <v>1.1253280500000002</v>
      </c>
      <c r="S264" s="15"/>
      <c r="T264" s="161"/>
      <c r="AA264" s="15"/>
      <c r="AB264" s="15"/>
      <c r="AC264" s="15"/>
      <c r="AD264" s="15"/>
      <c r="AE264" s="15"/>
    </row>
    <row r="265" ht="15.0" customHeight="1">
      <c r="A265" s="134" t="s">
        <v>238</v>
      </c>
      <c r="B265" s="3" t="s">
        <v>278</v>
      </c>
      <c r="C265" s="3" t="s">
        <v>279</v>
      </c>
      <c r="D265" s="3" t="s">
        <v>251</v>
      </c>
      <c r="E265" s="48">
        <v>6.0</v>
      </c>
      <c r="F265" s="165" t="s">
        <v>233</v>
      </c>
      <c r="G265" s="137">
        <v>4.28812129</v>
      </c>
      <c r="H265" s="137">
        <v>0.06259013</v>
      </c>
      <c r="I265" s="137">
        <v>2.51172936</v>
      </c>
      <c r="J265" s="120">
        <f t="shared" si="1"/>
        <v>68.51114209</v>
      </c>
      <c r="K265" s="121">
        <v>-0.27</v>
      </c>
      <c r="L265" s="121">
        <v>-1.573</v>
      </c>
      <c r="M265" s="122">
        <f t="shared" si="3"/>
        <v>1.303</v>
      </c>
      <c r="N265" s="120">
        <v>34.9</v>
      </c>
      <c r="O265" s="120">
        <v>1.927651082118189</v>
      </c>
      <c r="P265" s="123">
        <v>2.3946154004186804</v>
      </c>
      <c r="Q265" s="120">
        <v>0.42857142857142855</v>
      </c>
      <c r="R265" s="120">
        <v>1.2422452500000003</v>
      </c>
      <c r="S265" s="15"/>
      <c r="T265" s="161"/>
      <c r="AA265" s="15"/>
      <c r="AB265" s="15"/>
      <c r="AC265" s="15"/>
      <c r="AD265" s="15"/>
      <c r="AE265" s="15"/>
    </row>
    <row r="266" ht="15.0" customHeight="1">
      <c r="A266" s="134" t="s">
        <v>238</v>
      </c>
      <c r="B266" s="3" t="s">
        <v>282</v>
      </c>
      <c r="C266" s="3" t="s">
        <v>287</v>
      </c>
      <c r="D266" s="135" t="s">
        <v>240</v>
      </c>
      <c r="E266" s="48">
        <v>1.0</v>
      </c>
      <c r="F266" s="165" t="s">
        <v>233</v>
      </c>
      <c r="G266" s="137">
        <v>2.79721076</v>
      </c>
      <c r="H266" s="137">
        <v>0.06904199</v>
      </c>
      <c r="I266" s="137">
        <v>2.19811979</v>
      </c>
      <c r="J266" s="120">
        <f t="shared" si="1"/>
        <v>40.51463117</v>
      </c>
      <c r="K266" s="121">
        <v>-0.743</v>
      </c>
      <c r="L266" s="121">
        <v>-1.368</v>
      </c>
      <c r="M266" s="122">
        <f t="shared" si="3"/>
        <v>0.625</v>
      </c>
      <c r="N266" s="120">
        <v>42.0</v>
      </c>
      <c r="O266" s="120">
        <v>3.516991663999999</v>
      </c>
      <c r="P266" s="123">
        <v>2.77557852000299</v>
      </c>
      <c r="Q266" s="120">
        <v>0.0</v>
      </c>
      <c r="R266" s="120">
        <v>0.7891911000000001</v>
      </c>
      <c r="S266" s="15"/>
      <c r="T266" s="161"/>
      <c r="AA266" s="15"/>
      <c r="AB266" s="15"/>
      <c r="AC266" s="15"/>
      <c r="AD266" s="15"/>
      <c r="AE266" s="15"/>
    </row>
    <row r="267" ht="15.0" customHeight="1">
      <c r="A267" s="134" t="s">
        <v>238</v>
      </c>
      <c r="B267" s="3" t="s">
        <v>282</v>
      </c>
      <c r="C267" s="3" t="s">
        <v>287</v>
      </c>
      <c r="D267" s="135" t="s">
        <v>240</v>
      </c>
      <c r="E267" s="48">
        <v>2.0</v>
      </c>
      <c r="F267" s="165" t="s">
        <v>233</v>
      </c>
      <c r="G267" s="137">
        <v>2.72181374</v>
      </c>
      <c r="H267" s="137">
        <v>0.05474558</v>
      </c>
      <c r="I267" s="137">
        <v>2.9435791</v>
      </c>
      <c r="J267" s="120">
        <f t="shared" si="1"/>
        <v>49.71750669</v>
      </c>
      <c r="K267" s="121">
        <v>-0.533</v>
      </c>
      <c r="L267" s="121">
        <v>-1.52</v>
      </c>
      <c r="M267" s="122">
        <f t="shared" si="3"/>
        <v>0.987</v>
      </c>
      <c r="N267" s="120">
        <v>43.2</v>
      </c>
      <c r="O267" s="120">
        <v>2.982349645390071</v>
      </c>
      <c r="P267" s="123">
        <v>3.0074337409050007</v>
      </c>
      <c r="Q267" s="120">
        <v>0.42857142857142855</v>
      </c>
      <c r="R267" s="120">
        <v>1.0084108500000002</v>
      </c>
      <c r="S267" s="15"/>
      <c r="T267" s="161"/>
      <c r="AA267" s="15"/>
      <c r="AB267" s="15"/>
      <c r="AC267" s="15"/>
      <c r="AD267" s="15"/>
      <c r="AE267" s="15"/>
    </row>
    <row r="268" ht="15.0" customHeight="1">
      <c r="A268" s="134" t="s">
        <v>238</v>
      </c>
      <c r="B268" s="3" t="s">
        <v>282</v>
      </c>
      <c r="C268" s="3" t="s">
        <v>287</v>
      </c>
      <c r="D268" s="135" t="s">
        <v>240</v>
      </c>
      <c r="E268" s="48">
        <v>3.0</v>
      </c>
      <c r="F268" s="165" t="s">
        <v>233</v>
      </c>
      <c r="G268" s="137">
        <v>2.96165029</v>
      </c>
      <c r="H268" s="137">
        <v>0.03809265</v>
      </c>
      <c r="I268" s="137">
        <v>1.65729023</v>
      </c>
      <c r="J268" s="120">
        <f t="shared" si="1"/>
        <v>77.74860216</v>
      </c>
      <c r="K268" s="121">
        <v>-0.602</v>
      </c>
      <c r="L268" s="121">
        <v>-1.305</v>
      </c>
      <c r="M268" s="122">
        <f t="shared" si="3"/>
        <v>0.703</v>
      </c>
      <c r="N268" s="120">
        <v>43.8</v>
      </c>
      <c r="O268" s="120">
        <v>2.3574540967283073</v>
      </c>
      <c r="P268" s="123">
        <v>2.411735656032526</v>
      </c>
      <c r="Q268" s="120">
        <v>0.0</v>
      </c>
      <c r="R268" s="120">
        <v>1.0230255000000004</v>
      </c>
      <c r="S268" s="15"/>
      <c r="T268" s="161"/>
      <c r="AA268" s="15"/>
      <c r="AB268" s="15"/>
      <c r="AC268" s="15"/>
      <c r="AD268" s="15"/>
      <c r="AE268" s="15"/>
    </row>
    <row r="269" ht="15.0" customHeight="1">
      <c r="A269" s="134" t="s">
        <v>238</v>
      </c>
      <c r="B269" s="3" t="s">
        <v>282</v>
      </c>
      <c r="C269" s="3" t="s">
        <v>287</v>
      </c>
      <c r="D269" s="135" t="s">
        <v>240</v>
      </c>
      <c r="E269" s="48">
        <v>4.0</v>
      </c>
      <c r="F269" s="165" t="s">
        <v>233</v>
      </c>
      <c r="G269" s="137">
        <v>7.64819436</v>
      </c>
      <c r="H269" s="137">
        <v>0.08952041</v>
      </c>
      <c r="I269" s="137">
        <v>3.22697667</v>
      </c>
      <c r="J269" s="120">
        <f t="shared" si="1"/>
        <v>85.43520254</v>
      </c>
      <c r="K269" s="121">
        <v>-0.619</v>
      </c>
      <c r="L269" s="121">
        <v>-1.418</v>
      </c>
      <c r="M269" s="122">
        <f t="shared" si="3"/>
        <v>0.799</v>
      </c>
      <c r="N269" s="120">
        <v>32.5</v>
      </c>
      <c r="O269" s="120">
        <v>4.0387692991239055</v>
      </c>
      <c r="P269" s="123">
        <v>3.9546883824085604</v>
      </c>
      <c r="Q269" s="120">
        <v>0.0</v>
      </c>
      <c r="R269" s="120">
        <v>0.9791815500000003</v>
      </c>
      <c r="S269" s="15"/>
      <c r="T269" s="161"/>
      <c r="AA269" s="15"/>
      <c r="AB269" s="15"/>
      <c r="AC269" s="15"/>
      <c r="AD269" s="15"/>
      <c r="AE269" s="15"/>
    </row>
    <row r="270" ht="15.0" customHeight="1">
      <c r="A270" s="134" t="s">
        <v>238</v>
      </c>
      <c r="B270" s="3" t="s">
        <v>282</v>
      </c>
      <c r="C270" s="3" t="s">
        <v>287</v>
      </c>
      <c r="D270" s="135" t="s">
        <v>240</v>
      </c>
      <c r="E270" s="48">
        <v>5.0</v>
      </c>
      <c r="F270" s="165" t="s">
        <v>233</v>
      </c>
      <c r="G270" s="137">
        <v>4.10318804</v>
      </c>
      <c r="H270" s="137">
        <v>0.05836902</v>
      </c>
      <c r="I270" s="137">
        <v>2.66631222</v>
      </c>
      <c r="J270" s="120">
        <f t="shared" si="1"/>
        <v>70.29736048</v>
      </c>
      <c r="K270" s="121">
        <v>-0.618</v>
      </c>
      <c r="L270" s="121">
        <v>-1.428</v>
      </c>
      <c r="M270" s="122">
        <f t="shared" si="3"/>
        <v>0.81</v>
      </c>
      <c r="N270" s="120">
        <v>34.8</v>
      </c>
      <c r="O270" s="120">
        <v>3.2917434814814817</v>
      </c>
      <c r="P270" s="123">
        <v>3.2232144843994344</v>
      </c>
      <c r="Q270" s="120">
        <v>0.0</v>
      </c>
      <c r="R270" s="120">
        <v>0.9791815500000003</v>
      </c>
      <c r="S270" s="15"/>
      <c r="T270" s="161"/>
      <c r="AA270" s="15"/>
      <c r="AB270" s="15"/>
      <c r="AC270" s="15"/>
      <c r="AD270" s="15"/>
      <c r="AE270" s="15"/>
    </row>
    <row r="271" ht="15.0" customHeight="1">
      <c r="A271" s="134" t="s">
        <v>238</v>
      </c>
      <c r="B271" s="3" t="s">
        <v>282</v>
      </c>
      <c r="C271" s="3" t="s">
        <v>287</v>
      </c>
      <c r="D271" s="135" t="s">
        <v>240</v>
      </c>
      <c r="E271" s="48">
        <v>6.0</v>
      </c>
      <c r="F271" s="165" t="s">
        <v>233</v>
      </c>
      <c r="G271" s="137">
        <v>8.27939664</v>
      </c>
      <c r="H271" s="137">
        <v>0.1112189</v>
      </c>
      <c r="I271" s="137">
        <v>3.89906033</v>
      </c>
      <c r="J271" s="120">
        <f t="shared" si="1"/>
        <v>74.44235323</v>
      </c>
      <c r="K271" s="121">
        <v>-0.656</v>
      </c>
      <c r="L271" s="121">
        <v>-1.728</v>
      </c>
      <c r="M271" s="122">
        <f t="shared" si="3"/>
        <v>1.072</v>
      </c>
      <c r="N271" s="120">
        <v>44.5</v>
      </c>
      <c r="O271" s="120">
        <v>3.6371831436567166</v>
      </c>
      <c r="P271" s="123">
        <v>4.465117324957181</v>
      </c>
      <c r="Q271" s="120">
        <v>0.0</v>
      </c>
      <c r="R271" s="120">
        <v>1.2276306000000001</v>
      </c>
      <c r="S271" s="15"/>
      <c r="T271" s="161"/>
      <c r="AA271" s="15"/>
      <c r="AB271" s="15"/>
      <c r="AC271" s="15"/>
      <c r="AD271" s="15"/>
      <c r="AE271" s="15"/>
    </row>
    <row r="272" ht="15.0" customHeight="1">
      <c r="A272" s="134" t="s">
        <v>238</v>
      </c>
      <c r="B272" s="3" t="s">
        <v>282</v>
      </c>
      <c r="C272" s="3" t="s">
        <v>287</v>
      </c>
      <c r="D272" s="3" t="s">
        <v>251</v>
      </c>
      <c r="E272" s="48">
        <v>1.0</v>
      </c>
      <c r="F272" s="165" t="s">
        <v>233</v>
      </c>
      <c r="G272" s="137">
        <v>5.56786322</v>
      </c>
      <c r="H272" s="137">
        <v>0.08734392</v>
      </c>
      <c r="I272" s="137">
        <v>2.7176588</v>
      </c>
      <c r="J272" s="120">
        <f t="shared" si="1"/>
        <v>63.74643158</v>
      </c>
      <c r="K272" s="121">
        <v>-0.477</v>
      </c>
      <c r="L272" s="121">
        <v>-1.453</v>
      </c>
      <c r="M272" s="122">
        <f t="shared" si="3"/>
        <v>0.976</v>
      </c>
      <c r="N272" s="120">
        <v>53.2</v>
      </c>
      <c r="O272" s="120">
        <v>2.784486475409836</v>
      </c>
      <c r="P272" s="123">
        <v>2.2788805349995083</v>
      </c>
      <c r="Q272" s="120">
        <v>0.0</v>
      </c>
      <c r="R272" s="120">
        <v>0.8184204000000002</v>
      </c>
      <c r="S272" s="15"/>
      <c r="T272" s="161"/>
      <c r="AA272" s="15"/>
      <c r="AB272" s="15"/>
      <c r="AC272" s="15"/>
      <c r="AD272" s="15"/>
      <c r="AE272" s="15"/>
    </row>
    <row r="273" ht="15.0" customHeight="1">
      <c r="A273" s="134" t="s">
        <v>238</v>
      </c>
      <c r="B273" s="3" t="s">
        <v>282</v>
      </c>
      <c r="C273" s="3" t="s">
        <v>287</v>
      </c>
      <c r="D273" s="3" t="s">
        <v>251</v>
      </c>
      <c r="E273" s="48">
        <v>2.0</v>
      </c>
      <c r="F273" s="165" t="s">
        <v>233</v>
      </c>
      <c r="G273" s="137">
        <v>4.32392144</v>
      </c>
      <c r="H273" s="137">
        <v>0.05351884</v>
      </c>
      <c r="I273" s="137">
        <v>2.98350475</v>
      </c>
      <c r="J273" s="120">
        <f t="shared" si="1"/>
        <v>80.79251045</v>
      </c>
      <c r="K273" s="121">
        <v>-0.722</v>
      </c>
      <c r="L273" s="121">
        <v>-1.356</v>
      </c>
      <c r="M273" s="122">
        <f t="shared" si="3"/>
        <v>0.634</v>
      </c>
      <c r="N273" s="120">
        <v>61.3</v>
      </c>
      <c r="O273" s="120">
        <v>4.705843454258674</v>
      </c>
      <c r="P273" s="123">
        <v>3.5762612620166405</v>
      </c>
      <c r="Q273" s="120">
        <v>0.0</v>
      </c>
      <c r="R273" s="120">
        <v>0.7599618000000001</v>
      </c>
      <c r="S273" s="15"/>
      <c r="T273" s="161"/>
      <c r="AA273" s="15"/>
      <c r="AB273" s="15"/>
      <c r="AC273" s="15"/>
      <c r="AD273" s="15"/>
      <c r="AE273" s="15"/>
    </row>
    <row r="274" ht="15.0" customHeight="1">
      <c r="A274" s="134" t="s">
        <v>238</v>
      </c>
      <c r="B274" s="3" t="s">
        <v>282</v>
      </c>
      <c r="C274" s="3" t="s">
        <v>287</v>
      </c>
      <c r="D274" s="3" t="s">
        <v>251</v>
      </c>
      <c r="E274" s="48">
        <v>3.0</v>
      </c>
      <c r="F274" s="165" t="s">
        <v>233</v>
      </c>
      <c r="G274" s="137">
        <v>2.07146279</v>
      </c>
      <c r="H274" s="137">
        <v>0.02459815</v>
      </c>
      <c r="I274" s="137">
        <v>1.05921446</v>
      </c>
      <c r="J274" s="120">
        <f t="shared" si="1"/>
        <v>84.2121375</v>
      </c>
      <c r="K274" s="121">
        <v>-0.48</v>
      </c>
      <c r="L274" s="121">
        <v>-1.507</v>
      </c>
      <c r="M274" s="122">
        <f t="shared" si="3"/>
        <v>1.027</v>
      </c>
      <c r="N274" s="120">
        <v>34.4</v>
      </c>
      <c r="O274" s="120">
        <v>1.0313675365141188</v>
      </c>
      <c r="P274" s="123">
        <v>1.1606268186987374</v>
      </c>
      <c r="Q274" s="120">
        <v>0.0</v>
      </c>
      <c r="R274" s="120">
        <v>1.1253280500000002</v>
      </c>
      <c r="S274" s="15"/>
      <c r="T274" s="161"/>
      <c r="AA274" s="15"/>
      <c r="AB274" s="15"/>
      <c r="AC274" s="15"/>
      <c r="AD274" s="15"/>
      <c r="AE274" s="15"/>
    </row>
    <row r="275" ht="15.0" customHeight="1">
      <c r="A275" s="134" t="s">
        <v>238</v>
      </c>
      <c r="B275" s="3" t="s">
        <v>282</v>
      </c>
      <c r="C275" s="3" t="s">
        <v>287</v>
      </c>
      <c r="D275" s="3" t="s">
        <v>251</v>
      </c>
      <c r="E275" s="48">
        <v>4.0</v>
      </c>
      <c r="F275" s="165" t="s">
        <v>233</v>
      </c>
      <c r="G275" s="137">
        <v>8.77469696</v>
      </c>
      <c r="H275" s="137">
        <v>0.10590107</v>
      </c>
      <c r="I275" s="137">
        <v>3.39717715</v>
      </c>
      <c r="J275" s="120">
        <f t="shared" si="1"/>
        <v>82.85749105</v>
      </c>
      <c r="K275" s="121">
        <v>-0.7</v>
      </c>
      <c r="L275" s="121">
        <v>-1.1391</v>
      </c>
      <c r="M275" s="122">
        <f t="shared" si="3"/>
        <v>0.4391</v>
      </c>
      <c r="N275" s="120">
        <v>56.0</v>
      </c>
      <c r="O275" s="120">
        <v>7.73668219084491</v>
      </c>
      <c r="P275" s="123">
        <v>7.462547557108484</v>
      </c>
      <c r="Q275" s="120">
        <v>0.0</v>
      </c>
      <c r="R275" s="120">
        <v>0.9645669000000001</v>
      </c>
      <c r="S275" s="15"/>
      <c r="T275" s="161"/>
      <c r="AA275" s="15"/>
      <c r="AB275" s="15"/>
      <c r="AC275" s="15"/>
      <c r="AD275" s="15"/>
      <c r="AE275" s="15"/>
    </row>
    <row r="276" ht="15.0" customHeight="1">
      <c r="A276" s="134" t="s">
        <v>238</v>
      </c>
      <c r="B276" s="3" t="s">
        <v>282</v>
      </c>
      <c r="C276" s="3" t="s">
        <v>287</v>
      </c>
      <c r="D276" s="3" t="s">
        <v>251</v>
      </c>
      <c r="E276" s="48">
        <v>5.0</v>
      </c>
      <c r="F276" s="165" t="s">
        <v>233</v>
      </c>
      <c r="G276" s="137">
        <v>3.97260709</v>
      </c>
      <c r="H276" s="137">
        <v>0.04193534</v>
      </c>
      <c r="I276" s="137">
        <v>2.09162417</v>
      </c>
      <c r="J276" s="120">
        <f t="shared" si="1"/>
        <v>94.73172484</v>
      </c>
      <c r="K276" s="121">
        <v>-0.443</v>
      </c>
      <c r="L276" s="121">
        <v>-1.317</v>
      </c>
      <c r="M276" s="122">
        <f t="shared" si="3"/>
        <v>0.874</v>
      </c>
      <c r="N276" s="120">
        <v>44.1</v>
      </c>
      <c r="O276" s="120">
        <v>2.39316266590389</v>
      </c>
      <c r="P276" s="123">
        <v>2.6231426066439227</v>
      </c>
      <c r="Q276" s="120">
        <v>0.0</v>
      </c>
      <c r="R276" s="120">
        <v>1.0960987500000003</v>
      </c>
      <c r="S276" s="15"/>
      <c r="T276" s="161"/>
      <c r="AA276" s="15"/>
      <c r="AB276" s="15"/>
      <c r="AC276" s="15"/>
      <c r="AD276" s="15"/>
      <c r="AE276" s="15"/>
    </row>
    <row r="277" ht="15.0" customHeight="1">
      <c r="A277" s="134" t="s">
        <v>238</v>
      </c>
      <c r="B277" s="3" t="s">
        <v>282</v>
      </c>
      <c r="C277" s="3" t="s">
        <v>287</v>
      </c>
      <c r="D277" s="3" t="s">
        <v>251</v>
      </c>
      <c r="E277" s="48">
        <v>6.0</v>
      </c>
      <c r="F277" s="165" t="s">
        <v>233</v>
      </c>
      <c r="G277" s="137">
        <v>2.82866562</v>
      </c>
      <c r="H277" s="137">
        <v>0.03480757</v>
      </c>
      <c r="I277" s="137">
        <v>1.3698227</v>
      </c>
      <c r="J277" s="120">
        <f t="shared" si="1"/>
        <v>81.26581718</v>
      </c>
      <c r="K277" s="121">
        <v>-0.43</v>
      </c>
      <c r="L277" s="121">
        <v>-1.1591</v>
      </c>
      <c r="M277" s="122">
        <f t="shared" si="3"/>
        <v>0.7291</v>
      </c>
      <c r="N277" s="120">
        <v>37.3</v>
      </c>
      <c r="O277" s="120">
        <v>1.8787857632697846</v>
      </c>
      <c r="P277" s="123">
        <v>2.16916591205849</v>
      </c>
      <c r="Q277" s="120">
        <v>0.0</v>
      </c>
      <c r="R277" s="120">
        <v>1.1545573500000001</v>
      </c>
      <c r="S277" s="15"/>
      <c r="T277" s="161"/>
      <c r="AA277" s="15"/>
      <c r="AB277" s="15"/>
      <c r="AC277" s="15"/>
      <c r="AD277" s="15"/>
      <c r="AE277" s="15"/>
    </row>
    <row r="278" ht="15.0" customHeight="1">
      <c r="A278" s="134" t="s">
        <v>249</v>
      </c>
      <c r="B278" s="3" t="s">
        <v>282</v>
      </c>
      <c r="C278" s="3" t="s">
        <v>284</v>
      </c>
      <c r="D278" s="135" t="s">
        <v>240</v>
      </c>
      <c r="E278" s="48">
        <v>1.0</v>
      </c>
      <c r="F278" s="165" t="s">
        <v>233</v>
      </c>
      <c r="G278" s="137">
        <v>1.52126751</v>
      </c>
      <c r="H278" s="137">
        <v>0.05457551</v>
      </c>
      <c r="I278" s="137">
        <v>1.87885622</v>
      </c>
      <c r="J278" s="120">
        <f t="shared" si="1"/>
        <v>27.87454501</v>
      </c>
      <c r="K278" s="121">
        <v>-0.43</v>
      </c>
      <c r="L278" s="121">
        <v>-1.41</v>
      </c>
      <c r="M278" s="122">
        <f t="shared" si="3"/>
        <v>0.98</v>
      </c>
      <c r="N278" s="120">
        <v>35.8</v>
      </c>
      <c r="O278" s="120">
        <v>1.917200224489796</v>
      </c>
      <c r="P278" s="123">
        <v>1.8212486669545873</v>
      </c>
      <c r="Q278" s="120">
        <v>0.0</v>
      </c>
      <c r="R278" s="120">
        <v>0.9499522500000003</v>
      </c>
      <c r="S278" s="15"/>
      <c r="T278" s="161"/>
      <c r="AA278" s="15"/>
      <c r="AB278" s="15"/>
      <c r="AC278" s="15"/>
      <c r="AD278" s="15"/>
      <c r="AE278" s="15"/>
    </row>
    <row r="279" ht="15.0" customHeight="1">
      <c r="A279" s="134" t="s">
        <v>249</v>
      </c>
      <c r="B279" s="3" t="s">
        <v>282</v>
      </c>
      <c r="C279" s="3" t="s">
        <v>284</v>
      </c>
      <c r="D279" s="135" t="s">
        <v>240</v>
      </c>
      <c r="E279" s="48">
        <v>2.0</v>
      </c>
      <c r="F279" s="165" t="s">
        <v>233</v>
      </c>
      <c r="G279" s="137">
        <v>1.24324065</v>
      </c>
      <c r="H279" s="137">
        <v>0.03120211</v>
      </c>
      <c r="I279" s="137">
        <v>1.69595924</v>
      </c>
      <c r="J279" s="120">
        <f t="shared" si="1"/>
        <v>39.8447621</v>
      </c>
      <c r="K279" s="121">
        <v>-0.468</v>
      </c>
      <c r="L279" s="121">
        <v>-1.408</v>
      </c>
      <c r="M279" s="122">
        <f t="shared" si="3"/>
        <v>0.94</v>
      </c>
      <c r="N279" s="120">
        <v>34.3</v>
      </c>
      <c r="O279" s="120">
        <v>1.8042119574468087</v>
      </c>
      <c r="P279" s="123">
        <v>1.6348114296018006</v>
      </c>
      <c r="Q279" s="120">
        <v>0.0</v>
      </c>
      <c r="R279" s="120">
        <v>0.9061083000000002</v>
      </c>
      <c r="S279" s="15"/>
      <c r="T279" s="161"/>
      <c r="AA279" s="15"/>
      <c r="AB279" s="15"/>
      <c r="AC279" s="15"/>
      <c r="AD279" s="15"/>
      <c r="AE279" s="15"/>
    </row>
    <row r="280" ht="15.0" customHeight="1">
      <c r="A280" s="134" t="s">
        <v>249</v>
      </c>
      <c r="B280" s="3" t="s">
        <v>282</v>
      </c>
      <c r="C280" s="3" t="s">
        <v>284</v>
      </c>
      <c r="D280" s="135" t="s">
        <v>240</v>
      </c>
      <c r="E280" s="48">
        <v>3.0</v>
      </c>
      <c r="F280" s="165" t="s">
        <v>233</v>
      </c>
      <c r="G280" s="137">
        <v>2.95161145</v>
      </c>
      <c r="H280" s="137">
        <v>0.0362725</v>
      </c>
      <c r="I280" s="137">
        <v>1.49974702</v>
      </c>
      <c r="J280" s="120">
        <f t="shared" si="1"/>
        <v>81.3732566</v>
      </c>
      <c r="K280" s="121">
        <v>-0.517</v>
      </c>
      <c r="L280" s="121">
        <v>-1.346</v>
      </c>
      <c r="M280" s="122">
        <f t="shared" si="3"/>
        <v>0.829</v>
      </c>
      <c r="N280" s="120">
        <v>49.4</v>
      </c>
      <c r="O280" s="120">
        <v>1.809103763570567</v>
      </c>
      <c r="P280" s="123">
        <v>1.8771987005969277</v>
      </c>
      <c r="Q280" s="120">
        <v>0.0</v>
      </c>
      <c r="R280" s="120">
        <v>1.03764015</v>
      </c>
      <c r="S280" s="15"/>
      <c r="T280" s="161"/>
      <c r="AA280" s="15"/>
      <c r="AB280" s="15"/>
      <c r="AC280" s="15"/>
      <c r="AD280" s="15"/>
      <c r="AE280" s="15"/>
    </row>
    <row r="281" ht="15.0" customHeight="1">
      <c r="A281" s="134" t="s">
        <v>249</v>
      </c>
      <c r="B281" s="3" t="s">
        <v>282</v>
      </c>
      <c r="C281" s="3" t="s">
        <v>284</v>
      </c>
      <c r="D281" s="135" t="s">
        <v>240</v>
      </c>
      <c r="E281" s="48">
        <v>4.0</v>
      </c>
      <c r="F281" s="165" t="s">
        <v>233</v>
      </c>
      <c r="G281" s="137">
        <v>7.38013738</v>
      </c>
      <c r="H281" s="137">
        <v>0.11775277</v>
      </c>
      <c r="I281" s="137">
        <v>3.49359548</v>
      </c>
      <c r="J281" s="120">
        <f t="shared" si="1"/>
        <v>62.67485156</v>
      </c>
      <c r="K281" s="121">
        <v>-0.552</v>
      </c>
      <c r="L281" s="121">
        <v>-1.57</v>
      </c>
      <c r="M281" s="122">
        <f t="shared" si="3"/>
        <v>1.018</v>
      </c>
      <c r="N281" s="120">
        <v>33.5</v>
      </c>
      <c r="O281" s="120">
        <v>3.4318226719056977</v>
      </c>
      <c r="P281" s="123">
        <v>3.3603774432017635</v>
      </c>
      <c r="Q281" s="120">
        <v>0.14285714285714285</v>
      </c>
      <c r="R281" s="120">
        <v>0.9791815500000003</v>
      </c>
      <c r="S281" s="15"/>
      <c r="T281" s="161"/>
      <c r="AA281" s="15"/>
      <c r="AB281" s="15"/>
      <c r="AC281" s="15"/>
      <c r="AD281" s="15"/>
      <c r="AE281" s="15"/>
    </row>
    <row r="282" ht="15.0" customHeight="1">
      <c r="A282" s="134" t="s">
        <v>249</v>
      </c>
      <c r="B282" s="3" t="s">
        <v>282</v>
      </c>
      <c r="C282" s="3" t="s">
        <v>284</v>
      </c>
      <c r="D282" s="135" t="s">
        <v>240</v>
      </c>
      <c r="E282" s="48">
        <v>5.0</v>
      </c>
      <c r="F282" s="165" t="s">
        <v>233</v>
      </c>
      <c r="G282" s="137">
        <v>3.64031314</v>
      </c>
      <c r="H282" s="137">
        <v>0.04037321</v>
      </c>
      <c r="I282" s="137">
        <v>2.03967114</v>
      </c>
      <c r="J282" s="120">
        <f t="shared" si="1"/>
        <v>90.16655203</v>
      </c>
      <c r="K282" s="121">
        <v>-0.498</v>
      </c>
      <c r="L282" s="121">
        <v>-1.55</v>
      </c>
      <c r="M282" s="122">
        <f t="shared" si="3"/>
        <v>1.052</v>
      </c>
      <c r="N282" s="120">
        <v>43.3</v>
      </c>
      <c r="O282" s="120">
        <v>1.9388508935361215</v>
      </c>
      <c r="P282" s="123">
        <v>2.0968364136301085</v>
      </c>
      <c r="Q282" s="120">
        <v>0.0</v>
      </c>
      <c r="R282" s="120">
        <v>1.0814841000000002</v>
      </c>
      <c r="S282" s="15"/>
      <c r="T282" s="161"/>
      <c r="AA282" s="15"/>
      <c r="AB282" s="15"/>
      <c r="AC282" s="15"/>
      <c r="AD282" s="15"/>
      <c r="AE282" s="15"/>
    </row>
    <row r="283" ht="15.0" customHeight="1">
      <c r="A283" s="134" t="s">
        <v>249</v>
      </c>
      <c r="B283" s="3" t="s">
        <v>282</v>
      </c>
      <c r="C283" s="3" t="s">
        <v>284</v>
      </c>
      <c r="D283" s="135" t="s">
        <v>240</v>
      </c>
      <c r="E283" s="48">
        <v>6.0</v>
      </c>
      <c r="F283" s="165" t="s">
        <v>233</v>
      </c>
      <c r="G283" s="137">
        <v>5.94815711</v>
      </c>
      <c r="H283" s="137">
        <v>0.08977568</v>
      </c>
      <c r="I283" s="137">
        <v>3.55967195</v>
      </c>
      <c r="J283" s="120">
        <f t="shared" si="1"/>
        <v>66.25577339</v>
      </c>
      <c r="K283" s="121">
        <v>-0.708</v>
      </c>
      <c r="L283" s="121">
        <v>-1.534</v>
      </c>
      <c r="M283" s="122">
        <f t="shared" si="3"/>
        <v>0.826</v>
      </c>
      <c r="N283" s="120">
        <v>33.9</v>
      </c>
      <c r="O283" s="120">
        <v>4.3095302058111375</v>
      </c>
      <c r="P283" s="123">
        <v>4.219812466697969</v>
      </c>
      <c r="Q283" s="120">
        <v>0.0</v>
      </c>
      <c r="R283" s="120">
        <v>0.9791815500000003</v>
      </c>
      <c r="S283" s="15"/>
      <c r="T283" s="161"/>
      <c r="AA283" s="15"/>
      <c r="AB283" s="15"/>
      <c r="AC283" s="15"/>
      <c r="AD283" s="15"/>
      <c r="AE283" s="15"/>
    </row>
    <row r="284" ht="15.0" customHeight="1">
      <c r="A284" s="134" t="s">
        <v>244</v>
      </c>
      <c r="B284" s="3" t="s">
        <v>278</v>
      </c>
      <c r="C284" s="3" t="s">
        <v>280</v>
      </c>
      <c r="D284" s="3" t="s">
        <v>251</v>
      </c>
      <c r="E284" s="48">
        <v>1.0</v>
      </c>
      <c r="F284" s="165" t="s">
        <v>233</v>
      </c>
      <c r="G284" s="137">
        <v>6.75313644</v>
      </c>
      <c r="H284" s="137">
        <v>0.08543185</v>
      </c>
      <c r="I284" s="137">
        <v>2.75584315</v>
      </c>
      <c r="J284" s="120">
        <f t="shared" si="1"/>
        <v>79.04705844</v>
      </c>
      <c r="K284" s="121">
        <v>-0.45</v>
      </c>
      <c r="L284" s="121">
        <v>-1.385</v>
      </c>
      <c r="M284" s="122">
        <f t="shared" si="3"/>
        <v>0.935</v>
      </c>
      <c r="N284" s="120">
        <v>40.3</v>
      </c>
      <c r="O284" s="120">
        <v>2.947425828877005</v>
      </c>
      <c r="P284" s="123">
        <v>2.455309022729848</v>
      </c>
      <c r="Q284" s="120">
        <v>0.0</v>
      </c>
      <c r="R284" s="120">
        <v>0.8330350500000002</v>
      </c>
      <c r="S284" s="15"/>
      <c r="T284" s="161"/>
      <c r="AA284" s="15"/>
      <c r="AB284" s="15"/>
      <c r="AC284" s="15"/>
      <c r="AD284" s="15"/>
      <c r="AE284" s="15"/>
    </row>
    <row r="285" ht="15.0" customHeight="1">
      <c r="A285" s="134" t="s">
        <v>244</v>
      </c>
      <c r="B285" s="3" t="s">
        <v>278</v>
      </c>
      <c r="C285" s="3" t="s">
        <v>280</v>
      </c>
      <c r="D285" s="3" t="s">
        <v>251</v>
      </c>
      <c r="E285" s="48">
        <v>2.0</v>
      </c>
      <c r="F285" s="165" t="s">
        <v>233</v>
      </c>
      <c r="G285" s="137">
        <v>4.0485491</v>
      </c>
      <c r="H285" s="137">
        <v>0.05621817</v>
      </c>
      <c r="I285" s="137">
        <v>3.00270969</v>
      </c>
      <c r="J285" s="120">
        <f t="shared" si="1"/>
        <v>72.01495709</v>
      </c>
      <c r="K285" s="121">
        <v>-0.36</v>
      </c>
      <c r="L285" s="121">
        <v>-1.55</v>
      </c>
      <c r="M285" s="122">
        <f t="shared" si="3"/>
        <v>1.19</v>
      </c>
      <c r="N285" s="120">
        <v>41.7</v>
      </c>
      <c r="O285" s="120">
        <v>2.523285453781513</v>
      </c>
      <c r="P285" s="123">
        <v>2.7657700317830995</v>
      </c>
      <c r="Q285" s="120">
        <v>0.14285714285714285</v>
      </c>
      <c r="R285" s="120">
        <v>1.0960987500000003</v>
      </c>
      <c r="S285" s="15"/>
      <c r="T285" s="161"/>
      <c r="AA285" s="15"/>
      <c r="AB285" s="15"/>
      <c r="AC285" s="15"/>
      <c r="AD285" s="15"/>
      <c r="AE285" s="15"/>
    </row>
    <row r="286" ht="15.0" customHeight="1">
      <c r="A286" s="134" t="s">
        <v>244</v>
      </c>
      <c r="B286" s="3" t="s">
        <v>278</v>
      </c>
      <c r="C286" s="3" t="s">
        <v>280</v>
      </c>
      <c r="D286" s="3" t="s">
        <v>251</v>
      </c>
      <c r="E286" s="48">
        <v>3.0</v>
      </c>
      <c r="F286" s="165" t="s">
        <v>233</v>
      </c>
      <c r="G286" s="137">
        <v>7.62899525</v>
      </c>
      <c r="H286" s="137">
        <v>0.10289732</v>
      </c>
      <c r="I286" s="137">
        <v>3.56487881</v>
      </c>
      <c r="J286" s="120">
        <f t="shared" si="1"/>
        <v>74.14182653</v>
      </c>
      <c r="K286" s="121">
        <v>-0.31</v>
      </c>
      <c r="L286" s="121">
        <v>-1.527</v>
      </c>
      <c r="M286" s="122">
        <f t="shared" si="3"/>
        <v>1.217</v>
      </c>
      <c r="N286" s="120">
        <v>30.0</v>
      </c>
      <c r="O286" s="120">
        <v>2.9292348479868533</v>
      </c>
      <c r="P286" s="123">
        <v>2.8682527187657825</v>
      </c>
      <c r="Q286" s="120">
        <v>0.0</v>
      </c>
      <c r="R286" s="120">
        <v>0.9791815500000003</v>
      </c>
      <c r="S286" s="15"/>
      <c r="T286" s="161"/>
      <c r="AA286" s="15"/>
      <c r="AB286" s="15"/>
      <c r="AC286" s="15"/>
      <c r="AD286" s="15"/>
      <c r="AE286" s="15"/>
    </row>
    <row r="287" ht="15.0" customHeight="1">
      <c r="A287" s="134" t="s">
        <v>244</v>
      </c>
      <c r="B287" s="3" t="s">
        <v>278</v>
      </c>
      <c r="C287" s="3" t="s">
        <v>280</v>
      </c>
      <c r="D287" s="3" t="s">
        <v>251</v>
      </c>
      <c r="E287" s="48">
        <v>4.0</v>
      </c>
      <c r="F287" s="165" t="s">
        <v>233</v>
      </c>
      <c r="G287" s="137">
        <v>4.59261823</v>
      </c>
      <c r="H287" s="137">
        <v>0.05122332</v>
      </c>
      <c r="I287" s="137">
        <v>2.00982508</v>
      </c>
      <c r="J287" s="120">
        <f t="shared" si="1"/>
        <v>89.65873805</v>
      </c>
      <c r="K287" s="121">
        <v>-0.32</v>
      </c>
      <c r="L287" s="121">
        <v>-1.548</v>
      </c>
      <c r="M287" s="122">
        <f t="shared" si="3"/>
        <v>1.228</v>
      </c>
      <c r="N287" s="120">
        <v>49.9</v>
      </c>
      <c r="O287" s="120">
        <v>1.6366653745928341</v>
      </c>
      <c r="P287" s="123">
        <v>1.7700275796426943</v>
      </c>
      <c r="Q287" s="120">
        <v>0.0</v>
      </c>
      <c r="R287" s="120">
        <v>1.0814841000000002</v>
      </c>
      <c r="S287" s="15"/>
      <c r="T287" s="161"/>
      <c r="AA287" s="15"/>
      <c r="AB287" s="15"/>
      <c r="AC287" s="15"/>
      <c r="AD287" s="15"/>
      <c r="AE287" s="15"/>
    </row>
    <row r="288" ht="15.0" customHeight="1">
      <c r="A288" s="134" t="s">
        <v>244</v>
      </c>
      <c r="B288" s="3" t="s">
        <v>278</v>
      </c>
      <c r="C288" s="3" t="s">
        <v>280</v>
      </c>
      <c r="D288" s="3" t="s">
        <v>251</v>
      </c>
      <c r="E288" s="48">
        <v>5.0</v>
      </c>
      <c r="F288" s="165" t="s">
        <v>233</v>
      </c>
      <c r="G288" s="137">
        <v>6.39596762</v>
      </c>
      <c r="H288" s="137">
        <v>0.06554808</v>
      </c>
      <c r="I288" s="137">
        <v>3.11815917</v>
      </c>
      <c r="J288" s="120">
        <f t="shared" si="1"/>
        <v>97.57673482</v>
      </c>
      <c r="K288" s="121">
        <v>-0.487</v>
      </c>
      <c r="L288" s="121">
        <v>-1.365</v>
      </c>
      <c r="M288" s="122">
        <f t="shared" si="3"/>
        <v>0.878</v>
      </c>
      <c r="N288" s="120">
        <v>36.2</v>
      </c>
      <c r="O288" s="120">
        <v>3.5514341343963554</v>
      </c>
      <c r="P288" s="123">
        <v>3.99652844916369</v>
      </c>
      <c r="Q288" s="120">
        <v>0.0</v>
      </c>
      <c r="R288" s="120">
        <v>1.1253280500000002</v>
      </c>
      <c r="S288" s="15"/>
      <c r="T288" s="161"/>
      <c r="AA288" s="15"/>
      <c r="AB288" s="15"/>
      <c r="AC288" s="15"/>
      <c r="AD288" s="15"/>
      <c r="AE288" s="15"/>
    </row>
    <row r="289" ht="15.0" customHeight="1">
      <c r="A289" s="153" t="s">
        <v>244</v>
      </c>
      <c r="B289" s="154" t="s">
        <v>278</v>
      </c>
      <c r="C289" s="3" t="s">
        <v>280</v>
      </c>
      <c r="D289" s="154" t="s">
        <v>251</v>
      </c>
      <c r="E289" s="155">
        <v>6.0</v>
      </c>
      <c r="F289" s="166" t="s">
        <v>233</v>
      </c>
      <c r="G289" s="157">
        <v>1.46847335</v>
      </c>
      <c r="H289" s="157">
        <v>0.03712075</v>
      </c>
      <c r="I289" s="157">
        <v>1.25707664</v>
      </c>
      <c r="J289" s="120">
        <f t="shared" si="1"/>
        <v>39.55936639</v>
      </c>
      <c r="K289" s="121">
        <v>-0.491</v>
      </c>
      <c r="L289" s="121">
        <v>-1.483</v>
      </c>
      <c r="M289" s="122">
        <f t="shared" si="3"/>
        <v>0.992</v>
      </c>
      <c r="N289" s="120">
        <v>43.3</v>
      </c>
      <c r="O289" s="120">
        <v>1.2672143548387096</v>
      </c>
      <c r="P289" s="123">
        <v>1.3519522817788792</v>
      </c>
      <c r="Q289" s="120">
        <v>0.14285714285714285</v>
      </c>
      <c r="R289" s="120">
        <v>1.0668694500000002</v>
      </c>
      <c r="S289" s="15"/>
      <c r="T289" s="161"/>
      <c r="AA289" s="15"/>
      <c r="AB289" s="15"/>
      <c r="AC289" s="15"/>
      <c r="AD289" s="15"/>
      <c r="AE289" s="15"/>
    </row>
    <row r="290" ht="15.0" customHeight="1">
      <c r="A290" s="115" t="s">
        <v>238</v>
      </c>
      <c r="B290" s="116" t="s">
        <v>278</v>
      </c>
      <c r="C290" s="116" t="s">
        <v>279</v>
      </c>
      <c r="D290" s="116" t="s">
        <v>240</v>
      </c>
      <c r="E290" s="117">
        <v>1.0</v>
      </c>
      <c r="F290" s="167" t="s">
        <v>235</v>
      </c>
      <c r="G290" s="119">
        <v>11.2565194</v>
      </c>
      <c r="H290" s="119">
        <v>0.25087935</v>
      </c>
      <c r="I290" s="119">
        <v>6.21926502</v>
      </c>
      <c r="J290" s="120">
        <f t="shared" si="1"/>
        <v>44.86825799</v>
      </c>
      <c r="K290" s="121">
        <v>-0.208</v>
      </c>
      <c r="L290" s="121">
        <v>-0.64</v>
      </c>
      <c r="M290" s="122">
        <f t="shared" si="3"/>
        <v>0.432</v>
      </c>
      <c r="N290" s="120">
        <v>46.8</v>
      </c>
      <c r="O290" s="120">
        <v>14.396446805555554</v>
      </c>
      <c r="P290" s="123">
        <v>10.099153502726999</v>
      </c>
      <c r="Q290" s="120">
        <v>0.0</v>
      </c>
      <c r="R290" s="120">
        <v>0.7015032000000001</v>
      </c>
      <c r="S290" s="15"/>
      <c r="T290" s="161"/>
      <c r="AA290" s="15"/>
      <c r="AB290" s="15"/>
      <c r="AC290" s="15"/>
      <c r="AD290" s="15"/>
      <c r="AE290" s="15"/>
    </row>
    <row r="291" ht="15.0" customHeight="1">
      <c r="A291" s="134" t="s">
        <v>238</v>
      </c>
      <c r="B291" s="135" t="s">
        <v>278</v>
      </c>
      <c r="C291" s="116" t="s">
        <v>279</v>
      </c>
      <c r="D291" s="135" t="s">
        <v>240</v>
      </c>
      <c r="E291" s="8">
        <v>2.0</v>
      </c>
      <c r="F291" s="168" t="s">
        <v>235</v>
      </c>
      <c r="G291" s="137">
        <v>12.4318573</v>
      </c>
      <c r="H291" s="137">
        <v>0.17385257</v>
      </c>
      <c r="I291" s="137">
        <v>5.39537884</v>
      </c>
      <c r="J291" s="120">
        <f t="shared" si="1"/>
        <v>71.50804443</v>
      </c>
      <c r="K291" s="121">
        <v>-0.168</v>
      </c>
      <c r="L291" s="121">
        <v>-0.68</v>
      </c>
      <c r="M291" s="122">
        <f t="shared" si="3"/>
        <v>0.512</v>
      </c>
      <c r="N291" s="120">
        <v>42.1</v>
      </c>
      <c r="O291" s="120">
        <v>10.537849296875</v>
      </c>
      <c r="P291" s="123">
        <v>10.7804885458602</v>
      </c>
      <c r="Q291" s="120">
        <v>0.6</v>
      </c>
      <c r="R291" s="120">
        <v>1.0230255000000004</v>
      </c>
      <c r="S291" s="15"/>
      <c r="T291" s="161"/>
      <c r="AA291" s="15"/>
      <c r="AB291" s="15"/>
      <c r="AC291" s="15"/>
      <c r="AD291" s="15"/>
      <c r="AE291" s="15"/>
    </row>
    <row r="292" ht="15.0" customHeight="1">
      <c r="A292" s="134" t="s">
        <v>238</v>
      </c>
      <c r="B292" s="135" t="s">
        <v>278</v>
      </c>
      <c r="C292" s="116" t="s">
        <v>279</v>
      </c>
      <c r="D292" s="135" t="s">
        <v>240</v>
      </c>
      <c r="E292" s="8">
        <v>3.0</v>
      </c>
      <c r="F292" s="168" t="s">
        <v>235</v>
      </c>
      <c r="G292" s="137">
        <v>13.8752963</v>
      </c>
      <c r="H292" s="137">
        <v>0.21597435</v>
      </c>
      <c r="I292" s="137">
        <v>7.49490643</v>
      </c>
      <c r="J292" s="120">
        <f t="shared" si="1"/>
        <v>64.24511198</v>
      </c>
      <c r="K292" s="121">
        <v>-0.25</v>
      </c>
      <c r="L292" s="121">
        <v>-0.75</v>
      </c>
      <c r="M292" s="122">
        <f t="shared" si="3"/>
        <v>0.5</v>
      </c>
      <c r="N292" s="120">
        <v>48.8</v>
      </c>
      <c r="O292" s="120">
        <v>14.98981286</v>
      </c>
      <c r="P292" s="123">
        <v>15.773102533036733</v>
      </c>
      <c r="Q292" s="120">
        <v>0.8</v>
      </c>
      <c r="R292" s="120">
        <v>1.0522548000000003</v>
      </c>
      <c r="S292" s="15"/>
      <c r="T292" s="161"/>
      <c r="AA292" s="15"/>
      <c r="AB292" s="15"/>
      <c r="AC292" s="15"/>
      <c r="AD292" s="15"/>
      <c r="AE292" s="15"/>
    </row>
    <row r="293" ht="15.0" customHeight="1">
      <c r="A293" s="134" t="s">
        <v>238</v>
      </c>
      <c r="B293" s="135" t="s">
        <v>278</v>
      </c>
      <c r="C293" s="116" t="s">
        <v>279</v>
      </c>
      <c r="D293" s="135" t="s">
        <v>240</v>
      </c>
      <c r="E293" s="8">
        <v>4.0</v>
      </c>
      <c r="F293" s="168" t="s">
        <v>235</v>
      </c>
      <c r="G293" s="137">
        <v>9.43943163</v>
      </c>
      <c r="H293" s="137">
        <v>0.12772574</v>
      </c>
      <c r="I293" s="137">
        <v>3.15990233</v>
      </c>
      <c r="J293" s="120">
        <f t="shared" si="1"/>
        <v>73.90391028</v>
      </c>
      <c r="K293" s="121"/>
      <c r="L293" s="121">
        <v>-0.652</v>
      </c>
      <c r="M293" s="122"/>
      <c r="N293" s="120">
        <v>44.2</v>
      </c>
      <c r="O293" s="120">
        <v>6.899350065502183</v>
      </c>
      <c r="P293" s="123">
        <v>6.251558358957073</v>
      </c>
      <c r="Q293" s="120">
        <v>0.4</v>
      </c>
      <c r="R293" s="120">
        <v>0.9061083000000002</v>
      </c>
      <c r="S293" s="15"/>
      <c r="T293" s="161"/>
      <c r="AA293" s="15"/>
      <c r="AB293" s="15"/>
      <c r="AC293" s="15"/>
      <c r="AD293" s="15"/>
      <c r="AE293" s="15"/>
    </row>
    <row r="294" ht="15.0" customHeight="1">
      <c r="A294" s="134" t="s">
        <v>238</v>
      </c>
      <c r="B294" s="135" t="s">
        <v>278</v>
      </c>
      <c r="C294" s="116" t="s">
        <v>279</v>
      </c>
      <c r="D294" s="135" t="s">
        <v>240</v>
      </c>
      <c r="E294" s="8">
        <v>5.0</v>
      </c>
      <c r="F294" s="168" t="s">
        <v>235</v>
      </c>
      <c r="G294" s="137">
        <v>9.88215639</v>
      </c>
      <c r="H294" s="137">
        <v>0.14518716</v>
      </c>
      <c r="I294" s="137">
        <v>6.28338239</v>
      </c>
      <c r="J294" s="120">
        <f t="shared" si="1"/>
        <v>68.06494727</v>
      </c>
      <c r="K294" s="121">
        <v>-0.15</v>
      </c>
      <c r="L294" s="121">
        <v>-0.759</v>
      </c>
      <c r="M294" s="122">
        <f>K294-L294</f>
        <v>0.609</v>
      </c>
      <c r="N294" s="120">
        <v>47.5</v>
      </c>
      <c r="O294" s="120">
        <v>10.317540870279146</v>
      </c>
      <c r="P294" s="123">
        <v>9.04723492078951</v>
      </c>
      <c r="Q294" s="120">
        <v>0.7</v>
      </c>
      <c r="R294" s="120">
        <v>0.8768790000000003</v>
      </c>
      <c r="S294" s="15"/>
      <c r="T294" s="161"/>
      <c r="AA294" s="15"/>
      <c r="AB294" s="15"/>
      <c r="AC294" s="15"/>
      <c r="AD294" s="15"/>
      <c r="AE294" s="15"/>
    </row>
    <row r="295" ht="15.0" customHeight="1">
      <c r="A295" s="134" t="s">
        <v>238</v>
      </c>
      <c r="B295" s="135" t="s">
        <v>278</v>
      </c>
      <c r="C295" s="116" t="s">
        <v>279</v>
      </c>
      <c r="D295" s="135" t="s">
        <v>240</v>
      </c>
      <c r="E295" s="8">
        <v>6.0</v>
      </c>
      <c r="F295" s="168" t="s">
        <v>235</v>
      </c>
      <c r="G295" s="137">
        <v>8.58016138</v>
      </c>
      <c r="H295" s="137">
        <v>0.1023457</v>
      </c>
      <c r="I295" s="137">
        <v>3.13310825</v>
      </c>
      <c r="J295" s="120">
        <f t="shared" si="1"/>
        <v>83.835094</v>
      </c>
      <c r="K295" s="121"/>
      <c r="L295" s="121">
        <v>-0.73</v>
      </c>
      <c r="M295" s="122"/>
      <c r="N295" s="120">
        <v>20.3</v>
      </c>
      <c r="O295" s="120">
        <v>5.845351212686566</v>
      </c>
      <c r="P295" s="123">
        <v>5.894515584933792</v>
      </c>
      <c r="Q295" s="120">
        <v>0.0</v>
      </c>
      <c r="R295" s="120">
        <v>1.0084108500000002</v>
      </c>
      <c r="S295" s="15"/>
      <c r="T295" s="161"/>
      <c r="AA295" s="15"/>
      <c r="AB295" s="15"/>
      <c r="AC295" s="15"/>
      <c r="AD295" s="15"/>
      <c r="AE295" s="15"/>
    </row>
    <row r="296" ht="15.0" customHeight="1">
      <c r="A296" s="134" t="s">
        <v>244</v>
      </c>
      <c r="B296" s="3" t="s">
        <v>278</v>
      </c>
      <c r="C296" s="3" t="s">
        <v>280</v>
      </c>
      <c r="D296" s="135" t="s">
        <v>240</v>
      </c>
      <c r="E296" s="8">
        <v>1.0</v>
      </c>
      <c r="F296" s="168" t="s">
        <v>235</v>
      </c>
      <c r="G296" s="137">
        <v>13.7054388</v>
      </c>
      <c r="H296" s="137">
        <v>0.29875014</v>
      </c>
      <c r="I296" s="137">
        <v>7.43254797</v>
      </c>
      <c r="J296" s="120">
        <f t="shared" si="1"/>
        <v>45.87592428</v>
      </c>
      <c r="K296" s="121">
        <v>-0.192</v>
      </c>
      <c r="L296" s="121">
        <v>-0.601</v>
      </c>
      <c r="M296" s="122">
        <f t="shared" ref="M296:M298" si="4">K296-L296</f>
        <v>0.409</v>
      </c>
      <c r="N296" s="120">
        <v>49.0</v>
      </c>
      <c r="O296" s="120">
        <v>18.17248892420538</v>
      </c>
      <c r="P296" s="123">
        <v>14.872735654343739</v>
      </c>
      <c r="Q296" s="120">
        <v>1.9</v>
      </c>
      <c r="R296" s="120">
        <v>0.8184204000000002</v>
      </c>
      <c r="S296" s="15"/>
      <c r="T296" s="161"/>
      <c r="AA296" s="15"/>
      <c r="AB296" s="15"/>
      <c r="AC296" s="15"/>
      <c r="AD296" s="15"/>
      <c r="AE296" s="15"/>
    </row>
    <row r="297" ht="15.0" customHeight="1">
      <c r="A297" s="134" t="s">
        <v>244</v>
      </c>
      <c r="B297" s="3" t="s">
        <v>278</v>
      </c>
      <c r="C297" s="3" t="s">
        <v>280</v>
      </c>
      <c r="D297" s="135" t="s">
        <v>240</v>
      </c>
      <c r="E297" s="8">
        <v>2.0</v>
      </c>
      <c r="F297" s="168" t="s">
        <v>235</v>
      </c>
      <c r="G297" s="137">
        <v>12.3931168</v>
      </c>
      <c r="H297" s="137">
        <v>0.2323288</v>
      </c>
      <c r="I297" s="137">
        <v>7.10185385</v>
      </c>
      <c r="J297" s="120">
        <f t="shared" si="1"/>
        <v>53.34300698</v>
      </c>
      <c r="K297" s="121">
        <v>-0.084</v>
      </c>
      <c r="L297" s="121">
        <v>-0.693</v>
      </c>
      <c r="M297" s="122">
        <f t="shared" si="4"/>
        <v>0.609</v>
      </c>
      <c r="N297" s="120">
        <v>42.4</v>
      </c>
      <c r="O297" s="120">
        <v>11.661500574712644</v>
      </c>
      <c r="P297" s="123">
        <v>11.759583706821468</v>
      </c>
      <c r="Q297" s="120">
        <v>0.2</v>
      </c>
      <c r="R297" s="120">
        <v>1.0084108500000002</v>
      </c>
      <c r="S297" s="15"/>
      <c r="T297" s="161"/>
      <c r="AA297" s="15"/>
      <c r="AB297" s="15"/>
      <c r="AC297" s="15"/>
      <c r="AD297" s="15"/>
      <c r="AE297" s="15"/>
    </row>
    <row r="298" ht="15.0" customHeight="1">
      <c r="A298" s="134" t="s">
        <v>244</v>
      </c>
      <c r="B298" s="3" t="s">
        <v>278</v>
      </c>
      <c r="C298" s="3" t="s">
        <v>280</v>
      </c>
      <c r="D298" s="135" t="s">
        <v>240</v>
      </c>
      <c r="E298" s="8">
        <v>3.0</v>
      </c>
      <c r="F298" s="168" t="s">
        <v>235</v>
      </c>
      <c r="G298" s="137">
        <v>14.5822714</v>
      </c>
      <c r="H298" s="137">
        <v>0.19046194</v>
      </c>
      <c r="I298" s="137">
        <v>7.43786465</v>
      </c>
      <c r="J298" s="120">
        <f t="shared" si="1"/>
        <v>76.56265288</v>
      </c>
      <c r="K298" s="121">
        <v>-0.1</v>
      </c>
      <c r="L298" s="121">
        <v>-0.64</v>
      </c>
      <c r="M298" s="122">
        <f t="shared" si="4"/>
        <v>0.54</v>
      </c>
      <c r="N298" s="120">
        <v>38.3</v>
      </c>
      <c r="O298" s="120">
        <v>13.773823425925924</v>
      </c>
      <c r="P298" s="123">
        <v>13.084474554561044</v>
      </c>
      <c r="Q298" s="120">
        <v>0.0</v>
      </c>
      <c r="R298" s="120">
        <v>0.9499522500000003</v>
      </c>
      <c r="S298" s="15"/>
      <c r="T298" s="161"/>
      <c r="AA298" s="15"/>
      <c r="AB298" s="15"/>
      <c r="AC298" s="15"/>
      <c r="AD298" s="15"/>
      <c r="AE298" s="15"/>
    </row>
    <row r="299" ht="15.0" customHeight="1">
      <c r="A299" s="134" t="s">
        <v>244</v>
      </c>
      <c r="B299" s="3" t="s">
        <v>278</v>
      </c>
      <c r="C299" s="3" t="s">
        <v>280</v>
      </c>
      <c r="D299" s="135" t="s">
        <v>240</v>
      </c>
      <c r="E299" s="8">
        <v>4.0</v>
      </c>
      <c r="F299" s="168" t="s">
        <v>235</v>
      </c>
      <c r="G299" s="137">
        <v>13.6084163</v>
      </c>
      <c r="H299" s="137">
        <v>0.23435881</v>
      </c>
      <c r="I299" s="137">
        <v>4.79953264</v>
      </c>
      <c r="J299" s="120">
        <f t="shared" si="1"/>
        <v>58.0665873</v>
      </c>
      <c r="K299" s="121"/>
      <c r="L299" s="121">
        <v>-0.65</v>
      </c>
      <c r="M299" s="122"/>
      <c r="N299" s="120">
        <v>50.7</v>
      </c>
      <c r="O299" s="120">
        <v>8.974611791544344</v>
      </c>
      <c r="P299" s="123">
        <v>7.476725409516657</v>
      </c>
      <c r="Q299" s="120">
        <v>0.4</v>
      </c>
      <c r="R299" s="120">
        <v>0.8330350500000002</v>
      </c>
      <c r="S299" s="15"/>
      <c r="T299" s="161"/>
      <c r="AA299" s="15"/>
      <c r="AB299" s="15"/>
      <c r="AC299" s="15"/>
      <c r="AD299" s="15"/>
      <c r="AE299" s="15"/>
    </row>
    <row r="300" ht="15.0" customHeight="1">
      <c r="A300" s="134" t="s">
        <v>244</v>
      </c>
      <c r="B300" s="3" t="s">
        <v>278</v>
      </c>
      <c r="C300" s="3" t="s">
        <v>280</v>
      </c>
      <c r="D300" s="135" t="s">
        <v>240</v>
      </c>
      <c r="E300" s="8">
        <v>5.0</v>
      </c>
      <c r="F300" s="168" t="s">
        <v>235</v>
      </c>
      <c r="G300" s="137">
        <v>11.4217379</v>
      </c>
      <c r="H300" s="137">
        <v>0.17987548</v>
      </c>
      <c r="I300" s="137">
        <v>7.27161701</v>
      </c>
      <c r="J300" s="120">
        <f t="shared" si="1"/>
        <v>63.49802597</v>
      </c>
      <c r="K300" s="121">
        <v>-0.175</v>
      </c>
      <c r="L300" s="121">
        <v>-0.535</v>
      </c>
      <c r="M300" s="122">
        <f>K300-L300</f>
        <v>0.36</v>
      </c>
      <c r="N300" s="120">
        <v>43.1</v>
      </c>
      <c r="O300" s="120">
        <v>20.198936138888886</v>
      </c>
      <c r="P300" s="123">
        <v>20.959227124997085</v>
      </c>
      <c r="Q300" s="120">
        <v>0.3</v>
      </c>
      <c r="R300" s="120">
        <v>1.03764015</v>
      </c>
      <c r="S300" s="15"/>
      <c r="T300" s="161"/>
      <c r="AA300" s="15"/>
      <c r="AB300" s="15"/>
      <c r="AC300" s="15"/>
      <c r="AD300" s="15"/>
      <c r="AE300" s="15"/>
    </row>
    <row r="301" ht="15.0" customHeight="1">
      <c r="A301" s="134" t="s">
        <v>244</v>
      </c>
      <c r="B301" s="3" t="s">
        <v>278</v>
      </c>
      <c r="C301" s="3" t="s">
        <v>280</v>
      </c>
      <c r="D301" s="135" t="s">
        <v>240</v>
      </c>
      <c r="E301" s="8">
        <v>6.0</v>
      </c>
      <c r="F301" s="168" t="s">
        <v>235</v>
      </c>
      <c r="G301" s="137">
        <v>15.0963683</v>
      </c>
      <c r="H301" s="137">
        <v>0.24305539</v>
      </c>
      <c r="I301" s="137">
        <v>5.54438163</v>
      </c>
      <c r="J301" s="120">
        <f t="shared" si="1"/>
        <v>62.11081474</v>
      </c>
      <c r="K301" s="121"/>
      <c r="L301" s="121">
        <v>-0.717</v>
      </c>
      <c r="M301" s="122"/>
      <c r="N301" s="120">
        <v>42.3</v>
      </c>
      <c r="O301" s="120">
        <v>9.213150152046396</v>
      </c>
      <c r="P301" s="123">
        <v>10.503161387839805</v>
      </c>
      <c r="Q301" s="120">
        <v>0.5</v>
      </c>
      <c r="R301" s="120">
        <v>1.1399427000000004</v>
      </c>
      <c r="S301" s="15"/>
      <c r="T301" s="161"/>
      <c r="AA301" s="15"/>
      <c r="AB301" s="15"/>
      <c r="AC301" s="15"/>
      <c r="AD301" s="15"/>
      <c r="AE301" s="15"/>
    </row>
    <row r="302" ht="15.0" customHeight="1">
      <c r="A302" s="134" t="s">
        <v>249</v>
      </c>
      <c r="B302" s="3" t="s">
        <v>278</v>
      </c>
      <c r="C302" s="3" t="s">
        <v>281</v>
      </c>
      <c r="D302" s="3" t="s">
        <v>251</v>
      </c>
      <c r="E302" s="8">
        <v>1.0</v>
      </c>
      <c r="F302" s="168" t="s">
        <v>235</v>
      </c>
      <c r="G302" s="137">
        <v>13.9539788</v>
      </c>
      <c r="H302" s="137">
        <v>0.2382478</v>
      </c>
      <c r="I302" s="137">
        <v>6.2041013</v>
      </c>
      <c r="J302" s="120">
        <f t="shared" si="1"/>
        <v>58.56918217</v>
      </c>
      <c r="K302" s="121">
        <v>-0.159</v>
      </c>
      <c r="L302" s="121">
        <v>-0.641</v>
      </c>
      <c r="M302" s="122">
        <f t="shared" ref="M302:M304" si="5">K302-L302</f>
        <v>0.482</v>
      </c>
      <c r="N302" s="120">
        <v>36.1</v>
      </c>
      <c r="O302" s="120">
        <v>12.871579460580913</v>
      </c>
      <c r="P302" s="123">
        <v>14.86097667232273</v>
      </c>
      <c r="Q302" s="120">
        <v>0.6</v>
      </c>
      <c r="R302" s="120">
        <v>1.1545573500000001</v>
      </c>
      <c r="S302" s="15"/>
      <c r="T302" s="161"/>
      <c r="AA302" s="15"/>
      <c r="AB302" s="15"/>
      <c r="AC302" s="15"/>
      <c r="AD302" s="15"/>
      <c r="AE302" s="15"/>
    </row>
    <row r="303" ht="15.0" customHeight="1">
      <c r="A303" s="134" t="s">
        <v>249</v>
      </c>
      <c r="B303" s="3" t="s">
        <v>278</v>
      </c>
      <c r="C303" s="3" t="s">
        <v>281</v>
      </c>
      <c r="D303" s="3" t="s">
        <v>251</v>
      </c>
      <c r="E303" s="8">
        <v>2.0</v>
      </c>
      <c r="F303" s="168" t="s">
        <v>235</v>
      </c>
      <c r="G303" s="137">
        <v>14.4288223</v>
      </c>
      <c r="H303" s="137">
        <v>0.18835928</v>
      </c>
      <c r="I303" s="137">
        <v>6.25300559</v>
      </c>
      <c r="J303" s="120">
        <f t="shared" si="1"/>
        <v>76.60266221</v>
      </c>
      <c r="K303" s="121">
        <v>-0.18</v>
      </c>
      <c r="L303" s="121">
        <v>-0.702</v>
      </c>
      <c r="M303" s="122">
        <f t="shared" si="5"/>
        <v>0.522</v>
      </c>
      <c r="N303" s="120">
        <v>48.9</v>
      </c>
      <c r="O303" s="120">
        <v>11.978937911877393</v>
      </c>
      <c r="P303" s="123">
        <v>12.25475894676733</v>
      </c>
      <c r="Q303" s="120">
        <v>0.5</v>
      </c>
      <c r="R303" s="120">
        <v>1.0230255000000004</v>
      </c>
      <c r="S303" s="15"/>
      <c r="T303" s="161"/>
      <c r="AA303" s="15"/>
      <c r="AB303" s="15"/>
      <c r="AC303" s="15"/>
      <c r="AD303" s="15"/>
      <c r="AE303" s="15"/>
    </row>
    <row r="304" ht="15.0" customHeight="1">
      <c r="A304" s="134" t="s">
        <v>249</v>
      </c>
      <c r="B304" s="3" t="s">
        <v>278</v>
      </c>
      <c r="C304" s="3" t="s">
        <v>281</v>
      </c>
      <c r="D304" s="3" t="s">
        <v>251</v>
      </c>
      <c r="E304" s="8">
        <v>3.0</v>
      </c>
      <c r="F304" s="168" t="s">
        <v>235</v>
      </c>
      <c r="G304" s="137">
        <v>9.06857187</v>
      </c>
      <c r="H304" s="137">
        <v>0.1335752</v>
      </c>
      <c r="I304" s="137">
        <v>5.56701738</v>
      </c>
      <c r="J304" s="120">
        <f t="shared" si="1"/>
        <v>67.89113451</v>
      </c>
      <c r="K304" s="121">
        <v>-0.087</v>
      </c>
      <c r="L304" s="121">
        <v>-0.67</v>
      </c>
      <c r="M304" s="122">
        <f t="shared" si="5"/>
        <v>0.583</v>
      </c>
      <c r="N304" s="120">
        <v>42.4</v>
      </c>
      <c r="O304" s="120">
        <v>9.548914888507717</v>
      </c>
      <c r="P304" s="123">
        <v>10.326999624174372</v>
      </c>
      <c r="Q304" s="120">
        <v>0.4</v>
      </c>
      <c r="R304" s="120">
        <v>1.0814841000000002</v>
      </c>
      <c r="S304" s="15"/>
      <c r="T304" s="161"/>
      <c r="AA304" s="15"/>
      <c r="AB304" s="15"/>
      <c r="AC304" s="15"/>
      <c r="AD304" s="15"/>
      <c r="AE304" s="15"/>
    </row>
    <row r="305" ht="15.0" customHeight="1">
      <c r="A305" s="134" t="s">
        <v>249</v>
      </c>
      <c r="B305" s="3" t="s">
        <v>278</v>
      </c>
      <c r="C305" s="3" t="s">
        <v>281</v>
      </c>
      <c r="D305" s="3" t="s">
        <v>251</v>
      </c>
      <c r="E305" s="8">
        <v>4.0</v>
      </c>
      <c r="F305" s="168" t="s">
        <v>235</v>
      </c>
      <c r="G305" s="137">
        <v>10.2824345</v>
      </c>
      <c r="H305" s="137">
        <v>0.19136771</v>
      </c>
      <c r="I305" s="137">
        <v>4.23695419</v>
      </c>
      <c r="J305" s="120">
        <f t="shared" si="1"/>
        <v>53.73129302</v>
      </c>
      <c r="K305" s="121"/>
      <c r="L305" s="121">
        <v>-0.546</v>
      </c>
      <c r="M305" s="122"/>
      <c r="N305" s="120">
        <v>41.7</v>
      </c>
      <c r="O305" s="120">
        <v>10.296364981773996</v>
      </c>
      <c r="P305" s="123">
        <v>10.683921704142717</v>
      </c>
      <c r="Q305" s="120">
        <v>1.0</v>
      </c>
      <c r="R305" s="120">
        <v>1.03764015</v>
      </c>
      <c r="S305" s="15"/>
      <c r="T305" s="161"/>
      <c r="AA305" s="15"/>
      <c r="AB305" s="15"/>
      <c r="AC305" s="15"/>
      <c r="AD305" s="15"/>
      <c r="AE305" s="15"/>
    </row>
    <row r="306" ht="15.0" customHeight="1">
      <c r="A306" s="134" t="s">
        <v>249</v>
      </c>
      <c r="B306" s="3" t="s">
        <v>278</v>
      </c>
      <c r="C306" s="3" t="s">
        <v>281</v>
      </c>
      <c r="D306" s="3" t="s">
        <v>251</v>
      </c>
      <c r="E306" s="8">
        <v>5.0</v>
      </c>
      <c r="F306" s="168" t="s">
        <v>235</v>
      </c>
      <c r="G306" s="137">
        <v>14.3230454</v>
      </c>
      <c r="H306" s="137">
        <v>0.20792333</v>
      </c>
      <c r="I306" s="137">
        <v>7.91030615</v>
      </c>
      <c r="J306" s="120">
        <f t="shared" si="1"/>
        <v>68.88618704</v>
      </c>
      <c r="K306" s="121">
        <v>-0.112</v>
      </c>
      <c r="L306" s="121">
        <v>-0.56</v>
      </c>
      <c r="M306" s="122">
        <f>K306-L306</f>
        <v>0.448</v>
      </c>
      <c r="N306" s="120">
        <v>41.4</v>
      </c>
      <c r="O306" s="120">
        <v>17.65693337053571</v>
      </c>
      <c r="P306" s="123">
        <v>21.160091905263386</v>
      </c>
      <c r="Q306" s="120">
        <v>0.6</v>
      </c>
      <c r="R306" s="120">
        <v>1.1984013000000002</v>
      </c>
      <c r="S306" s="15"/>
      <c r="T306" s="161"/>
      <c r="AA306" s="15"/>
      <c r="AB306" s="15"/>
      <c r="AC306" s="15"/>
      <c r="AD306" s="15"/>
      <c r="AE306" s="15"/>
    </row>
    <row r="307" ht="15.0" customHeight="1">
      <c r="A307" s="134" t="s">
        <v>249</v>
      </c>
      <c r="B307" s="3" t="s">
        <v>278</v>
      </c>
      <c r="C307" s="3" t="s">
        <v>281</v>
      </c>
      <c r="D307" s="3" t="s">
        <v>251</v>
      </c>
      <c r="E307" s="8">
        <v>6.0</v>
      </c>
      <c r="F307" s="168" t="s">
        <v>235</v>
      </c>
      <c r="G307" s="137">
        <v>9.9957758</v>
      </c>
      <c r="H307" s="137">
        <v>0.1661272</v>
      </c>
      <c r="I307" s="137">
        <v>4.42023111</v>
      </c>
      <c r="J307" s="120">
        <f t="shared" si="1"/>
        <v>60.16941115</v>
      </c>
      <c r="K307" s="121"/>
      <c r="L307" s="121">
        <v>-0.721</v>
      </c>
      <c r="M307" s="122"/>
      <c r="N307" s="120">
        <v>39.6</v>
      </c>
      <c r="O307" s="120">
        <v>7.536625933503835</v>
      </c>
      <c r="P307" s="123">
        <v>9.031902316324711</v>
      </c>
      <c r="Q307" s="120">
        <v>0.4</v>
      </c>
      <c r="R307" s="120">
        <v>1.1984013000000002</v>
      </c>
      <c r="S307" s="15"/>
      <c r="T307" s="161"/>
      <c r="AA307" s="15"/>
      <c r="AB307" s="15"/>
      <c r="AC307" s="15"/>
      <c r="AD307" s="15"/>
      <c r="AE307" s="15"/>
    </row>
    <row r="308" ht="15.0" customHeight="1">
      <c r="A308" s="134" t="s">
        <v>256</v>
      </c>
      <c r="B308" s="3" t="s">
        <v>282</v>
      </c>
      <c r="C308" s="3" t="s">
        <v>283</v>
      </c>
      <c r="D308" s="135" t="s">
        <v>240</v>
      </c>
      <c r="E308" s="8">
        <v>1.0</v>
      </c>
      <c r="F308" s="168" t="s">
        <v>235</v>
      </c>
      <c r="G308" s="137">
        <v>9.46705259</v>
      </c>
      <c r="H308" s="137">
        <v>0.14757589</v>
      </c>
      <c r="I308" s="137">
        <v>4.23236177</v>
      </c>
      <c r="J308" s="120">
        <f t="shared" si="1"/>
        <v>64.15040146</v>
      </c>
      <c r="K308" s="121">
        <v>-0.195</v>
      </c>
      <c r="L308" s="121">
        <v>-0.63</v>
      </c>
      <c r="M308" s="122">
        <f t="shared" ref="M308:M310" si="6">K308-L308</f>
        <v>0.435</v>
      </c>
      <c r="N308" s="120">
        <v>49.1</v>
      </c>
      <c r="O308" s="120">
        <v>9.729567287356321</v>
      </c>
      <c r="P308" s="123">
        <v>9.384818556706698</v>
      </c>
      <c r="Q308" s="120">
        <v>0.7</v>
      </c>
      <c r="R308" s="120">
        <v>0.9645669000000001</v>
      </c>
      <c r="S308" s="15"/>
      <c r="T308" s="161"/>
      <c r="AA308" s="15"/>
      <c r="AB308" s="15"/>
      <c r="AC308" s="15"/>
      <c r="AD308" s="15"/>
      <c r="AE308" s="15"/>
    </row>
    <row r="309" ht="15.0" customHeight="1">
      <c r="A309" s="134" t="s">
        <v>256</v>
      </c>
      <c r="B309" s="3" t="s">
        <v>282</v>
      </c>
      <c r="C309" s="3" t="s">
        <v>283</v>
      </c>
      <c r="D309" s="135" t="s">
        <v>240</v>
      </c>
      <c r="E309" s="8">
        <v>2.0</v>
      </c>
      <c r="F309" s="168" t="s">
        <v>235</v>
      </c>
      <c r="G309" s="137">
        <v>11.6634601</v>
      </c>
      <c r="H309" s="137">
        <v>0.1929898</v>
      </c>
      <c r="I309" s="137">
        <v>6.66692102</v>
      </c>
      <c r="J309" s="120">
        <f t="shared" si="1"/>
        <v>60.43562976</v>
      </c>
      <c r="K309" s="121">
        <v>-0.159</v>
      </c>
      <c r="L309" s="121">
        <v>-0.703</v>
      </c>
      <c r="M309" s="122">
        <f t="shared" si="6"/>
        <v>0.544</v>
      </c>
      <c r="N309" s="120">
        <v>45.2</v>
      </c>
      <c r="O309" s="120">
        <v>12.255369522058826</v>
      </c>
      <c r="P309" s="123">
        <v>12.000231724432323</v>
      </c>
      <c r="Q309" s="120">
        <v>0.5</v>
      </c>
      <c r="R309" s="120">
        <v>0.9791815500000003</v>
      </c>
      <c r="S309" s="15"/>
      <c r="T309" s="161"/>
      <c r="AA309" s="15"/>
      <c r="AB309" s="15"/>
      <c r="AC309" s="15"/>
      <c r="AD309" s="15"/>
      <c r="AE309" s="15"/>
    </row>
    <row r="310" ht="15.0" customHeight="1">
      <c r="A310" s="134" t="s">
        <v>256</v>
      </c>
      <c r="B310" s="3" t="s">
        <v>282</v>
      </c>
      <c r="C310" s="3" t="s">
        <v>283</v>
      </c>
      <c r="D310" s="135" t="s">
        <v>240</v>
      </c>
      <c r="E310" s="8">
        <v>3.0</v>
      </c>
      <c r="F310" s="168" t="s">
        <v>235</v>
      </c>
      <c r="G310" s="137">
        <v>11.7805238</v>
      </c>
      <c r="H310" s="137">
        <v>0.17793453</v>
      </c>
      <c r="I310" s="137">
        <v>7.03781376</v>
      </c>
      <c r="J310" s="120">
        <f t="shared" si="1"/>
        <v>66.20706953</v>
      </c>
      <c r="K310" s="121">
        <v>-0.22</v>
      </c>
      <c r="L310" s="121">
        <v>-0.642</v>
      </c>
      <c r="M310" s="122">
        <f t="shared" si="6"/>
        <v>0.422</v>
      </c>
      <c r="N310" s="120">
        <v>45.0</v>
      </c>
      <c r="O310" s="120">
        <v>16.677283791469193</v>
      </c>
      <c r="P310" s="123">
        <v>16.817553923846674</v>
      </c>
      <c r="Q310" s="120">
        <v>0.4</v>
      </c>
      <c r="R310" s="120">
        <v>1.0084108500000002</v>
      </c>
      <c r="S310" s="15"/>
      <c r="T310" s="161"/>
      <c r="AA310" s="15"/>
      <c r="AB310" s="15"/>
      <c r="AC310" s="15"/>
      <c r="AD310" s="15"/>
      <c r="AE310" s="15"/>
    </row>
    <row r="311" ht="15.0" customHeight="1">
      <c r="A311" s="134" t="s">
        <v>256</v>
      </c>
      <c r="B311" s="3" t="s">
        <v>282</v>
      </c>
      <c r="C311" s="3" t="s">
        <v>283</v>
      </c>
      <c r="D311" s="135" t="s">
        <v>240</v>
      </c>
      <c r="E311" s="8">
        <v>4.0</v>
      </c>
      <c r="F311" s="168" t="s">
        <v>235</v>
      </c>
      <c r="G311" s="137">
        <v>9.37587635</v>
      </c>
      <c r="H311" s="137">
        <v>0.14803186</v>
      </c>
      <c r="I311" s="137">
        <v>4.17369065</v>
      </c>
      <c r="J311" s="120">
        <f t="shared" si="1"/>
        <v>63.33688133</v>
      </c>
      <c r="K311" s="121"/>
      <c r="L311" s="121">
        <v>-0.51</v>
      </c>
      <c r="M311" s="122"/>
      <c r="N311" s="120">
        <v>41.9</v>
      </c>
      <c r="O311" s="120">
        <v>12.69370635644769</v>
      </c>
      <c r="P311" s="123">
        <v>11.87290083854453</v>
      </c>
      <c r="Q311" s="120">
        <v>0.2</v>
      </c>
      <c r="R311" s="120">
        <v>0.9353376000000002</v>
      </c>
      <c r="S311" s="15"/>
      <c r="T311" s="161"/>
      <c r="AA311" s="15"/>
      <c r="AB311" s="15"/>
      <c r="AC311" s="15"/>
      <c r="AD311" s="15"/>
      <c r="AE311" s="15"/>
    </row>
    <row r="312" ht="15.0" customHeight="1">
      <c r="A312" s="134" t="s">
        <v>256</v>
      </c>
      <c r="B312" s="3" t="s">
        <v>282</v>
      </c>
      <c r="C312" s="3" t="s">
        <v>283</v>
      </c>
      <c r="D312" s="135" t="s">
        <v>240</v>
      </c>
      <c r="E312" s="8">
        <v>5.0</v>
      </c>
      <c r="F312" s="168" t="s">
        <v>235</v>
      </c>
      <c r="G312" s="137">
        <v>13.3526695</v>
      </c>
      <c r="H312" s="137">
        <v>0.18622471</v>
      </c>
      <c r="I312" s="137">
        <v>7.66241428</v>
      </c>
      <c r="J312" s="120">
        <f t="shared" si="1"/>
        <v>71.7019213</v>
      </c>
      <c r="K312" s="121">
        <v>-0.151</v>
      </c>
      <c r="L312" s="121">
        <v>-0.71</v>
      </c>
      <c r="M312" s="122">
        <f>K312-L312</f>
        <v>0.559</v>
      </c>
      <c r="N312" s="120">
        <v>47.4</v>
      </c>
      <c r="O312" s="120">
        <v>13.707360071556351</v>
      </c>
      <c r="P312" s="123">
        <v>14.022978890883978</v>
      </c>
      <c r="Q312" s="120">
        <v>0.3</v>
      </c>
      <c r="R312" s="120">
        <v>1.0230255000000004</v>
      </c>
      <c r="S312" s="15"/>
      <c r="T312" s="161"/>
      <c r="AA312" s="15"/>
      <c r="AB312" s="15"/>
      <c r="AC312" s="15"/>
      <c r="AD312" s="15"/>
      <c r="AE312" s="15"/>
    </row>
    <row r="313" ht="15.0" customHeight="1">
      <c r="A313" s="134" t="s">
        <v>256</v>
      </c>
      <c r="B313" s="3" t="s">
        <v>282</v>
      </c>
      <c r="C313" s="3" t="s">
        <v>283</v>
      </c>
      <c r="D313" s="135" t="s">
        <v>240</v>
      </c>
      <c r="E313" s="8">
        <v>6.0</v>
      </c>
      <c r="F313" s="168" t="s">
        <v>235</v>
      </c>
      <c r="G313" s="137">
        <v>10.8456303</v>
      </c>
      <c r="H313" s="137">
        <v>0.18414723</v>
      </c>
      <c r="I313" s="137">
        <v>4.98743059</v>
      </c>
      <c r="J313" s="120">
        <f t="shared" si="1"/>
        <v>58.89651612</v>
      </c>
      <c r="K313" s="121"/>
      <c r="L313" s="121">
        <v>-0.551</v>
      </c>
      <c r="M313" s="122"/>
      <c r="N313" s="120">
        <v>48.9</v>
      </c>
      <c r="O313" s="120">
        <v>13.486832314764737</v>
      </c>
      <c r="P313" s="123">
        <v>14.585794707784261</v>
      </c>
      <c r="Q313" s="120">
        <v>0.9</v>
      </c>
      <c r="R313" s="120">
        <v>1.0814841000000002</v>
      </c>
      <c r="S313" s="15"/>
      <c r="T313" s="161"/>
      <c r="AA313" s="15"/>
      <c r="AB313" s="15"/>
      <c r="AC313" s="15"/>
      <c r="AD313" s="15"/>
      <c r="AE313" s="15"/>
    </row>
    <row r="314" ht="15.0" customHeight="1">
      <c r="A314" s="134" t="s">
        <v>249</v>
      </c>
      <c r="B314" s="3" t="s">
        <v>282</v>
      </c>
      <c r="C314" s="3" t="s">
        <v>284</v>
      </c>
      <c r="D314" s="3" t="s">
        <v>251</v>
      </c>
      <c r="E314" s="8">
        <v>1.0</v>
      </c>
      <c r="F314" s="168" t="s">
        <v>235</v>
      </c>
      <c r="G314" s="137">
        <v>14.8483911</v>
      </c>
      <c r="H314" s="137">
        <v>0.26684942</v>
      </c>
      <c r="I314" s="137">
        <v>6.41604631</v>
      </c>
      <c r="J314" s="120">
        <f t="shared" si="1"/>
        <v>55.64333286</v>
      </c>
      <c r="K314" s="121">
        <v>-0.187</v>
      </c>
      <c r="L314" s="121">
        <v>-0.62</v>
      </c>
      <c r="M314" s="122">
        <f t="shared" ref="M314:M316" si="7">K314-L314</f>
        <v>0.433</v>
      </c>
      <c r="N314" s="120">
        <v>48.3</v>
      </c>
      <c r="O314" s="120">
        <v>14.817658914549654</v>
      </c>
      <c r="P314" s="123">
        <v>16.891282110730806</v>
      </c>
      <c r="Q314" s="120">
        <v>0.7</v>
      </c>
      <c r="R314" s="120">
        <v>1.1399427000000004</v>
      </c>
      <c r="S314" s="15"/>
      <c r="T314" s="161"/>
      <c r="AA314" s="15"/>
      <c r="AB314" s="15"/>
      <c r="AC314" s="15"/>
      <c r="AD314" s="15"/>
      <c r="AE314" s="15"/>
    </row>
    <row r="315" ht="15.0" customHeight="1">
      <c r="A315" s="134" t="s">
        <v>249</v>
      </c>
      <c r="B315" s="3" t="s">
        <v>282</v>
      </c>
      <c r="C315" s="3" t="s">
        <v>284</v>
      </c>
      <c r="D315" s="3" t="s">
        <v>251</v>
      </c>
      <c r="E315" s="8">
        <v>2.0</v>
      </c>
      <c r="F315" s="168" t="s">
        <v>235</v>
      </c>
      <c r="G315" s="137">
        <v>11.6163766</v>
      </c>
      <c r="H315" s="137">
        <v>0.18095774</v>
      </c>
      <c r="I315" s="137">
        <v>6.18239631</v>
      </c>
      <c r="J315" s="120">
        <f t="shared" si="1"/>
        <v>64.19386427</v>
      </c>
      <c r="K315" s="121">
        <v>-0.0094</v>
      </c>
      <c r="L315" s="121">
        <v>-0.674</v>
      </c>
      <c r="M315" s="122">
        <f t="shared" si="7"/>
        <v>0.6646</v>
      </c>
      <c r="N315" s="120">
        <v>44.7</v>
      </c>
      <c r="O315" s="120">
        <v>9.30243200421306</v>
      </c>
      <c r="P315" s="123">
        <v>8.972818000764578</v>
      </c>
      <c r="Q315" s="120">
        <v>0.3</v>
      </c>
      <c r="R315" s="120">
        <v>0.9645669000000001</v>
      </c>
      <c r="S315" s="15"/>
      <c r="T315" s="161"/>
      <c r="AA315" s="15"/>
      <c r="AB315" s="15"/>
      <c r="AC315" s="15"/>
      <c r="AD315" s="15"/>
      <c r="AE315" s="15"/>
    </row>
    <row r="316" ht="15.0" customHeight="1">
      <c r="A316" s="134" t="s">
        <v>249</v>
      </c>
      <c r="B316" s="3" t="s">
        <v>282</v>
      </c>
      <c r="C316" s="3" t="s">
        <v>284</v>
      </c>
      <c r="D316" s="3" t="s">
        <v>251</v>
      </c>
      <c r="E316" s="8">
        <v>3.0</v>
      </c>
      <c r="F316" s="168" t="s">
        <v>235</v>
      </c>
      <c r="G316" s="137">
        <v>13.2807943</v>
      </c>
      <c r="H316" s="137">
        <v>0.19845169</v>
      </c>
      <c r="I316" s="137">
        <v>7.42509408</v>
      </c>
      <c r="J316" s="120">
        <f t="shared" si="1"/>
        <v>66.92205191</v>
      </c>
      <c r="K316" s="121">
        <v>-0.17</v>
      </c>
      <c r="L316" s="121">
        <v>-0.653</v>
      </c>
      <c r="M316" s="122">
        <f t="shared" si="7"/>
        <v>0.483</v>
      </c>
      <c r="N316" s="120">
        <v>48.4</v>
      </c>
      <c r="O316" s="120">
        <v>15.372865590062112</v>
      </c>
      <c r="P316" s="123">
        <v>19.32153830823891</v>
      </c>
      <c r="Q316" s="120">
        <v>0.7</v>
      </c>
      <c r="R316" s="120">
        <v>1.2568599000000003</v>
      </c>
      <c r="S316" s="15"/>
      <c r="T316" s="161"/>
      <c r="AA316" s="15"/>
      <c r="AB316" s="15"/>
      <c r="AC316" s="15"/>
      <c r="AD316" s="15"/>
      <c r="AE316" s="15"/>
    </row>
    <row r="317" ht="15.0" customHeight="1">
      <c r="A317" s="134" t="s">
        <v>249</v>
      </c>
      <c r="B317" s="3" t="s">
        <v>282</v>
      </c>
      <c r="C317" s="3" t="s">
        <v>284</v>
      </c>
      <c r="D317" s="3" t="s">
        <v>251</v>
      </c>
      <c r="E317" s="8">
        <v>4.0</v>
      </c>
      <c r="F317" s="168" t="s">
        <v>235</v>
      </c>
      <c r="G317" s="137">
        <v>10.9276665</v>
      </c>
      <c r="H317" s="137">
        <v>0.15949</v>
      </c>
      <c r="I317" s="137">
        <v>4.11155202</v>
      </c>
      <c r="J317" s="120">
        <f t="shared" si="1"/>
        <v>68.51631137</v>
      </c>
      <c r="K317" s="121"/>
      <c r="L317" s="121">
        <v>-0.622</v>
      </c>
      <c r="M317" s="122"/>
      <c r="N317" s="120">
        <v>38.1</v>
      </c>
      <c r="O317" s="120">
        <v>7.751794909502263</v>
      </c>
      <c r="P317" s="123">
        <v>8.72331224951011</v>
      </c>
      <c r="Q317" s="120">
        <v>0.9</v>
      </c>
      <c r="R317" s="120">
        <v>1.1253280500000002</v>
      </c>
      <c r="S317" s="15"/>
      <c r="T317" s="161"/>
      <c r="AA317" s="15"/>
      <c r="AB317" s="15"/>
      <c r="AC317" s="15"/>
      <c r="AD317" s="15"/>
      <c r="AE317" s="15"/>
    </row>
    <row r="318" ht="15.0" customHeight="1">
      <c r="A318" s="134" t="s">
        <v>249</v>
      </c>
      <c r="B318" s="3" t="s">
        <v>282</v>
      </c>
      <c r="C318" s="3" t="s">
        <v>284</v>
      </c>
      <c r="D318" s="3" t="s">
        <v>251</v>
      </c>
      <c r="E318" s="8">
        <v>5.0</v>
      </c>
      <c r="F318" s="168" t="s">
        <v>235</v>
      </c>
      <c r="G318" s="137">
        <v>10.6111089</v>
      </c>
      <c r="H318" s="137">
        <v>0.18559854</v>
      </c>
      <c r="I318" s="137">
        <v>7.39387296</v>
      </c>
      <c r="J318" s="120">
        <f t="shared" si="1"/>
        <v>57.17237269</v>
      </c>
      <c r="K318" s="121">
        <v>-0.165</v>
      </c>
      <c r="L318" s="121">
        <v>-0.522</v>
      </c>
      <c r="M318" s="122">
        <f>K318-L318</f>
        <v>0.357</v>
      </c>
      <c r="N318" s="120">
        <v>44.2</v>
      </c>
      <c r="O318" s="120">
        <v>20.711128739495802</v>
      </c>
      <c r="P318" s="123">
        <v>22.70144232245043</v>
      </c>
      <c r="Q318" s="120">
        <v>0.9</v>
      </c>
      <c r="R318" s="120">
        <v>1.0960987500000003</v>
      </c>
      <c r="S318" s="15"/>
      <c r="T318" s="161"/>
      <c r="AA318" s="15"/>
      <c r="AB318" s="15"/>
      <c r="AC318" s="15"/>
      <c r="AD318" s="15"/>
      <c r="AE318" s="15"/>
    </row>
    <row r="319" ht="15.0" customHeight="1">
      <c r="A319" s="134" t="s">
        <v>249</v>
      </c>
      <c r="B319" s="3" t="s">
        <v>282</v>
      </c>
      <c r="C319" s="3" t="s">
        <v>284</v>
      </c>
      <c r="D319" s="3" t="s">
        <v>251</v>
      </c>
      <c r="E319" s="8">
        <v>6.0</v>
      </c>
      <c r="F319" s="168" t="s">
        <v>235</v>
      </c>
      <c r="G319" s="137">
        <v>16.9747784</v>
      </c>
      <c r="H319" s="137">
        <v>0.26213945</v>
      </c>
      <c r="I319" s="137">
        <v>6.33234206</v>
      </c>
      <c r="J319" s="120">
        <f t="shared" si="1"/>
        <v>64.75476469</v>
      </c>
      <c r="K319" s="121"/>
      <c r="L319" s="121">
        <v>-0.68</v>
      </c>
      <c r="M319" s="122"/>
      <c r="N319" s="120">
        <v>41.2</v>
      </c>
      <c r="O319" s="120">
        <v>10.761968150917744</v>
      </c>
      <c r="P319" s="123">
        <v>13.21172141829204</v>
      </c>
      <c r="Q319" s="120">
        <v>0.4</v>
      </c>
      <c r="R319" s="120">
        <v>1.2276306000000001</v>
      </c>
      <c r="S319" s="15"/>
      <c r="T319" s="161"/>
      <c r="AA319" s="15"/>
      <c r="AB319" s="15"/>
      <c r="AC319" s="15"/>
      <c r="AD319" s="15"/>
      <c r="AE319" s="15"/>
    </row>
    <row r="320" ht="15.0" customHeight="1">
      <c r="A320" s="134" t="s">
        <v>256</v>
      </c>
      <c r="B320" s="3" t="s">
        <v>278</v>
      </c>
      <c r="C320" s="3" t="s">
        <v>285</v>
      </c>
      <c r="D320" s="135" t="s">
        <v>240</v>
      </c>
      <c r="E320" s="8">
        <v>1.0</v>
      </c>
      <c r="F320" s="168" t="s">
        <v>235</v>
      </c>
      <c r="G320" s="137">
        <v>13.3425853</v>
      </c>
      <c r="H320" s="137">
        <v>0.19043164</v>
      </c>
      <c r="I320" s="137">
        <v>5.75035241</v>
      </c>
      <c r="J320" s="120">
        <f t="shared" si="1"/>
        <v>70.06496032</v>
      </c>
      <c r="K320" s="121">
        <v>-0.12</v>
      </c>
      <c r="L320" s="121">
        <v>-0.57</v>
      </c>
      <c r="M320" s="122">
        <f t="shared" ref="M320:M322" si="8">K320-L320</f>
        <v>0.45</v>
      </c>
      <c r="N320" s="120">
        <v>36.3</v>
      </c>
      <c r="O320" s="120">
        <v>12.77856091111111</v>
      </c>
      <c r="P320" s="123">
        <v>13.259547860589473</v>
      </c>
      <c r="Q320" s="120">
        <v>0.9</v>
      </c>
      <c r="R320" s="120">
        <v>1.03764015</v>
      </c>
      <c r="S320" s="15"/>
      <c r="T320" s="161"/>
      <c r="AA320" s="15"/>
      <c r="AB320" s="15"/>
      <c r="AC320" s="15"/>
      <c r="AD320" s="15"/>
      <c r="AE320" s="15"/>
    </row>
    <row r="321" ht="15.0" customHeight="1">
      <c r="A321" s="134" t="s">
        <v>256</v>
      </c>
      <c r="B321" s="3" t="s">
        <v>278</v>
      </c>
      <c r="C321" s="3" t="s">
        <v>285</v>
      </c>
      <c r="D321" s="135" t="s">
        <v>240</v>
      </c>
      <c r="E321" s="8">
        <v>2.0</v>
      </c>
      <c r="F321" s="168" t="s">
        <v>235</v>
      </c>
      <c r="G321" s="137">
        <v>10.7291814</v>
      </c>
      <c r="H321" s="137">
        <v>0.15443055</v>
      </c>
      <c r="I321" s="137">
        <v>5.68505166</v>
      </c>
      <c r="J321" s="120">
        <f t="shared" si="1"/>
        <v>69.47577018</v>
      </c>
      <c r="K321" s="121">
        <v>-0.201</v>
      </c>
      <c r="L321" s="121">
        <v>-0.64</v>
      </c>
      <c r="M321" s="122">
        <f t="shared" si="8"/>
        <v>0.439</v>
      </c>
      <c r="N321" s="120">
        <v>35.2</v>
      </c>
      <c r="O321" s="120">
        <v>12.950003781321184</v>
      </c>
      <c r="P321" s="123">
        <v>14.573002502726798</v>
      </c>
      <c r="Q321" s="120">
        <v>0.6</v>
      </c>
      <c r="R321" s="120">
        <v>1.1253280500000002</v>
      </c>
      <c r="S321" s="15"/>
      <c r="T321" s="161"/>
      <c r="AA321" s="15"/>
      <c r="AB321" s="15"/>
      <c r="AC321" s="15"/>
      <c r="AD321" s="15"/>
      <c r="AE321" s="15"/>
    </row>
    <row r="322" ht="15.0" customHeight="1">
      <c r="A322" s="134" t="s">
        <v>256</v>
      </c>
      <c r="B322" s="3" t="s">
        <v>278</v>
      </c>
      <c r="C322" s="3" t="s">
        <v>285</v>
      </c>
      <c r="D322" s="135" t="s">
        <v>240</v>
      </c>
      <c r="E322" s="8">
        <v>3.0</v>
      </c>
      <c r="F322" s="168" t="s">
        <v>235</v>
      </c>
      <c r="G322" s="137">
        <v>15.0110647</v>
      </c>
      <c r="H322" s="137">
        <v>0.21616394</v>
      </c>
      <c r="I322" s="137">
        <v>8.16819112</v>
      </c>
      <c r="J322" s="120">
        <f t="shared" si="1"/>
        <v>69.44296398</v>
      </c>
      <c r="K322" s="121">
        <v>-0.134</v>
      </c>
      <c r="L322" s="121">
        <v>-0.666</v>
      </c>
      <c r="M322" s="122">
        <f t="shared" si="8"/>
        <v>0.532</v>
      </c>
      <c r="N322" s="120">
        <v>40.0</v>
      </c>
      <c r="O322" s="120">
        <v>15.353742706766916</v>
      </c>
      <c r="P322" s="123">
        <v>15.931659885311031</v>
      </c>
      <c r="Q322" s="120">
        <v>0.5</v>
      </c>
      <c r="R322" s="120">
        <v>1.03764015</v>
      </c>
      <c r="S322" s="15"/>
      <c r="T322" s="161"/>
      <c r="AA322" s="15"/>
      <c r="AB322" s="15"/>
      <c r="AC322" s="15"/>
      <c r="AD322" s="15"/>
      <c r="AE322" s="15"/>
    </row>
    <row r="323" ht="15.0" customHeight="1">
      <c r="A323" s="134" t="s">
        <v>256</v>
      </c>
      <c r="B323" s="3" t="s">
        <v>278</v>
      </c>
      <c r="C323" s="3" t="s">
        <v>285</v>
      </c>
      <c r="D323" s="135" t="s">
        <v>240</v>
      </c>
      <c r="E323" s="8">
        <v>4.0</v>
      </c>
      <c r="F323" s="168" t="s">
        <v>235</v>
      </c>
      <c r="G323" s="137">
        <v>10.0508278</v>
      </c>
      <c r="H323" s="137">
        <v>0.14986621</v>
      </c>
      <c r="I323" s="137">
        <v>4.01230981</v>
      </c>
      <c r="J323" s="120">
        <f t="shared" si="1"/>
        <v>67.06533648</v>
      </c>
      <c r="K323" s="121"/>
      <c r="L323" s="121">
        <v>-0.658</v>
      </c>
      <c r="M323" s="122"/>
      <c r="N323" s="120">
        <v>40.3</v>
      </c>
      <c r="O323" s="120">
        <v>8.077120905888272</v>
      </c>
      <c r="P323" s="123">
        <v>7.6728791780706045</v>
      </c>
      <c r="Q323" s="120">
        <v>0.4</v>
      </c>
      <c r="R323" s="120">
        <v>0.9499522500000003</v>
      </c>
      <c r="S323" s="15"/>
      <c r="T323" s="161"/>
      <c r="AA323" s="15"/>
      <c r="AB323" s="15"/>
      <c r="AC323" s="15"/>
      <c r="AD323" s="15"/>
      <c r="AE323" s="15"/>
    </row>
    <row r="324" ht="15.0" customHeight="1">
      <c r="A324" s="134" t="s">
        <v>256</v>
      </c>
      <c r="B324" s="3" t="s">
        <v>278</v>
      </c>
      <c r="C324" s="3" t="s">
        <v>285</v>
      </c>
      <c r="D324" s="135" t="s">
        <v>240</v>
      </c>
      <c r="E324" s="8">
        <v>5.0</v>
      </c>
      <c r="F324" s="168" t="s">
        <v>235</v>
      </c>
      <c r="G324" s="137">
        <v>15.3246773</v>
      </c>
      <c r="H324" s="137">
        <v>0.22740033</v>
      </c>
      <c r="I324" s="137">
        <v>8.39412337</v>
      </c>
      <c r="J324" s="120">
        <f t="shared" si="1"/>
        <v>67.39074345</v>
      </c>
      <c r="K324" s="121">
        <v>-0.19</v>
      </c>
      <c r="L324" s="121">
        <v>-0.637</v>
      </c>
      <c r="M324" s="122">
        <f>K324-L324</f>
        <v>0.447</v>
      </c>
      <c r="N324" s="120">
        <v>46.1</v>
      </c>
      <c r="O324" s="120">
        <v>18.778799485458613</v>
      </c>
      <c r="P324" s="123">
        <v>18.387853987310574</v>
      </c>
      <c r="Q324" s="120">
        <v>0.0</v>
      </c>
      <c r="R324" s="120">
        <v>0.9791815500000003</v>
      </c>
      <c r="S324" s="15"/>
      <c r="T324" s="161"/>
      <c r="AA324" s="15"/>
      <c r="AB324" s="15"/>
      <c r="AC324" s="15"/>
      <c r="AD324" s="15"/>
      <c r="AE324" s="15"/>
    </row>
    <row r="325" ht="15.0" customHeight="1">
      <c r="A325" s="134" t="s">
        <v>256</v>
      </c>
      <c r="B325" s="3" t="s">
        <v>278</v>
      </c>
      <c r="C325" s="3" t="s">
        <v>285</v>
      </c>
      <c r="D325" s="135" t="s">
        <v>240</v>
      </c>
      <c r="E325" s="8">
        <v>6.0</v>
      </c>
      <c r="F325" s="168" t="s">
        <v>235</v>
      </c>
      <c r="G325" s="137">
        <v>13.5032143</v>
      </c>
      <c r="H325" s="137">
        <v>0.20159196</v>
      </c>
      <c r="I325" s="137">
        <v>5.61229126</v>
      </c>
      <c r="J325" s="120">
        <f t="shared" si="1"/>
        <v>66.982901</v>
      </c>
      <c r="K325" s="121"/>
      <c r="L325" s="121">
        <v>-0.653</v>
      </c>
      <c r="M325" s="122"/>
      <c r="N325" s="120">
        <v>46.2</v>
      </c>
      <c r="O325" s="120">
        <v>11.412895292323334</v>
      </c>
      <c r="P325" s="123">
        <v>13.176842144532307</v>
      </c>
      <c r="Q325" s="120">
        <v>0.2</v>
      </c>
      <c r="R325" s="120">
        <v>1.1545573500000001</v>
      </c>
      <c r="S325" s="15"/>
      <c r="T325" s="161"/>
      <c r="AA325" s="15"/>
      <c r="AB325" s="15"/>
      <c r="AC325" s="15"/>
      <c r="AD325" s="15"/>
      <c r="AE325" s="15"/>
    </row>
    <row r="326" ht="15.0" customHeight="1">
      <c r="A326" s="134" t="s">
        <v>244</v>
      </c>
      <c r="B326" s="3" t="s">
        <v>282</v>
      </c>
      <c r="C326" s="3" t="s">
        <v>286</v>
      </c>
      <c r="D326" s="3" t="s">
        <v>251</v>
      </c>
      <c r="E326" s="8">
        <v>1.0</v>
      </c>
      <c r="F326" s="168" t="s">
        <v>235</v>
      </c>
      <c r="G326" s="137">
        <v>11.737031</v>
      </c>
      <c r="H326" s="137">
        <v>0.20585549</v>
      </c>
      <c r="I326" s="137">
        <v>6.09004534</v>
      </c>
      <c r="J326" s="120">
        <f t="shared" si="1"/>
        <v>57.01587555</v>
      </c>
      <c r="K326" s="121">
        <v>-0.17</v>
      </c>
      <c r="L326" s="121">
        <v>-0.642</v>
      </c>
      <c r="M326" s="122">
        <f t="shared" ref="M326:M328" si="9">K326-L326</f>
        <v>0.472</v>
      </c>
      <c r="N326" s="120">
        <v>49.9</v>
      </c>
      <c r="O326" s="120">
        <v>12.90263843220339</v>
      </c>
      <c r="P326" s="123">
        <v>15.462538670582507</v>
      </c>
      <c r="Q326" s="120">
        <v>0.6</v>
      </c>
      <c r="R326" s="120">
        <v>1.1984013000000002</v>
      </c>
      <c r="S326" s="15"/>
      <c r="T326" s="161"/>
      <c r="AA326" s="15"/>
      <c r="AB326" s="15"/>
      <c r="AC326" s="15"/>
      <c r="AD326" s="15"/>
      <c r="AE326" s="15"/>
    </row>
    <row r="327" ht="15.0" customHeight="1">
      <c r="A327" s="134" t="s">
        <v>244</v>
      </c>
      <c r="B327" s="3" t="s">
        <v>282</v>
      </c>
      <c r="C327" s="3" t="s">
        <v>286</v>
      </c>
      <c r="D327" s="3" t="s">
        <v>251</v>
      </c>
      <c r="E327" s="8">
        <v>2.0</v>
      </c>
      <c r="F327" s="168" t="s">
        <v>235</v>
      </c>
      <c r="G327" s="137">
        <v>10.4355313</v>
      </c>
      <c r="H327" s="137">
        <v>0.23157728</v>
      </c>
      <c r="I327" s="137">
        <v>6.79015311</v>
      </c>
      <c r="J327" s="120">
        <f t="shared" si="1"/>
        <v>45.06284598</v>
      </c>
      <c r="K327" s="121">
        <v>-0.135</v>
      </c>
      <c r="L327" s="121">
        <v>-0.641</v>
      </c>
      <c r="M327" s="122">
        <f t="shared" si="9"/>
        <v>0.506</v>
      </c>
      <c r="N327" s="120">
        <v>42.4</v>
      </c>
      <c r="O327" s="120">
        <v>13.419274920948617</v>
      </c>
      <c r="P327" s="123">
        <v>13.139906416970598</v>
      </c>
      <c r="Q327" s="120">
        <v>0.8</v>
      </c>
      <c r="R327" s="120">
        <v>0.9791815500000003</v>
      </c>
      <c r="S327" s="15"/>
      <c r="T327" s="161"/>
      <c r="AA327" s="15"/>
      <c r="AB327" s="15"/>
      <c r="AC327" s="15"/>
      <c r="AD327" s="15"/>
      <c r="AE327" s="15"/>
    </row>
    <row r="328" ht="15.0" customHeight="1">
      <c r="A328" s="134" t="s">
        <v>244</v>
      </c>
      <c r="B328" s="3" t="s">
        <v>282</v>
      </c>
      <c r="C328" s="3" t="s">
        <v>286</v>
      </c>
      <c r="D328" s="3" t="s">
        <v>251</v>
      </c>
      <c r="E328" s="8">
        <v>3.0</v>
      </c>
      <c r="F328" s="168" t="s">
        <v>235</v>
      </c>
      <c r="G328" s="137">
        <v>10.3936705</v>
      </c>
      <c r="H328" s="137">
        <v>0.1127696</v>
      </c>
      <c r="I328" s="137">
        <v>5.00388488</v>
      </c>
      <c r="J328" s="120">
        <f t="shared" si="1"/>
        <v>92.16730839</v>
      </c>
      <c r="K328" s="121">
        <v>-0.168</v>
      </c>
      <c r="L328" s="121">
        <v>-0.613</v>
      </c>
      <c r="M328" s="122">
        <f t="shared" si="9"/>
        <v>0.445</v>
      </c>
      <c r="N328" s="120">
        <v>49.6</v>
      </c>
      <c r="O328" s="120">
        <v>11.244685123595508</v>
      </c>
      <c r="P328" s="123">
        <v>13.804319545090628</v>
      </c>
      <c r="Q328" s="120">
        <v>0.6</v>
      </c>
      <c r="R328" s="120">
        <v>1.2276306000000001</v>
      </c>
      <c r="S328" s="15"/>
      <c r="T328" s="161"/>
      <c r="AA328" s="15"/>
      <c r="AB328" s="15"/>
      <c r="AC328" s="15"/>
      <c r="AD328" s="15"/>
      <c r="AE328" s="15"/>
    </row>
    <row r="329" ht="15.0" customHeight="1">
      <c r="A329" s="134" t="s">
        <v>244</v>
      </c>
      <c r="B329" s="3" t="s">
        <v>282</v>
      </c>
      <c r="C329" s="3" t="s">
        <v>286</v>
      </c>
      <c r="D329" s="3" t="s">
        <v>251</v>
      </c>
      <c r="E329" s="8">
        <v>4.0</v>
      </c>
      <c r="F329" s="168" t="s">
        <v>235</v>
      </c>
      <c r="G329" s="137">
        <v>13.983536</v>
      </c>
      <c r="H329" s="137">
        <v>0.21734176</v>
      </c>
      <c r="I329" s="137">
        <v>5.29054857</v>
      </c>
      <c r="J329" s="120">
        <f t="shared" si="1"/>
        <v>64.3389287</v>
      </c>
      <c r="K329" s="121"/>
      <c r="L329" s="121">
        <v>-0.604</v>
      </c>
      <c r="M329" s="122"/>
      <c r="N329" s="120">
        <v>47.3</v>
      </c>
      <c r="O329" s="120">
        <v>11.827741046277668</v>
      </c>
      <c r="P329" s="123">
        <v>13.655805358876574</v>
      </c>
      <c r="Q329" s="120">
        <v>0.5</v>
      </c>
      <c r="R329" s="120">
        <v>1.1545573500000001</v>
      </c>
      <c r="S329" s="15"/>
      <c r="T329" s="161"/>
      <c r="AA329" s="15"/>
      <c r="AB329" s="15"/>
      <c r="AC329" s="15"/>
      <c r="AD329" s="15"/>
      <c r="AE329" s="15"/>
    </row>
    <row r="330" ht="15.0" customHeight="1">
      <c r="A330" s="134" t="s">
        <v>244</v>
      </c>
      <c r="B330" s="3" t="s">
        <v>282</v>
      </c>
      <c r="C330" s="3" t="s">
        <v>286</v>
      </c>
      <c r="D330" s="3" t="s">
        <v>251</v>
      </c>
      <c r="E330" s="8">
        <v>5.0</v>
      </c>
      <c r="F330" s="168" t="s">
        <v>235</v>
      </c>
      <c r="G330" s="137">
        <v>10.7819183</v>
      </c>
      <c r="H330" s="137">
        <v>0.1753482</v>
      </c>
      <c r="I330" s="137">
        <v>6.76368138</v>
      </c>
      <c r="J330" s="120">
        <f t="shared" si="1"/>
        <v>61.48861693</v>
      </c>
      <c r="K330" s="121">
        <v>-0.154</v>
      </c>
      <c r="L330" s="121">
        <v>-0.702</v>
      </c>
      <c r="M330" s="122">
        <f>K330-L330</f>
        <v>0.548</v>
      </c>
      <c r="N330" s="120">
        <v>41.5</v>
      </c>
      <c r="O330" s="120">
        <v>12.342484270072996</v>
      </c>
      <c r="P330" s="123">
        <v>11.905151790683073</v>
      </c>
      <c r="Q330" s="120">
        <v>0.4</v>
      </c>
      <c r="R330" s="120">
        <v>0.9645669000000001</v>
      </c>
      <c r="S330" s="15"/>
      <c r="T330" s="161"/>
      <c r="AA330" s="15"/>
      <c r="AB330" s="15"/>
      <c r="AC330" s="15"/>
      <c r="AD330" s="15"/>
      <c r="AE330" s="15"/>
    </row>
    <row r="331" ht="15.0" customHeight="1">
      <c r="A331" s="134" t="s">
        <v>244</v>
      </c>
      <c r="B331" s="3" t="s">
        <v>282</v>
      </c>
      <c r="C331" s="3" t="s">
        <v>286</v>
      </c>
      <c r="D331" s="3" t="s">
        <v>251</v>
      </c>
      <c r="E331" s="8">
        <v>6.0</v>
      </c>
      <c r="F331" s="168" t="s">
        <v>235</v>
      </c>
      <c r="G331" s="137">
        <v>12.537203</v>
      </c>
      <c r="H331" s="137">
        <v>0.17720199</v>
      </c>
      <c r="I331" s="137">
        <v>5.18749733</v>
      </c>
      <c r="J331" s="120">
        <f t="shared" si="1"/>
        <v>70.75091538</v>
      </c>
      <c r="K331" s="121"/>
      <c r="L331" s="121">
        <v>-0.76</v>
      </c>
      <c r="M331" s="122"/>
      <c r="N331" s="120">
        <v>42.3</v>
      </c>
      <c r="O331" s="120">
        <v>8.59853693021714</v>
      </c>
      <c r="P331" s="123">
        <v>9.424845581039847</v>
      </c>
      <c r="Q331" s="120">
        <v>0.7</v>
      </c>
      <c r="R331" s="120">
        <v>1.0960987500000003</v>
      </c>
      <c r="S331" s="15"/>
      <c r="T331" s="161"/>
      <c r="AA331" s="15"/>
      <c r="AB331" s="15"/>
      <c r="AC331" s="15"/>
      <c r="AD331" s="15"/>
      <c r="AE331" s="15"/>
    </row>
    <row r="332" ht="15.0" customHeight="1">
      <c r="A332" s="134" t="s">
        <v>256</v>
      </c>
      <c r="B332" s="3" t="s">
        <v>278</v>
      </c>
      <c r="C332" s="3" t="s">
        <v>285</v>
      </c>
      <c r="D332" s="3" t="s">
        <v>251</v>
      </c>
      <c r="E332" s="8">
        <v>1.0</v>
      </c>
      <c r="F332" s="168" t="s">
        <v>235</v>
      </c>
      <c r="G332" s="137">
        <v>10.4828094</v>
      </c>
      <c r="H332" s="137">
        <v>0.19219754</v>
      </c>
      <c r="I332" s="137">
        <v>5.95173091</v>
      </c>
      <c r="J332" s="120">
        <f t="shared" si="1"/>
        <v>54.54185002</v>
      </c>
      <c r="K332" s="121">
        <v>-0.117</v>
      </c>
      <c r="L332" s="121">
        <v>-0.524</v>
      </c>
      <c r="M332" s="122">
        <f t="shared" ref="M332:M334" si="10">K332-L332</f>
        <v>0.407</v>
      </c>
      <c r="N332" s="120">
        <v>46.6</v>
      </c>
      <c r="O332" s="120">
        <v>14.62341746928747</v>
      </c>
      <c r="P332" s="123">
        <v>16.456141865049204</v>
      </c>
      <c r="Q332" s="120">
        <v>0.7</v>
      </c>
      <c r="R332" s="120">
        <v>1.1253280500000002</v>
      </c>
      <c r="S332" s="15"/>
      <c r="T332" s="161"/>
      <c r="AA332" s="15"/>
      <c r="AB332" s="15"/>
      <c r="AC332" s="15"/>
      <c r="AD332" s="15"/>
      <c r="AE332" s="15"/>
    </row>
    <row r="333" ht="15.0" customHeight="1">
      <c r="A333" s="134" t="s">
        <v>256</v>
      </c>
      <c r="B333" s="3" t="s">
        <v>278</v>
      </c>
      <c r="C333" s="3" t="s">
        <v>285</v>
      </c>
      <c r="D333" s="3" t="s">
        <v>251</v>
      </c>
      <c r="E333" s="8">
        <v>2.0</v>
      </c>
      <c r="F333" s="168" t="s">
        <v>235</v>
      </c>
      <c r="G333" s="137">
        <v>7.34044579</v>
      </c>
      <c r="H333" s="137">
        <v>0.12366937</v>
      </c>
      <c r="I333" s="137">
        <v>5.29472088</v>
      </c>
      <c r="J333" s="120">
        <f t="shared" si="1"/>
        <v>59.355407</v>
      </c>
      <c r="K333" s="121">
        <v>-0.107</v>
      </c>
      <c r="L333" s="121">
        <v>-0.687</v>
      </c>
      <c r="M333" s="122">
        <f t="shared" si="10"/>
        <v>0.58</v>
      </c>
      <c r="N333" s="120">
        <v>45.0</v>
      </c>
      <c r="O333" s="120">
        <v>9.128829103448275</v>
      </c>
      <c r="P333" s="123">
        <v>9.072195673456305</v>
      </c>
      <c r="Q333" s="120">
        <v>0.2</v>
      </c>
      <c r="R333" s="120">
        <v>0.9937962000000001</v>
      </c>
      <c r="S333" s="15"/>
      <c r="T333" s="161"/>
      <c r="AA333" s="15"/>
      <c r="AB333" s="15"/>
      <c r="AC333" s="15"/>
      <c r="AD333" s="15"/>
      <c r="AE333" s="15"/>
    </row>
    <row r="334" ht="15.0" customHeight="1">
      <c r="A334" s="134" t="s">
        <v>256</v>
      </c>
      <c r="B334" s="3" t="s">
        <v>278</v>
      </c>
      <c r="C334" s="3" t="s">
        <v>285</v>
      </c>
      <c r="D334" s="3" t="s">
        <v>251</v>
      </c>
      <c r="E334" s="8">
        <v>3.0</v>
      </c>
      <c r="F334" s="168" t="s">
        <v>235</v>
      </c>
      <c r="G334" s="137">
        <v>18.3615875</v>
      </c>
      <c r="H334" s="137">
        <v>0.31101636</v>
      </c>
      <c r="I334" s="137">
        <v>9.76312348</v>
      </c>
      <c r="J334" s="120">
        <f t="shared" si="1"/>
        <v>59.03736865</v>
      </c>
      <c r="K334" s="121">
        <v>-0.082</v>
      </c>
      <c r="L334" s="121">
        <v>-0.58</v>
      </c>
      <c r="M334" s="122">
        <f t="shared" si="10"/>
        <v>0.498</v>
      </c>
      <c r="N334" s="120">
        <v>45.9</v>
      </c>
      <c r="O334" s="120">
        <v>19.604665622489964</v>
      </c>
      <c r="P334" s="123">
        <v>21.2021341565395</v>
      </c>
      <c r="Q334" s="120">
        <v>0.0</v>
      </c>
      <c r="R334" s="120">
        <v>1.0814841000000002</v>
      </c>
      <c r="S334" s="15"/>
      <c r="T334" s="161"/>
      <c r="AA334" s="15"/>
      <c r="AB334" s="15"/>
      <c r="AC334" s="15"/>
      <c r="AD334" s="15"/>
      <c r="AE334" s="15"/>
    </row>
    <row r="335" ht="15.0" customHeight="1">
      <c r="A335" s="134" t="s">
        <v>256</v>
      </c>
      <c r="B335" s="3" t="s">
        <v>278</v>
      </c>
      <c r="C335" s="3" t="s">
        <v>285</v>
      </c>
      <c r="D335" s="3" t="s">
        <v>251</v>
      </c>
      <c r="E335" s="8">
        <v>4.0</v>
      </c>
      <c r="F335" s="168" t="s">
        <v>235</v>
      </c>
      <c r="G335" s="137">
        <v>9.7644732</v>
      </c>
      <c r="H335" s="137">
        <v>0.14144858</v>
      </c>
      <c r="I335" s="137">
        <v>3.9912446</v>
      </c>
      <c r="J335" s="120">
        <f t="shared" si="1"/>
        <v>69.03196342</v>
      </c>
      <c r="K335" s="121"/>
      <c r="L335" s="121">
        <v>-0.53</v>
      </c>
      <c r="M335" s="122"/>
      <c r="N335" s="120">
        <v>40.8</v>
      </c>
      <c r="O335" s="120">
        <v>9.871987632945832</v>
      </c>
      <c r="P335" s="123">
        <v>10.434301337451132</v>
      </c>
      <c r="Q335" s="120">
        <v>0.3</v>
      </c>
      <c r="R335" s="120">
        <v>1.0522548000000003</v>
      </c>
      <c r="S335" s="15"/>
      <c r="T335" s="161"/>
      <c r="AA335" s="15"/>
      <c r="AB335" s="15"/>
      <c r="AC335" s="15"/>
      <c r="AD335" s="15"/>
      <c r="AE335" s="15"/>
    </row>
    <row r="336" ht="15.0" customHeight="1">
      <c r="A336" s="134" t="s">
        <v>256</v>
      </c>
      <c r="B336" s="3" t="s">
        <v>278</v>
      </c>
      <c r="C336" s="3" t="s">
        <v>285</v>
      </c>
      <c r="D336" s="3" t="s">
        <v>251</v>
      </c>
      <c r="E336" s="8">
        <v>5.0</v>
      </c>
      <c r="F336" s="168" t="s">
        <v>235</v>
      </c>
      <c r="G336" s="137">
        <v>9.93120198</v>
      </c>
      <c r="H336" s="137">
        <v>0.12218978</v>
      </c>
      <c r="I336" s="137">
        <v>5.59182186</v>
      </c>
      <c r="J336" s="120">
        <f t="shared" si="1"/>
        <v>81.27686276</v>
      </c>
      <c r="K336" s="121">
        <v>-0.197</v>
      </c>
      <c r="L336" s="121">
        <v>-0.564</v>
      </c>
      <c r="M336" s="122">
        <f>K336-L336</f>
        <v>0.367</v>
      </c>
      <c r="N336" s="120">
        <v>42.5</v>
      </c>
      <c r="O336" s="120">
        <v>15.23657182561308</v>
      </c>
      <c r="P336" s="123">
        <v>13.58330703030297</v>
      </c>
      <c r="Q336" s="120">
        <v>0.4</v>
      </c>
      <c r="R336" s="120">
        <v>0.8914936500000001</v>
      </c>
      <c r="S336" s="15"/>
      <c r="T336" s="161"/>
      <c r="AA336" s="15"/>
      <c r="AB336" s="15"/>
      <c r="AC336" s="15"/>
      <c r="AD336" s="15"/>
      <c r="AE336" s="15"/>
    </row>
    <row r="337" ht="15.0" customHeight="1">
      <c r="A337" s="134" t="s">
        <v>256</v>
      </c>
      <c r="B337" s="3" t="s">
        <v>278</v>
      </c>
      <c r="C337" s="3" t="s">
        <v>285</v>
      </c>
      <c r="D337" s="3" t="s">
        <v>251</v>
      </c>
      <c r="E337" s="8">
        <v>6.0</v>
      </c>
      <c r="F337" s="168" t="s">
        <v>235</v>
      </c>
      <c r="G337" s="137">
        <v>11.8385694</v>
      </c>
      <c r="H337" s="137">
        <v>0.14597857</v>
      </c>
      <c r="I337" s="137">
        <v>4.45807634</v>
      </c>
      <c r="J337" s="120">
        <f t="shared" si="1"/>
        <v>81.09799541</v>
      </c>
      <c r="K337" s="121"/>
      <c r="L337" s="121">
        <v>-0.53</v>
      </c>
      <c r="M337" s="122"/>
      <c r="N337" s="120">
        <v>43.4</v>
      </c>
      <c r="O337" s="120">
        <v>11.026654316101904</v>
      </c>
      <c r="P337" s="123">
        <v>12.14035255572317</v>
      </c>
      <c r="Q337" s="120">
        <v>1.6</v>
      </c>
      <c r="R337" s="120">
        <v>1.0960987500000003</v>
      </c>
      <c r="S337" s="15"/>
      <c r="T337" s="161"/>
      <c r="AA337" s="15"/>
      <c r="AB337" s="15"/>
      <c r="AC337" s="15"/>
      <c r="AD337" s="15"/>
      <c r="AE337" s="15"/>
    </row>
    <row r="338" ht="15.0" customHeight="1">
      <c r="A338" s="134" t="s">
        <v>249</v>
      </c>
      <c r="B338" s="3" t="s">
        <v>278</v>
      </c>
      <c r="C338" s="3" t="s">
        <v>281</v>
      </c>
      <c r="D338" s="135" t="s">
        <v>240</v>
      </c>
      <c r="E338" s="8">
        <v>1.0</v>
      </c>
      <c r="F338" s="168" t="s">
        <v>235</v>
      </c>
      <c r="G338" s="137">
        <v>9.33053273</v>
      </c>
      <c r="H338" s="137">
        <v>0.23942021</v>
      </c>
      <c r="I338" s="137">
        <v>6.53882014</v>
      </c>
      <c r="J338" s="120">
        <f t="shared" si="1"/>
        <v>38.97136641</v>
      </c>
      <c r="K338" s="121">
        <v>-0.154</v>
      </c>
      <c r="L338" s="121">
        <v>-0.617</v>
      </c>
      <c r="M338" s="122">
        <f t="shared" ref="M338:M340" si="11">K338-L338</f>
        <v>0.463</v>
      </c>
      <c r="N338" s="120">
        <v>41.8</v>
      </c>
      <c r="O338" s="120">
        <v>14.122721684665228</v>
      </c>
      <c r="P338" s="123">
        <v>10.73272899237722</v>
      </c>
      <c r="Q338" s="120">
        <v>0.7</v>
      </c>
      <c r="R338" s="120">
        <v>0.7599618000000001</v>
      </c>
      <c r="S338" s="15"/>
      <c r="T338" s="161"/>
      <c r="AA338" s="15"/>
      <c r="AB338" s="15"/>
      <c r="AC338" s="15"/>
      <c r="AD338" s="15"/>
      <c r="AE338" s="15"/>
    </row>
    <row r="339" ht="15.0" customHeight="1">
      <c r="A339" s="134" t="s">
        <v>249</v>
      </c>
      <c r="B339" s="3" t="s">
        <v>278</v>
      </c>
      <c r="C339" s="3" t="s">
        <v>281</v>
      </c>
      <c r="D339" s="135" t="s">
        <v>240</v>
      </c>
      <c r="E339" s="8">
        <v>2.0</v>
      </c>
      <c r="F339" s="168" t="s">
        <v>235</v>
      </c>
      <c r="G339" s="137">
        <v>12.6168179</v>
      </c>
      <c r="H339" s="137">
        <v>0.19955231</v>
      </c>
      <c r="I339" s="137">
        <v>7.06397739</v>
      </c>
      <c r="J339" s="120">
        <f t="shared" si="1"/>
        <v>63.22561688</v>
      </c>
      <c r="K339" s="121">
        <v>-0.185</v>
      </c>
      <c r="L339" s="121">
        <v>-0.673</v>
      </c>
      <c r="M339" s="122">
        <f t="shared" si="11"/>
        <v>0.488</v>
      </c>
      <c r="N339" s="120">
        <v>43.2</v>
      </c>
      <c r="O339" s="120">
        <v>14.47536350409836</v>
      </c>
      <c r="P339" s="123">
        <v>13.962456501521292</v>
      </c>
      <c r="Q339" s="120">
        <v>1.0</v>
      </c>
      <c r="R339" s="120">
        <v>0.9645669000000001</v>
      </c>
      <c r="S339" s="15"/>
      <c r="T339" s="161"/>
      <c r="AA339" s="15"/>
      <c r="AB339" s="15"/>
      <c r="AC339" s="15"/>
      <c r="AD339" s="15"/>
      <c r="AE339" s="15"/>
    </row>
    <row r="340" ht="15.0" customHeight="1">
      <c r="A340" s="134" t="s">
        <v>249</v>
      </c>
      <c r="B340" s="3" t="s">
        <v>278</v>
      </c>
      <c r="C340" s="3" t="s">
        <v>281</v>
      </c>
      <c r="D340" s="135" t="s">
        <v>240</v>
      </c>
      <c r="E340" s="8">
        <v>3.0</v>
      </c>
      <c r="F340" s="168" t="s">
        <v>235</v>
      </c>
      <c r="G340" s="137">
        <v>13.8587333</v>
      </c>
      <c r="H340" s="137">
        <v>0.21472942</v>
      </c>
      <c r="I340" s="137">
        <v>7.78417289</v>
      </c>
      <c r="J340" s="120">
        <f t="shared" si="1"/>
        <v>64.54044956</v>
      </c>
      <c r="K340" s="121">
        <v>-0.156</v>
      </c>
      <c r="L340" s="121">
        <v>-0.73</v>
      </c>
      <c r="M340" s="122">
        <f t="shared" si="11"/>
        <v>0.574</v>
      </c>
      <c r="N340" s="120">
        <v>44.6</v>
      </c>
      <c r="O340" s="120">
        <v>13.56127681184669</v>
      </c>
      <c r="P340" s="123">
        <v>13.873531991077872</v>
      </c>
      <c r="Q340" s="120">
        <v>0.6</v>
      </c>
      <c r="R340" s="120">
        <v>1.0230255000000004</v>
      </c>
      <c r="S340" s="15"/>
      <c r="T340" s="161"/>
      <c r="AA340" s="15"/>
      <c r="AB340" s="15"/>
      <c r="AC340" s="15"/>
      <c r="AD340" s="15"/>
      <c r="AE340" s="15"/>
    </row>
    <row r="341" ht="15.0" customHeight="1">
      <c r="A341" s="134" t="s">
        <v>249</v>
      </c>
      <c r="B341" s="3" t="s">
        <v>278</v>
      </c>
      <c r="C341" s="3" t="s">
        <v>281</v>
      </c>
      <c r="D341" s="135" t="s">
        <v>240</v>
      </c>
      <c r="E341" s="8">
        <v>4.0</v>
      </c>
      <c r="F341" s="168" t="s">
        <v>235</v>
      </c>
      <c r="G341" s="137">
        <v>10.4245897</v>
      </c>
      <c r="H341" s="137">
        <v>0.13817543</v>
      </c>
      <c r="I341" s="137">
        <v>4.12852078</v>
      </c>
      <c r="J341" s="120">
        <f t="shared" si="1"/>
        <v>75.44459749</v>
      </c>
      <c r="K341" s="121"/>
      <c r="L341" s="121">
        <v>-0.69</v>
      </c>
      <c r="M341" s="122"/>
      <c r="N341" s="120">
        <v>46.9</v>
      </c>
      <c r="O341" s="120">
        <v>7.871345624404194</v>
      </c>
      <c r="P341" s="123">
        <v>8.052587293078917</v>
      </c>
      <c r="Q341" s="120">
        <v>0.2</v>
      </c>
      <c r="R341" s="120">
        <v>1.0230255000000004</v>
      </c>
      <c r="S341" s="15"/>
      <c r="T341" s="161"/>
      <c r="AA341" s="15"/>
      <c r="AB341" s="15"/>
      <c r="AC341" s="15"/>
      <c r="AD341" s="15"/>
      <c r="AE341" s="15"/>
    </row>
    <row r="342" ht="15.0" customHeight="1">
      <c r="A342" s="134" t="s">
        <v>249</v>
      </c>
      <c r="B342" s="3" t="s">
        <v>278</v>
      </c>
      <c r="C342" s="3" t="s">
        <v>281</v>
      </c>
      <c r="D342" s="135" t="s">
        <v>240</v>
      </c>
      <c r="E342" s="8">
        <v>5.0</v>
      </c>
      <c r="F342" s="168" t="s">
        <v>235</v>
      </c>
      <c r="G342" s="137">
        <v>11.1467847</v>
      </c>
      <c r="H342" s="137">
        <v>0.19594201</v>
      </c>
      <c r="I342" s="137">
        <v>7.55512813</v>
      </c>
      <c r="J342" s="120">
        <f t="shared" si="1"/>
        <v>56.88818187</v>
      </c>
      <c r="K342" s="121">
        <v>-0.167</v>
      </c>
      <c r="L342" s="121">
        <v>-0.695</v>
      </c>
      <c r="M342" s="122">
        <f>K342-L342</f>
        <v>0.528</v>
      </c>
      <c r="N342" s="120">
        <v>39.3</v>
      </c>
      <c r="O342" s="120">
        <v>14.308954791666668</v>
      </c>
      <c r="P342" s="123">
        <v>16.938749657828538</v>
      </c>
      <c r="Q342" s="120">
        <v>0.7</v>
      </c>
      <c r="R342" s="120">
        <v>1.1837866500000003</v>
      </c>
      <c r="S342" s="15"/>
      <c r="T342" s="161"/>
      <c r="AA342" s="15"/>
      <c r="AB342" s="15"/>
      <c r="AC342" s="15"/>
      <c r="AD342" s="15"/>
      <c r="AE342" s="15"/>
    </row>
    <row r="343" ht="15.0" customHeight="1">
      <c r="A343" s="134" t="s">
        <v>249</v>
      </c>
      <c r="B343" s="3" t="s">
        <v>278</v>
      </c>
      <c r="C343" s="3" t="s">
        <v>281</v>
      </c>
      <c r="D343" s="135" t="s">
        <v>240</v>
      </c>
      <c r="E343" s="8">
        <v>6.0</v>
      </c>
      <c r="F343" s="168" t="s">
        <v>235</v>
      </c>
      <c r="G343" s="137">
        <v>8.70487075</v>
      </c>
      <c r="H343" s="137">
        <v>0.11382239</v>
      </c>
      <c r="I343" s="137">
        <v>3.93574886</v>
      </c>
      <c r="J343" s="120">
        <f t="shared" si="1"/>
        <v>76.47766621</v>
      </c>
      <c r="K343" s="121"/>
      <c r="L343" s="121">
        <v>-0.638</v>
      </c>
      <c r="M343" s="122"/>
      <c r="N343" s="120">
        <v>43.9</v>
      </c>
      <c r="O343" s="120">
        <v>8.329627216931216</v>
      </c>
      <c r="P343" s="123">
        <v>9.008359394038362</v>
      </c>
      <c r="Q343" s="120">
        <v>0.4</v>
      </c>
      <c r="R343" s="120">
        <v>1.0814841000000002</v>
      </c>
      <c r="S343" s="15"/>
      <c r="T343" s="161"/>
      <c r="AA343" s="15"/>
      <c r="AB343" s="15"/>
      <c r="AC343" s="15"/>
      <c r="AD343" s="15"/>
      <c r="AE343" s="15"/>
    </row>
    <row r="344" ht="15.0" customHeight="1">
      <c r="A344" s="134" t="s">
        <v>256</v>
      </c>
      <c r="B344" s="3" t="s">
        <v>282</v>
      </c>
      <c r="C344" s="3" t="s">
        <v>283</v>
      </c>
      <c r="D344" s="3" t="s">
        <v>251</v>
      </c>
      <c r="E344" s="8">
        <v>1.0</v>
      </c>
      <c r="F344" s="168" t="s">
        <v>235</v>
      </c>
      <c r="G344" s="137">
        <v>13.7796091</v>
      </c>
      <c r="H344" s="137">
        <v>0.25879233</v>
      </c>
      <c r="I344" s="137">
        <v>7.31725846</v>
      </c>
      <c r="J344" s="120">
        <f t="shared" si="1"/>
        <v>53.24581722</v>
      </c>
      <c r="K344" s="121">
        <v>-0.14</v>
      </c>
      <c r="L344" s="121">
        <v>-0.55</v>
      </c>
      <c r="M344" s="122">
        <f t="shared" ref="M344:M346" si="12">K344-L344</f>
        <v>0.41</v>
      </c>
      <c r="N344" s="120">
        <v>47.7</v>
      </c>
      <c r="O344" s="120">
        <v>17.846971853658534</v>
      </c>
      <c r="P344" s="123">
        <v>17.47542556247174</v>
      </c>
      <c r="Q344" s="120">
        <v>0.4</v>
      </c>
      <c r="R344" s="120">
        <v>0.9791815500000003</v>
      </c>
      <c r="S344" s="15"/>
      <c r="T344" s="161"/>
      <c r="AA344" s="15"/>
      <c r="AB344" s="15"/>
      <c r="AC344" s="15"/>
      <c r="AD344" s="15"/>
      <c r="AE344" s="15"/>
    </row>
    <row r="345" ht="15.0" customHeight="1">
      <c r="A345" s="134" t="s">
        <v>256</v>
      </c>
      <c r="B345" s="3" t="s">
        <v>282</v>
      </c>
      <c r="C345" s="3" t="s">
        <v>283</v>
      </c>
      <c r="D345" s="3" t="s">
        <v>251</v>
      </c>
      <c r="E345" s="8">
        <v>2.0</v>
      </c>
      <c r="F345" s="168" t="s">
        <v>235</v>
      </c>
      <c r="G345" s="137">
        <v>10.2130249</v>
      </c>
      <c r="H345" s="137">
        <v>0.21573985</v>
      </c>
      <c r="I345" s="137">
        <v>7.32656607</v>
      </c>
      <c r="J345" s="120">
        <f t="shared" si="1"/>
        <v>47.33953834</v>
      </c>
      <c r="K345" s="121">
        <v>-0.092</v>
      </c>
      <c r="L345" s="121">
        <v>-0.533</v>
      </c>
      <c r="M345" s="122">
        <f t="shared" si="12"/>
        <v>0.441</v>
      </c>
      <c r="N345" s="120">
        <v>46.3</v>
      </c>
      <c r="O345" s="120">
        <v>16.61352850340136</v>
      </c>
      <c r="P345" s="123">
        <v>13.83965154750738</v>
      </c>
      <c r="Q345" s="120">
        <v>0.7</v>
      </c>
      <c r="R345" s="120">
        <v>0.8330350500000002</v>
      </c>
      <c r="S345" s="15"/>
      <c r="T345" s="161"/>
      <c r="AA345" s="15"/>
      <c r="AB345" s="15"/>
      <c r="AC345" s="15"/>
      <c r="AD345" s="15"/>
      <c r="AE345" s="15"/>
    </row>
    <row r="346" ht="15.0" customHeight="1">
      <c r="A346" s="134" t="s">
        <v>256</v>
      </c>
      <c r="B346" s="3" t="s">
        <v>282</v>
      </c>
      <c r="C346" s="3" t="s">
        <v>283</v>
      </c>
      <c r="D346" s="3" t="s">
        <v>251</v>
      </c>
      <c r="E346" s="8">
        <v>3.0</v>
      </c>
      <c r="F346" s="168" t="s">
        <v>235</v>
      </c>
      <c r="G346" s="137">
        <v>13.3355885</v>
      </c>
      <c r="H346" s="137">
        <v>0.18674052</v>
      </c>
      <c r="I346" s="137">
        <v>7.13420972</v>
      </c>
      <c r="J346" s="120">
        <f t="shared" si="1"/>
        <v>71.41239887</v>
      </c>
      <c r="K346" s="121">
        <v>-0.128</v>
      </c>
      <c r="L346" s="121">
        <v>-0.782</v>
      </c>
      <c r="M346" s="122">
        <f t="shared" si="12"/>
        <v>0.654</v>
      </c>
      <c r="N346" s="120">
        <v>32.2</v>
      </c>
      <c r="O346" s="120">
        <v>10.90857755351682</v>
      </c>
      <c r="P346" s="123">
        <v>13.391703607170387</v>
      </c>
      <c r="Q346" s="120">
        <v>0.5</v>
      </c>
      <c r="R346" s="120">
        <v>1.2276306000000001</v>
      </c>
      <c r="S346" s="15"/>
      <c r="T346" s="161"/>
      <c r="AA346" s="15"/>
      <c r="AB346" s="15"/>
      <c r="AC346" s="15"/>
      <c r="AD346" s="15"/>
      <c r="AE346" s="15"/>
    </row>
    <row r="347" ht="15.0" customHeight="1">
      <c r="A347" s="134" t="s">
        <v>256</v>
      </c>
      <c r="B347" s="3" t="s">
        <v>282</v>
      </c>
      <c r="C347" s="3" t="s">
        <v>283</v>
      </c>
      <c r="D347" s="3" t="s">
        <v>251</v>
      </c>
      <c r="E347" s="8">
        <v>4.0</v>
      </c>
      <c r="F347" s="168" t="s">
        <v>235</v>
      </c>
      <c r="G347" s="137">
        <v>9.38413651</v>
      </c>
      <c r="H347" s="137">
        <v>0.17420112</v>
      </c>
      <c r="I347" s="137">
        <v>4.46999309</v>
      </c>
      <c r="J347" s="120">
        <f t="shared" si="1"/>
        <v>53.86955325</v>
      </c>
      <c r="K347" s="121"/>
      <c r="L347" s="121">
        <v>-0.603</v>
      </c>
      <c r="M347" s="122"/>
      <c r="N347" s="120">
        <v>28.9</v>
      </c>
      <c r="O347" s="120">
        <v>9.541073831376735</v>
      </c>
      <c r="P347" s="123">
        <v>11.434035282917861</v>
      </c>
      <c r="Q347" s="120">
        <v>0.6</v>
      </c>
      <c r="R347" s="120">
        <v>1.1984013000000002</v>
      </c>
      <c r="S347" s="15"/>
      <c r="T347" s="161"/>
      <c r="AA347" s="15"/>
      <c r="AB347" s="15"/>
      <c r="AC347" s="15"/>
      <c r="AD347" s="15"/>
      <c r="AE347" s="15"/>
    </row>
    <row r="348" ht="15.0" customHeight="1">
      <c r="A348" s="134" t="s">
        <v>256</v>
      </c>
      <c r="B348" s="3" t="s">
        <v>282</v>
      </c>
      <c r="C348" s="3" t="s">
        <v>283</v>
      </c>
      <c r="D348" s="3" t="s">
        <v>251</v>
      </c>
      <c r="E348" s="8">
        <v>5.0</v>
      </c>
      <c r="F348" s="168" t="s">
        <v>235</v>
      </c>
      <c r="G348" s="137">
        <v>13.6580064</v>
      </c>
      <c r="H348" s="137">
        <v>0.22680209</v>
      </c>
      <c r="I348" s="137">
        <v>8.25187671</v>
      </c>
      <c r="J348" s="120">
        <f t="shared" si="1"/>
        <v>60.21993184</v>
      </c>
      <c r="K348" s="121">
        <v>-0.178</v>
      </c>
      <c r="L348" s="121">
        <v>-0.56</v>
      </c>
      <c r="M348" s="122">
        <f>K348-L348</f>
        <v>0.382</v>
      </c>
      <c r="N348" s="120">
        <v>46.0</v>
      </c>
      <c r="O348" s="120">
        <v>21.601771492146593</v>
      </c>
      <c r="P348" s="123">
        <v>23.67767473032752</v>
      </c>
      <c r="Q348" s="120">
        <v>1.1</v>
      </c>
      <c r="R348" s="120">
        <v>1.0960987500000003</v>
      </c>
      <c r="S348" s="15"/>
      <c r="T348" s="161"/>
      <c r="AA348" s="15"/>
      <c r="AB348" s="15"/>
      <c r="AC348" s="15"/>
      <c r="AD348" s="15"/>
      <c r="AE348" s="15"/>
    </row>
    <row r="349" ht="15.0" customHeight="1">
      <c r="A349" s="134" t="s">
        <v>256</v>
      </c>
      <c r="B349" s="3" t="s">
        <v>282</v>
      </c>
      <c r="C349" s="3" t="s">
        <v>283</v>
      </c>
      <c r="D349" s="3" t="s">
        <v>251</v>
      </c>
      <c r="E349" s="8">
        <v>6.0</v>
      </c>
      <c r="F349" s="168" t="s">
        <v>235</v>
      </c>
      <c r="G349" s="137">
        <v>10.360236</v>
      </c>
      <c r="H349" s="137">
        <v>0.12930368</v>
      </c>
      <c r="I349" s="137">
        <v>4.07583372</v>
      </c>
      <c r="J349" s="120">
        <f t="shared" si="1"/>
        <v>80.12328806</v>
      </c>
      <c r="K349" s="121"/>
      <c r="L349" s="121">
        <v>-0.62</v>
      </c>
      <c r="M349" s="122"/>
      <c r="N349" s="120">
        <v>46.2</v>
      </c>
      <c r="O349" s="120">
        <v>8.395126096807417</v>
      </c>
      <c r="P349" s="123">
        <v>9.447270880024403</v>
      </c>
      <c r="Q349" s="120">
        <v>0.6</v>
      </c>
      <c r="R349" s="120">
        <v>1.1253280500000002</v>
      </c>
      <c r="S349" s="15"/>
      <c r="T349" s="161"/>
      <c r="AA349" s="15"/>
      <c r="AB349" s="15"/>
      <c r="AC349" s="15"/>
      <c r="AD349" s="15"/>
      <c r="AE349" s="15"/>
    </row>
    <row r="350" ht="15.0" customHeight="1">
      <c r="A350" s="134" t="s">
        <v>244</v>
      </c>
      <c r="B350" s="3" t="s">
        <v>282</v>
      </c>
      <c r="C350" s="3" t="s">
        <v>286</v>
      </c>
      <c r="D350" s="135" t="s">
        <v>240</v>
      </c>
      <c r="E350" s="48">
        <v>1.0</v>
      </c>
      <c r="F350" s="168" t="s">
        <v>235</v>
      </c>
      <c r="G350" s="137">
        <v>14.7412859</v>
      </c>
      <c r="H350" s="137">
        <v>0.24845756</v>
      </c>
      <c r="I350" s="137">
        <v>7.70499714</v>
      </c>
      <c r="J350" s="120">
        <f t="shared" si="1"/>
        <v>59.33120288</v>
      </c>
      <c r="K350" s="121">
        <v>-0.22</v>
      </c>
      <c r="L350" s="121">
        <v>-0.66</v>
      </c>
      <c r="M350" s="122">
        <f t="shared" ref="M350:M352" si="13">K350-L350</f>
        <v>0.44</v>
      </c>
      <c r="N350" s="120">
        <v>41.2</v>
      </c>
      <c r="O350" s="120">
        <v>17.511357136363632</v>
      </c>
      <c r="P350" s="123">
        <v>17.40272017896106</v>
      </c>
      <c r="Q350" s="120">
        <v>0.7</v>
      </c>
      <c r="R350" s="120">
        <v>0.9937962000000001</v>
      </c>
      <c r="S350" s="15"/>
      <c r="T350" s="161"/>
      <c r="AA350" s="15"/>
      <c r="AB350" s="15"/>
      <c r="AC350" s="15"/>
      <c r="AD350" s="15"/>
      <c r="AE350" s="15"/>
    </row>
    <row r="351" ht="15.0" customHeight="1">
      <c r="A351" s="134" t="s">
        <v>244</v>
      </c>
      <c r="B351" s="3" t="s">
        <v>282</v>
      </c>
      <c r="C351" s="3" t="s">
        <v>286</v>
      </c>
      <c r="D351" s="135" t="s">
        <v>240</v>
      </c>
      <c r="E351" s="48">
        <v>2.0</v>
      </c>
      <c r="F351" s="168" t="s">
        <v>235</v>
      </c>
      <c r="G351" s="137">
        <v>10.195133</v>
      </c>
      <c r="H351" s="137">
        <v>0.17635909</v>
      </c>
      <c r="I351" s="137">
        <v>6.52518271</v>
      </c>
      <c r="J351" s="120">
        <f t="shared" si="1"/>
        <v>57.80894537</v>
      </c>
      <c r="K351" s="121">
        <v>-0.115</v>
      </c>
      <c r="L351" s="121">
        <v>-0.59</v>
      </c>
      <c r="M351" s="122">
        <f t="shared" si="13"/>
        <v>0.475</v>
      </c>
      <c r="N351" s="120">
        <v>44.2</v>
      </c>
      <c r="O351" s="120">
        <v>13.737226757894739</v>
      </c>
      <c r="P351" s="123">
        <v>11.042061857049651</v>
      </c>
      <c r="Q351" s="120">
        <v>0.0</v>
      </c>
      <c r="R351" s="120">
        <v>0.8038057500000002</v>
      </c>
      <c r="S351" s="15"/>
      <c r="T351" s="161"/>
      <c r="AA351" s="15"/>
      <c r="AB351" s="15"/>
      <c r="AC351" s="15"/>
      <c r="AD351" s="15"/>
      <c r="AE351" s="15"/>
    </row>
    <row r="352" ht="15.0" customHeight="1">
      <c r="A352" s="134" t="s">
        <v>244</v>
      </c>
      <c r="B352" s="3" t="s">
        <v>282</v>
      </c>
      <c r="C352" s="3" t="s">
        <v>286</v>
      </c>
      <c r="D352" s="135" t="s">
        <v>240</v>
      </c>
      <c r="E352" s="48">
        <v>3.0</v>
      </c>
      <c r="F352" s="168" t="s">
        <v>235</v>
      </c>
      <c r="G352" s="137">
        <v>11.5279234</v>
      </c>
      <c r="H352" s="137">
        <v>0.14836924</v>
      </c>
      <c r="I352" s="137">
        <v>6.22930419</v>
      </c>
      <c r="J352" s="120">
        <f t="shared" si="1"/>
        <v>77.69752949</v>
      </c>
      <c r="K352" s="121">
        <v>-0.09</v>
      </c>
      <c r="L352" s="121">
        <v>-0.606</v>
      </c>
      <c r="M352" s="122">
        <f t="shared" si="13"/>
        <v>0.516</v>
      </c>
      <c r="N352" s="120">
        <v>34.9</v>
      </c>
      <c r="O352" s="120">
        <v>12.072294941860465</v>
      </c>
      <c r="P352" s="123">
        <v>10.409509551051602</v>
      </c>
      <c r="Q352" s="120">
        <v>1.0</v>
      </c>
      <c r="R352" s="120">
        <v>0.8622643500000002</v>
      </c>
      <c r="S352" s="15"/>
      <c r="T352" s="161"/>
      <c r="AA352" s="15"/>
      <c r="AB352" s="15"/>
      <c r="AC352" s="15"/>
      <c r="AD352" s="15"/>
      <c r="AE352" s="15"/>
    </row>
    <row r="353" ht="15.0" customHeight="1">
      <c r="A353" s="134" t="s">
        <v>244</v>
      </c>
      <c r="B353" s="3" t="s">
        <v>282</v>
      </c>
      <c r="C353" s="3" t="s">
        <v>286</v>
      </c>
      <c r="D353" s="135" t="s">
        <v>240</v>
      </c>
      <c r="E353" s="48">
        <v>4.0</v>
      </c>
      <c r="F353" s="168" t="s">
        <v>235</v>
      </c>
      <c r="G353" s="137">
        <v>11.8955869</v>
      </c>
      <c r="H353" s="137">
        <v>0.16685718</v>
      </c>
      <c r="I353" s="137">
        <v>4.59240178</v>
      </c>
      <c r="J353" s="120">
        <f t="shared" si="1"/>
        <v>71.29202891</v>
      </c>
      <c r="K353" s="121"/>
      <c r="L353" s="121">
        <v>-0.68</v>
      </c>
      <c r="M353" s="122"/>
      <c r="N353" s="120">
        <v>42.7</v>
      </c>
      <c r="O353" s="120">
        <v>8.55195862197393</v>
      </c>
      <c r="P353" s="123">
        <v>8.873855627298822</v>
      </c>
      <c r="Q353" s="120">
        <v>1.0</v>
      </c>
      <c r="R353" s="120">
        <v>1.03764015</v>
      </c>
      <c r="S353" s="15"/>
      <c r="T353" s="161"/>
      <c r="AA353" s="15"/>
      <c r="AB353" s="15"/>
      <c r="AC353" s="15"/>
      <c r="AD353" s="15"/>
      <c r="AE353" s="15"/>
    </row>
    <row r="354" ht="15.0" customHeight="1">
      <c r="A354" s="134" t="s">
        <v>244</v>
      </c>
      <c r="B354" s="3" t="s">
        <v>282</v>
      </c>
      <c r="C354" s="3" t="s">
        <v>286</v>
      </c>
      <c r="D354" s="135" t="s">
        <v>240</v>
      </c>
      <c r="E354" s="48">
        <v>5.0</v>
      </c>
      <c r="F354" s="168" t="s">
        <v>235</v>
      </c>
      <c r="G354" s="137">
        <v>10.9251316</v>
      </c>
      <c r="H354" s="137">
        <v>0.15583727</v>
      </c>
      <c r="I354" s="137">
        <v>6.13492108</v>
      </c>
      <c r="J354" s="120">
        <f t="shared" si="1"/>
        <v>70.10602534</v>
      </c>
      <c r="K354" s="121">
        <v>-0.147</v>
      </c>
      <c r="L354" s="121">
        <v>-0.57</v>
      </c>
      <c r="M354" s="122">
        <f>K354-L354</f>
        <v>0.423</v>
      </c>
      <c r="N354" s="120">
        <v>39.6</v>
      </c>
      <c r="O354" s="120">
        <v>14.503359527186763</v>
      </c>
      <c r="P354" s="123">
        <v>15.473191201922006</v>
      </c>
      <c r="Q354" s="120">
        <v>0.8</v>
      </c>
      <c r="R354" s="120">
        <v>1.0668694500000002</v>
      </c>
      <c r="S354" s="15"/>
      <c r="T354" s="161"/>
      <c r="AA354" s="15"/>
      <c r="AB354" s="15"/>
      <c r="AC354" s="15"/>
      <c r="AD354" s="15"/>
      <c r="AE354" s="15"/>
    </row>
    <row r="355" ht="15.0" customHeight="1">
      <c r="A355" s="134" t="s">
        <v>244</v>
      </c>
      <c r="B355" s="3" t="s">
        <v>282</v>
      </c>
      <c r="C355" s="3" t="s">
        <v>286</v>
      </c>
      <c r="D355" s="135" t="s">
        <v>240</v>
      </c>
      <c r="E355" s="48">
        <v>6.0</v>
      </c>
      <c r="F355" s="168" t="s">
        <v>235</v>
      </c>
      <c r="G355" s="137">
        <v>11.2894794</v>
      </c>
      <c r="H355" s="137">
        <v>0.15902385</v>
      </c>
      <c r="I355" s="137">
        <v>4.52377126</v>
      </c>
      <c r="J355" s="120">
        <f t="shared" si="1"/>
        <v>70.99236624</v>
      </c>
      <c r="K355" s="121"/>
      <c r="L355" s="121">
        <v>-0.63</v>
      </c>
      <c r="M355" s="122"/>
      <c r="N355" s="120">
        <v>20.0</v>
      </c>
      <c r="O355" s="120">
        <v>9.327363422680413</v>
      </c>
      <c r="P355" s="123">
        <v>11.177924451312657</v>
      </c>
      <c r="Q355" s="120">
        <v>0.6</v>
      </c>
      <c r="R355" s="120">
        <v>1.1984013000000002</v>
      </c>
      <c r="S355" s="15"/>
      <c r="T355" s="161"/>
      <c r="AA355" s="15"/>
      <c r="AB355" s="15"/>
      <c r="AC355" s="15"/>
      <c r="AD355" s="15"/>
      <c r="AE355" s="15"/>
    </row>
    <row r="356" ht="15.0" customHeight="1">
      <c r="A356" s="134" t="s">
        <v>238</v>
      </c>
      <c r="B356" s="3" t="s">
        <v>278</v>
      </c>
      <c r="C356" s="3" t="s">
        <v>279</v>
      </c>
      <c r="D356" s="3" t="s">
        <v>251</v>
      </c>
      <c r="E356" s="48">
        <v>1.0</v>
      </c>
      <c r="F356" s="168" t="s">
        <v>235</v>
      </c>
      <c r="G356" s="137">
        <v>10.6132179</v>
      </c>
      <c r="H356" s="137">
        <v>0.15539134</v>
      </c>
      <c r="I356" s="137">
        <v>5.15438938</v>
      </c>
      <c r="J356" s="120">
        <f t="shared" si="1"/>
        <v>68.29993164</v>
      </c>
      <c r="K356" s="121">
        <v>-0.17</v>
      </c>
      <c r="L356" s="121">
        <v>-0.641</v>
      </c>
      <c r="M356" s="122">
        <f t="shared" ref="M356:M358" si="14">K356-L356</f>
        <v>0.471</v>
      </c>
      <c r="N356" s="120">
        <v>36.4</v>
      </c>
      <c r="O356" s="120">
        <v>10.94350186836518</v>
      </c>
      <c r="P356" s="123">
        <v>9.276256075669187</v>
      </c>
      <c r="Q356" s="120">
        <v>0.0</v>
      </c>
      <c r="R356" s="120">
        <v>0.8476497000000002</v>
      </c>
      <c r="S356" s="15"/>
      <c r="T356" s="161"/>
      <c r="AA356" s="15"/>
      <c r="AB356" s="15"/>
      <c r="AC356" s="15"/>
      <c r="AD356" s="15"/>
      <c r="AE356" s="15"/>
    </row>
    <row r="357" ht="15.0" customHeight="1">
      <c r="A357" s="134" t="s">
        <v>238</v>
      </c>
      <c r="B357" s="3" t="s">
        <v>278</v>
      </c>
      <c r="C357" s="3" t="s">
        <v>279</v>
      </c>
      <c r="D357" s="3" t="s">
        <v>251</v>
      </c>
      <c r="E357" s="48">
        <v>2.0</v>
      </c>
      <c r="F357" s="168" t="s">
        <v>235</v>
      </c>
      <c r="G357" s="137">
        <v>5.62042045</v>
      </c>
      <c r="H357" s="137">
        <v>0.07089515</v>
      </c>
      <c r="I357" s="137">
        <v>3.39676722</v>
      </c>
      <c r="J357" s="120">
        <f t="shared" si="1"/>
        <v>79.27792592</v>
      </c>
      <c r="K357" s="121">
        <v>-0.116</v>
      </c>
      <c r="L357" s="121">
        <v>-0.82</v>
      </c>
      <c r="M357" s="122">
        <f t="shared" si="14"/>
        <v>0.704</v>
      </c>
      <c r="N357" s="120">
        <v>24.2</v>
      </c>
      <c r="O357" s="120">
        <v>4.8249534375000005</v>
      </c>
      <c r="P357" s="123">
        <v>3.7372953050340483</v>
      </c>
      <c r="Q357" s="120">
        <v>0.7</v>
      </c>
      <c r="R357" s="120">
        <v>0.7745764500000002</v>
      </c>
      <c r="S357" s="15"/>
      <c r="T357" s="161"/>
      <c r="AA357" s="15"/>
      <c r="AB357" s="15"/>
      <c r="AC357" s="15"/>
      <c r="AD357" s="15"/>
      <c r="AE357" s="15"/>
    </row>
    <row r="358" ht="15.0" customHeight="1">
      <c r="A358" s="134" t="s">
        <v>238</v>
      </c>
      <c r="B358" s="3" t="s">
        <v>278</v>
      </c>
      <c r="C358" s="3" t="s">
        <v>279</v>
      </c>
      <c r="D358" s="3" t="s">
        <v>251</v>
      </c>
      <c r="E358" s="48">
        <v>3.0</v>
      </c>
      <c r="F358" s="168" t="s">
        <v>235</v>
      </c>
      <c r="G358" s="137">
        <v>11.2996487</v>
      </c>
      <c r="H358" s="137">
        <v>0.19736628</v>
      </c>
      <c r="I358" s="137">
        <v>7.44836175</v>
      </c>
      <c r="J358" s="120">
        <f t="shared" si="1"/>
        <v>57.25217448</v>
      </c>
      <c r="K358" s="121">
        <v>-0.176</v>
      </c>
      <c r="L358" s="121">
        <v>-0.598</v>
      </c>
      <c r="M358" s="122">
        <f t="shared" si="14"/>
        <v>0.422</v>
      </c>
      <c r="N358" s="120">
        <v>23.1</v>
      </c>
      <c r="O358" s="120">
        <v>17.65014632701422</v>
      </c>
      <c r="P358" s="123">
        <v>19.346303326357383</v>
      </c>
      <c r="Q358" s="120">
        <v>0.0</v>
      </c>
      <c r="R358" s="120">
        <v>1.0960987500000003</v>
      </c>
      <c r="S358" s="15"/>
      <c r="T358" s="161"/>
      <c r="AA358" s="15"/>
      <c r="AB358" s="15"/>
      <c r="AC358" s="15"/>
      <c r="AD358" s="15"/>
      <c r="AE358" s="15"/>
    </row>
    <row r="359" ht="15.0" customHeight="1">
      <c r="A359" s="134" t="s">
        <v>238</v>
      </c>
      <c r="B359" s="3" t="s">
        <v>278</v>
      </c>
      <c r="C359" s="3" t="s">
        <v>279</v>
      </c>
      <c r="D359" s="3" t="s">
        <v>251</v>
      </c>
      <c r="E359" s="48">
        <v>4.0</v>
      </c>
      <c r="F359" s="168" t="s">
        <v>235</v>
      </c>
      <c r="G359" s="137">
        <v>11.5261669</v>
      </c>
      <c r="H359" s="137">
        <v>0.17510581</v>
      </c>
      <c r="I359" s="137">
        <v>4.9190374</v>
      </c>
      <c r="J359" s="120">
        <f t="shared" si="1"/>
        <v>65.82401178</v>
      </c>
      <c r="K359" s="121"/>
      <c r="L359" s="121">
        <v>-0.73</v>
      </c>
      <c r="M359" s="122"/>
      <c r="N359" s="120">
        <v>43.8</v>
      </c>
      <c r="O359" s="120">
        <v>8.683208120035303</v>
      </c>
      <c r="P359" s="123">
        <v>9.898359709014972</v>
      </c>
      <c r="Q359" s="120">
        <v>0.7</v>
      </c>
      <c r="R359" s="120">
        <v>1.1399427000000004</v>
      </c>
      <c r="S359" s="15"/>
      <c r="T359" s="161"/>
      <c r="AA359" s="15"/>
      <c r="AB359" s="15"/>
      <c r="AC359" s="15"/>
      <c r="AD359" s="15"/>
      <c r="AE359" s="15"/>
    </row>
    <row r="360" ht="15.0" customHeight="1">
      <c r="A360" s="134" t="s">
        <v>238</v>
      </c>
      <c r="B360" s="3" t="s">
        <v>278</v>
      </c>
      <c r="C360" s="3" t="s">
        <v>279</v>
      </c>
      <c r="D360" s="3" t="s">
        <v>251</v>
      </c>
      <c r="E360" s="48">
        <v>5.0</v>
      </c>
      <c r="F360" s="168" t="s">
        <v>235</v>
      </c>
      <c r="G360" s="137">
        <v>17.914099</v>
      </c>
      <c r="H360" s="137">
        <v>0.25014782</v>
      </c>
      <c r="I360" s="137">
        <v>8.91386627</v>
      </c>
      <c r="J360" s="120">
        <f t="shared" si="1"/>
        <v>71.61405204</v>
      </c>
      <c r="K360" s="121">
        <v>-0.192</v>
      </c>
      <c r="L360" s="121">
        <v>-0.67</v>
      </c>
      <c r="M360" s="122">
        <f>K360-L360</f>
        <v>0.478</v>
      </c>
      <c r="N360" s="120">
        <v>41.5</v>
      </c>
      <c r="O360" s="120">
        <v>18.64825579497908</v>
      </c>
      <c r="P360" s="123">
        <v>20.985405329665006</v>
      </c>
      <c r="Q360" s="120">
        <v>0.7</v>
      </c>
      <c r="R360" s="120">
        <v>1.1253280500000002</v>
      </c>
      <c r="S360" s="15"/>
      <c r="T360" s="161"/>
      <c r="AA360" s="15"/>
      <c r="AB360" s="15"/>
      <c r="AC360" s="15"/>
      <c r="AD360" s="15"/>
      <c r="AE360" s="15"/>
    </row>
    <row r="361" ht="15.0" customHeight="1">
      <c r="A361" s="134" t="s">
        <v>238</v>
      </c>
      <c r="B361" s="3" t="s">
        <v>278</v>
      </c>
      <c r="C361" s="3" t="s">
        <v>279</v>
      </c>
      <c r="D361" s="3" t="s">
        <v>251</v>
      </c>
      <c r="E361" s="48">
        <v>6.0</v>
      </c>
      <c r="F361" s="168" t="s">
        <v>235</v>
      </c>
      <c r="G361" s="137">
        <v>10.9537031</v>
      </c>
      <c r="H361" s="137">
        <v>0.13019754</v>
      </c>
      <c r="I361" s="137">
        <v>4.33608003</v>
      </c>
      <c r="J361" s="120">
        <f t="shared" si="1"/>
        <v>84.1314137</v>
      </c>
      <c r="K361" s="121"/>
      <c r="L361" s="121">
        <v>-0.628</v>
      </c>
      <c r="M361" s="122"/>
      <c r="N361" s="120">
        <v>49.5</v>
      </c>
      <c r="O361" s="120">
        <v>9.33494086114101</v>
      </c>
      <c r="P361" s="123">
        <v>11.596285943783334</v>
      </c>
      <c r="Q361" s="120">
        <v>0.4</v>
      </c>
      <c r="R361" s="120">
        <v>1.2422452500000003</v>
      </c>
      <c r="S361" s="15"/>
      <c r="T361" s="161"/>
      <c r="AA361" s="15"/>
      <c r="AB361" s="15"/>
      <c r="AC361" s="15"/>
      <c r="AD361" s="15"/>
      <c r="AE361" s="15"/>
    </row>
    <row r="362" ht="15.0" customHeight="1">
      <c r="A362" s="134" t="s">
        <v>238</v>
      </c>
      <c r="B362" s="3" t="s">
        <v>282</v>
      </c>
      <c r="C362" s="3" t="s">
        <v>287</v>
      </c>
      <c r="D362" s="135" t="s">
        <v>240</v>
      </c>
      <c r="E362" s="48">
        <v>1.0</v>
      </c>
      <c r="F362" s="168" t="s">
        <v>235</v>
      </c>
      <c r="G362" s="137">
        <v>11.2931543</v>
      </c>
      <c r="H362" s="137">
        <v>0.19925467</v>
      </c>
      <c r="I362" s="137">
        <v>6.80138194</v>
      </c>
      <c r="J362" s="120">
        <f t="shared" si="1"/>
        <v>56.67698679</v>
      </c>
      <c r="K362" s="121">
        <v>-0.27</v>
      </c>
      <c r="L362" s="121">
        <v>-0.72</v>
      </c>
      <c r="M362" s="122">
        <f t="shared" ref="M362:M364" si="15">K362-L362</f>
        <v>0.45</v>
      </c>
      <c r="N362" s="120">
        <v>42.9</v>
      </c>
      <c r="O362" s="120">
        <v>15.11418208888889</v>
      </c>
      <c r="P362" s="123">
        <v>11.927977988330523</v>
      </c>
      <c r="Q362" s="120">
        <v>0.0</v>
      </c>
      <c r="R362" s="120">
        <v>0.7891911000000001</v>
      </c>
      <c r="S362" s="15"/>
      <c r="T362" s="161"/>
      <c r="AA362" s="15"/>
      <c r="AB362" s="15"/>
      <c r="AC362" s="15"/>
      <c r="AD362" s="15"/>
      <c r="AE362" s="15"/>
    </row>
    <row r="363" ht="15.0" customHeight="1">
      <c r="A363" s="134" t="s">
        <v>238</v>
      </c>
      <c r="B363" s="3" t="s">
        <v>282</v>
      </c>
      <c r="C363" s="3" t="s">
        <v>287</v>
      </c>
      <c r="D363" s="135" t="s">
        <v>240</v>
      </c>
      <c r="E363" s="48">
        <v>2.0</v>
      </c>
      <c r="F363" s="168" t="s">
        <v>235</v>
      </c>
      <c r="G363" s="137">
        <v>14.0391364</v>
      </c>
      <c r="H363" s="137">
        <v>0.24601472</v>
      </c>
      <c r="I363" s="137">
        <v>8.54323515</v>
      </c>
      <c r="J363" s="120">
        <f t="shared" si="1"/>
        <v>57.06624547</v>
      </c>
      <c r="K363" s="121">
        <v>-0.203</v>
      </c>
      <c r="L363" s="121">
        <v>-0.74</v>
      </c>
      <c r="M363" s="122">
        <f t="shared" si="15"/>
        <v>0.537</v>
      </c>
      <c r="N363" s="120">
        <v>53.9</v>
      </c>
      <c r="O363" s="120">
        <v>15.909190223463687</v>
      </c>
      <c r="P363" s="123">
        <v>16.04300003605471</v>
      </c>
      <c r="Q363" s="120">
        <v>0.8</v>
      </c>
      <c r="R363" s="120">
        <v>1.0084108500000002</v>
      </c>
      <c r="S363" s="15"/>
      <c r="T363" s="161"/>
      <c r="AA363" s="15"/>
      <c r="AB363" s="15"/>
      <c r="AC363" s="15"/>
      <c r="AD363" s="15"/>
      <c r="AE363" s="15"/>
    </row>
    <row r="364" ht="15.0" customHeight="1">
      <c r="A364" s="134" t="s">
        <v>238</v>
      </c>
      <c r="B364" s="3" t="s">
        <v>282</v>
      </c>
      <c r="C364" s="3" t="s">
        <v>287</v>
      </c>
      <c r="D364" s="135" t="s">
        <v>240</v>
      </c>
      <c r="E364" s="48">
        <v>3.0</v>
      </c>
      <c r="F364" s="168" t="s">
        <v>235</v>
      </c>
      <c r="G364" s="137">
        <v>12.8117538</v>
      </c>
      <c r="H364" s="137">
        <v>0.19491533</v>
      </c>
      <c r="I364" s="137">
        <v>7.2399044</v>
      </c>
      <c r="J364" s="120">
        <f t="shared" si="1"/>
        <v>65.72984177</v>
      </c>
      <c r="K364" s="121">
        <v>-0.154</v>
      </c>
      <c r="L364" s="121">
        <v>-0.847</v>
      </c>
      <c r="M364" s="122">
        <f t="shared" si="15"/>
        <v>0.693</v>
      </c>
      <c r="N364" s="120">
        <v>48.9</v>
      </c>
      <c r="O364" s="120">
        <v>10.447192496392498</v>
      </c>
      <c r="P364" s="123">
        <v>10.687744327218187</v>
      </c>
      <c r="Q364" s="120">
        <v>0.7</v>
      </c>
      <c r="R364" s="120">
        <v>1.0230255000000004</v>
      </c>
      <c r="S364" s="15"/>
      <c r="T364" s="161"/>
      <c r="AA364" s="15"/>
      <c r="AB364" s="15"/>
      <c r="AC364" s="15"/>
      <c r="AD364" s="15"/>
      <c r="AE364" s="15"/>
    </row>
    <row r="365" ht="15.0" customHeight="1">
      <c r="A365" s="134" t="s">
        <v>238</v>
      </c>
      <c r="B365" s="3" t="s">
        <v>282</v>
      </c>
      <c r="C365" s="3" t="s">
        <v>287</v>
      </c>
      <c r="D365" s="135" t="s">
        <v>240</v>
      </c>
      <c r="E365" s="48">
        <v>4.0</v>
      </c>
      <c r="F365" s="168" t="s">
        <v>235</v>
      </c>
      <c r="G365" s="137">
        <v>10.8063179</v>
      </c>
      <c r="H365" s="137">
        <v>0.22490988</v>
      </c>
      <c r="I365" s="137">
        <v>5.73867514</v>
      </c>
      <c r="J365" s="120">
        <f t="shared" si="1"/>
        <v>48.04732411</v>
      </c>
      <c r="K365" s="121"/>
      <c r="L365" s="121">
        <v>-0.738</v>
      </c>
      <c r="M365" s="122"/>
      <c r="N365" s="120">
        <v>47.4</v>
      </c>
      <c r="O365" s="120">
        <v>10.726495588785047</v>
      </c>
      <c r="P365" s="123">
        <v>10.503186576694707</v>
      </c>
      <c r="Q365" s="120">
        <v>0.7</v>
      </c>
      <c r="R365" s="120">
        <v>0.9791815500000003</v>
      </c>
      <c r="S365" s="15"/>
      <c r="T365" s="161"/>
      <c r="AA365" s="15"/>
      <c r="AB365" s="15"/>
      <c r="AC365" s="15"/>
      <c r="AD365" s="15"/>
      <c r="AE365" s="15"/>
    </row>
    <row r="366" ht="15.0" customHeight="1">
      <c r="A366" s="134" t="s">
        <v>238</v>
      </c>
      <c r="B366" s="3" t="s">
        <v>282</v>
      </c>
      <c r="C366" s="3" t="s">
        <v>287</v>
      </c>
      <c r="D366" s="135" t="s">
        <v>240</v>
      </c>
      <c r="E366" s="48">
        <v>5.0</v>
      </c>
      <c r="F366" s="168" t="s">
        <v>235</v>
      </c>
      <c r="G366" s="137">
        <v>10.6224622</v>
      </c>
      <c r="H366" s="137">
        <v>0.17187445</v>
      </c>
      <c r="I366" s="137">
        <v>7.03991453</v>
      </c>
      <c r="J366" s="120">
        <f t="shared" si="1"/>
        <v>61.80361421</v>
      </c>
      <c r="K366" s="121">
        <v>-0.185</v>
      </c>
      <c r="L366" s="121">
        <v>-0.722</v>
      </c>
      <c r="M366" s="122">
        <f>K366-L366</f>
        <v>0.537</v>
      </c>
      <c r="N366" s="120">
        <v>37.9</v>
      </c>
      <c r="O366" s="120">
        <v>19.868242965597045</v>
      </c>
      <c r="P366" s="123">
        <v>19.454616942829915</v>
      </c>
      <c r="Q366" s="120">
        <v>0.6</v>
      </c>
      <c r="R366" s="120">
        <v>0.9791815500000003</v>
      </c>
      <c r="S366" s="15"/>
      <c r="T366" s="161"/>
      <c r="AA366" s="15"/>
      <c r="AB366" s="15"/>
      <c r="AC366" s="15"/>
      <c r="AD366" s="15"/>
      <c r="AE366" s="15"/>
    </row>
    <row r="367" ht="15.0" customHeight="1">
      <c r="A367" s="134" t="s">
        <v>238</v>
      </c>
      <c r="B367" s="3" t="s">
        <v>282</v>
      </c>
      <c r="C367" s="3" t="s">
        <v>287</v>
      </c>
      <c r="D367" s="135" t="s">
        <v>240</v>
      </c>
      <c r="E367" s="48">
        <v>6.0</v>
      </c>
      <c r="F367" s="168" t="s">
        <v>235</v>
      </c>
      <c r="G367" s="137">
        <v>11.8741097</v>
      </c>
      <c r="H367" s="137">
        <v>0.16775136</v>
      </c>
      <c r="I367" s="137">
        <v>5.00525825</v>
      </c>
      <c r="J367" s="120">
        <f t="shared" si="1"/>
        <v>70.7839847</v>
      </c>
      <c r="K367" s="121"/>
      <c r="L367" s="121">
        <v>-0.812</v>
      </c>
      <c r="M367" s="122"/>
      <c r="N367" s="120">
        <v>47.2</v>
      </c>
      <c r="O367" s="120">
        <v>8.21881486042693</v>
      </c>
      <c r="P367" s="123">
        <v>10.089668618394828</v>
      </c>
      <c r="Q367" s="120">
        <v>1.0</v>
      </c>
      <c r="R367" s="120">
        <v>1.2276306000000001</v>
      </c>
      <c r="S367" s="15"/>
      <c r="T367" s="161"/>
      <c r="AA367" s="15"/>
      <c r="AB367" s="15"/>
      <c r="AC367" s="15"/>
      <c r="AD367" s="15"/>
      <c r="AE367" s="15"/>
    </row>
    <row r="368" ht="15.0" customHeight="1">
      <c r="A368" s="134" t="s">
        <v>238</v>
      </c>
      <c r="B368" s="3" t="s">
        <v>282</v>
      </c>
      <c r="C368" s="3" t="s">
        <v>287</v>
      </c>
      <c r="D368" s="3" t="s">
        <v>251</v>
      </c>
      <c r="E368" s="48">
        <v>1.0</v>
      </c>
      <c r="F368" s="168" t="s">
        <v>235</v>
      </c>
      <c r="G368" s="137">
        <v>16.4084819</v>
      </c>
      <c r="H368" s="137">
        <v>0.29975544</v>
      </c>
      <c r="I368" s="137">
        <v>8.32004114</v>
      </c>
      <c r="J368" s="120">
        <f t="shared" si="1"/>
        <v>54.73956336</v>
      </c>
      <c r="K368" s="121">
        <v>-0.194</v>
      </c>
      <c r="L368" s="121">
        <v>-0.63</v>
      </c>
      <c r="M368" s="122">
        <f t="shared" ref="M368:M370" si="16">K368-L368</f>
        <v>0.436</v>
      </c>
      <c r="N368" s="120">
        <v>34.1</v>
      </c>
      <c r="O368" s="120">
        <v>19.082663165137618</v>
      </c>
      <c r="P368" s="123">
        <v>15.617640820677197</v>
      </c>
      <c r="Q368" s="120">
        <v>1.1</v>
      </c>
      <c r="R368" s="120">
        <v>0.8184204000000002</v>
      </c>
      <c r="S368" s="15"/>
      <c r="T368" s="161"/>
      <c r="AA368" s="15"/>
      <c r="AB368" s="15"/>
      <c r="AC368" s="15"/>
      <c r="AD368" s="15"/>
      <c r="AE368" s="15"/>
    </row>
    <row r="369" ht="15.0" customHeight="1">
      <c r="A369" s="134" t="s">
        <v>238</v>
      </c>
      <c r="B369" s="3" t="s">
        <v>282</v>
      </c>
      <c r="C369" s="3" t="s">
        <v>287</v>
      </c>
      <c r="D369" s="3" t="s">
        <v>251</v>
      </c>
      <c r="E369" s="48">
        <v>2.0</v>
      </c>
      <c r="F369" s="168" t="s">
        <v>235</v>
      </c>
      <c r="G369" s="137">
        <v>9.87480274</v>
      </c>
      <c r="H369" s="137">
        <v>0.15030983</v>
      </c>
      <c r="I369" s="137">
        <v>6.23268725</v>
      </c>
      <c r="J369" s="120">
        <f t="shared" si="1"/>
        <v>65.69632033</v>
      </c>
      <c r="K369" s="121">
        <v>-0.21</v>
      </c>
      <c r="L369" s="121">
        <v>-0.76</v>
      </c>
      <c r="M369" s="122">
        <f t="shared" si="16"/>
        <v>0.55</v>
      </c>
      <c r="N369" s="120">
        <v>34.2</v>
      </c>
      <c r="O369" s="120">
        <v>11.332158636363635</v>
      </c>
      <c r="P369" s="123">
        <v>8.612007675176455</v>
      </c>
      <c r="Q369" s="120">
        <v>0.2</v>
      </c>
      <c r="R369" s="120">
        <v>0.7599618000000001</v>
      </c>
      <c r="S369" s="15"/>
      <c r="T369" s="161"/>
      <c r="AA369" s="15"/>
      <c r="AB369" s="15"/>
      <c r="AC369" s="15"/>
      <c r="AD369" s="15"/>
      <c r="AE369" s="15"/>
    </row>
    <row r="370" ht="15.0" customHeight="1">
      <c r="A370" s="134" t="s">
        <v>238</v>
      </c>
      <c r="B370" s="3" t="s">
        <v>282</v>
      </c>
      <c r="C370" s="3" t="s">
        <v>287</v>
      </c>
      <c r="D370" s="3" t="s">
        <v>251</v>
      </c>
      <c r="E370" s="48">
        <v>3.0</v>
      </c>
      <c r="F370" s="168" t="s">
        <v>235</v>
      </c>
      <c r="G370" s="137">
        <v>13.5760768</v>
      </c>
      <c r="H370" s="137">
        <v>0.24966182</v>
      </c>
      <c r="I370" s="137">
        <v>8.38615637</v>
      </c>
      <c r="J370" s="120">
        <f t="shared" si="1"/>
        <v>54.37786523</v>
      </c>
      <c r="K370" s="121">
        <v>-0.182</v>
      </c>
      <c r="L370" s="121">
        <v>-0.65</v>
      </c>
      <c r="M370" s="122">
        <f t="shared" si="16"/>
        <v>0.468</v>
      </c>
      <c r="N370" s="120">
        <v>42.0</v>
      </c>
      <c r="O370" s="120">
        <v>17.919137542735044</v>
      </c>
      <c r="P370" s="123">
        <v>20.164908108647822</v>
      </c>
      <c r="Q370" s="120">
        <v>0.9</v>
      </c>
      <c r="R370" s="120">
        <v>1.1253280500000002</v>
      </c>
      <c r="S370" s="15"/>
      <c r="T370" s="161"/>
      <c r="AA370" s="15"/>
      <c r="AB370" s="15"/>
      <c r="AC370" s="15"/>
      <c r="AD370" s="15"/>
      <c r="AE370" s="15"/>
    </row>
    <row r="371" ht="15.0" customHeight="1">
      <c r="A371" s="134" t="s">
        <v>238</v>
      </c>
      <c r="B371" s="3" t="s">
        <v>282</v>
      </c>
      <c r="C371" s="3" t="s">
        <v>287</v>
      </c>
      <c r="D371" s="3" t="s">
        <v>251</v>
      </c>
      <c r="E371" s="48">
        <v>4.0</v>
      </c>
      <c r="F371" s="168" t="s">
        <v>235</v>
      </c>
      <c r="G371" s="137">
        <v>10.2498935</v>
      </c>
      <c r="H371" s="137">
        <v>0.17570002</v>
      </c>
      <c r="I371" s="137">
        <v>4.56665727</v>
      </c>
      <c r="J371" s="120">
        <f t="shared" si="1"/>
        <v>58.33746348</v>
      </c>
      <c r="K371" s="121"/>
      <c r="L371" s="121">
        <v>-0.57</v>
      </c>
      <c r="M371" s="122"/>
      <c r="N371" s="120">
        <v>36.3</v>
      </c>
      <c r="O371" s="120">
        <v>11.445256315789477</v>
      </c>
      <c r="P371" s="123">
        <v>11.039715404226477</v>
      </c>
      <c r="Q371" s="120">
        <v>0.7</v>
      </c>
      <c r="R371" s="120">
        <v>0.9645669000000001</v>
      </c>
      <c r="S371" s="15"/>
      <c r="T371" s="161"/>
      <c r="AA371" s="15"/>
      <c r="AB371" s="15"/>
      <c r="AC371" s="15"/>
      <c r="AD371" s="15"/>
      <c r="AE371" s="15"/>
    </row>
    <row r="372" ht="15.0" customHeight="1">
      <c r="A372" s="134" t="s">
        <v>238</v>
      </c>
      <c r="B372" s="3" t="s">
        <v>282</v>
      </c>
      <c r="C372" s="3" t="s">
        <v>287</v>
      </c>
      <c r="D372" s="3" t="s">
        <v>251</v>
      </c>
      <c r="E372" s="48">
        <v>5.0</v>
      </c>
      <c r="F372" s="168" t="s">
        <v>235</v>
      </c>
      <c r="G372" s="137">
        <v>12.1746329</v>
      </c>
      <c r="H372" s="137">
        <v>0.17500722</v>
      </c>
      <c r="I372" s="137">
        <v>6.46335278</v>
      </c>
      <c r="J372" s="120">
        <f t="shared" si="1"/>
        <v>69.56646074</v>
      </c>
      <c r="K372" s="121">
        <v>-0.098</v>
      </c>
      <c r="L372" s="121">
        <v>-0.562</v>
      </c>
      <c r="M372" s="122">
        <f>K372-L372</f>
        <v>0.464</v>
      </c>
      <c r="N372" s="120">
        <v>31.7</v>
      </c>
      <c r="O372" s="120">
        <v>13.929639612068964</v>
      </c>
      <c r="P372" s="123">
        <v>15.268260566739281</v>
      </c>
      <c r="Q372" s="120">
        <v>0.7</v>
      </c>
      <c r="R372" s="120">
        <v>1.0960987500000003</v>
      </c>
      <c r="S372" s="15"/>
      <c r="T372" s="161"/>
      <c r="AA372" s="15"/>
      <c r="AB372" s="15"/>
      <c r="AC372" s="15"/>
      <c r="AD372" s="15"/>
      <c r="AE372" s="15"/>
    </row>
    <row r="373" ht="15.0" customHeight="1">
      <c r="A373" s="134" t="s">
        <v>238</v>
      </c>
      <c r="B373" s="3" t="s">
        <v>282</v>
      </c>
      <c r="C373" s="3" t="s">
        <v>287</v>
      </c>
      <c r="D373" s="3" t="s">
        <v>251</v>
      </c>
      <c r="E373" s="48">
        <v>6.0</v>
      </c>
      <c r="F373" s="168" t="s">
        <v>235</v>
      </c>
      <c r="G373" s="137">
        <v>11.3226681</v>
      </c>
      <c r="H373" s="137">
        <v>0.15842379</v>
      </c>
      <c r="I373" s="137">
        <v>4.58048854</v>
      </c>
      <c r="J373" s="120">
        <f t="shared" si="1"/>
        <v>71.47075638</v>
      </c>
      <c r="K373" s="121"/>
      <c r="L373" s="121">
        <v>-0.556</v>
      </c>
      <c r="M373" s="122"/>
      <c r="N373" s="120">
        <v>42.0</v>
      </c>
      <c r="O373" s="120">
        <v>11.89737283116883</v>
      </c>
      <c r="P373" s="123">
        <v>13.736199247916286</v>
      </c>
      <c r="Q373" s="120">
        <v>0.2</v>
      </c>
      <c r="R373" s="120">
        <v>1.1545573500000001</v>
      </c>
      <c r="S373" s="15"/>
      <c r="T373" s="161"/>
      <c r="AA373" s="15"/>
      <c r="AB373" s="15"/>
      <c r="AC373" s="15"/>
      <c r="AD373" s="15"/>
      <c r="AE373" s="15"/>
    </row>
    <row r="374" ht="15.0" customHeight="1">
      <c r="A374" s="134" t="s">
        <v>249</v>
      </c>
      <c r="B374" s="3" t="s">
        <v>282</v>
      </c>
      <c r="C374" s="3" t="s">
        <v>284</v>
      </c>
      <c r="D374" s="135" t="s">
        <v>240</v>
      </c>
      <c r="E374" s="48">
        <v>1.0</v>
      </c>
      <c r="F374" s="168" t="s">
        <v>235</v>
      </c>
      <c r="G374" s="137">
        <v>15.5407974</v>
      </c>
      <c r="H374" s="137">
        <v>0.29182799</v>
      </c>
      <c r="I374" s="137">
        <v>8.36880341</v>
      </c>
      <c r="J374" s="120">
        <f t="shared" si="1"/>
        <v>53.2532791</v>
      </c>
      <c r="K374" s="121">
        <v>-0.167</v>
      </c>
      <c r="L374" s="121">
        <v>-0.718</v>
      </c>
      <c r="M374" s="122">
        <f t="shared" ref="M374:M376" si="17">K374-L374</f>
        <v>0.551</v>
      </c>
      <c r="N374" s="120">
        <v>31.2</v>
      </c>
      <c r="O374" s="120">
        <v>15.188390943738659</v>
      </c>
      <c r="P374" s="123">
        <v>14.428246150884167</v>
      </c>
      <c r="Q374" s="120">
        <v>0.3</v>
      </c>
      <c r="R374" s="120">
        <v>0.9499522500000003</v>
      </c>
      <c r="S374" s="15"/>
      <c r="T374" s="161"/>
      <c r="AA374" s="15"/>
      <c r="AB374" s="15"/>
      <c r="AC374" s="15"/>
      <c r="AD374" s="15"/>
      <c r="AE374" s="15"/>
    </row>
    <row r="375" ht="15.0" customHeight="1">
      <c r="A375" s="134" t="s">
        <v>249</v>
      </c>
      <c r="B375" s="3" t="s">
        <v>282</v>
      </c>
      <c r="C375" s="3" t="s">
        <v>284</v>
      </c>
      <c r="D375" s="135" t="s">
        <v>240</v>
      </c>
      <c r="E375" s="48">
        <v>2.0</v>
      </c>
      <c r="F375" s="168" t="s">
        <v>235</v>
      </c>
      <c r="G375" s="137">
        <v>11.0911566</v>
      </c>
      <c r="H375" s="137">
        <v>0.1528329</v>
      </c>
      <c r="I375" s="137">
        <v>5.80170753</v>
      </c>
      <c r="J375" s="120">
        <f t="shared" si="1"/>
        <v>72.57047795</v>
      </c>
      <c r="K375" s="121">
        <v>-0.15</v>
      </c>
      <c r="L375" s="121">
        <v>-0.655</v>
      </c>
      <c r="M375" s="122">
        <f t="shared" si="17"/>
        <v>0.505</v>
      </c>
      <c r="N375" s="120">
        <v>35.5</v>
      </c>
      <c r="O375" s="120">
        <v>11.488529762376237</v>
      </c>
      <c r="P375" s="123">
        <v>10.409852172486138</v>
      </c>
      <c r="Q375" s="120">
        <v>0.8</v>
      </c>
      <c r="R375" s="120">
        <v>0.9061083000000002</v>
      </c>
      <c r="S375" s="15"/>
      <c r="T375" s="161"/>
      <c r="AA375" s="15"/>
      <c r="AB375" s="15"/>
      <c r="AC375" s="15"/>
      <c r="AD375" s="15"/>
      <c r="AE375" s="15"/>
    </row>
    <row r="376" ht="15.0" customHeight="1">
      <c r="A376" s="134" t="s">
        <v>249</v>
      </c>
      <c r="B376" s="3" t="s">
        <v>282</v>
      </c>
      <c r="C376" s="3" t="s">
        <v>284</v>
      </c>
      <c r="D376" s="135" t="s">
        <v>240</v>
      </c>
      <c r="E376" s="48">
        <v>3.0</v>
      </c>
      <c r="F376" s="168" t="s">
        <v>235</v>
      </c>
      <c r="G376" s="137">
        <v>13.8479347</v>
      </c>
      <c r="H376" s="137">
        <v>0.21906274</v>
      </c>
      <c r="I376" s="137">
        <v>8.26396598</v>
      </c>
      <c r="J376" s="120">
        <f t="shared" si="1"/>
        <v>63.2144686</v>
      </c>
      <c r="K376" s="121">
        <v>-0.209</v>
      </c>
      <c r="L376" s="121">
        <v>-0.712</v>
      </c>
      <c r="M376" s="122">
        <f t="shared" si="17"/>
        <v>0.503</v>
      </c>
      <c r="N376" s="120">
        <v>40.6</v>
      </c>
      <c r="O376" s="120">
        <v>16.4293558250497</v>
      </c>
      <c r="P376" s="123">
        <v>17.047759242707947</v>
      </c>
      <c r="Q376" s="120">
        <v>0.6</v>
      </c>
      <c r="R376" s="120">
        <v>1.03764015</v>
      </c>
      <c r="S376" s="15"/>
      <c r="T376" s="161"/>
      <c r="AA376" s="15"/>
      <c r="AB376" s="15"/>
      <c r="AC376" s="15"/>
      <c r="AD376" s="15"/>
      <c r="AE376" s="15"/>
    </row>
    <row r="377" ht="15.0" customHeight="1">
      <c r="A377" s="134" t="s">
        <v>249</v>
      </c>
      <c r="B377" s="3" t="s">
        <v>282</v>
      </c>
      <c r="C377" s="3" t="s">
        <v>284</v>
      </c>
      <c r="D377" s="135" t="s">
        <v>240</v>
      </c>
      <c r="E377" s="48">
        <v>4.0</v>
      </c>
      <c r="F377" s="168" t="s">
        <v>235</v>
      </c>
      <c r="G377" s="137">
        <v>13.3680743</v>
      </c>
      <c r="H377" s="137">
        <v>0.2365446</v>
      </c>
      <c r="I377" s="137">
        <v>5.4967995</v>
      </c>
      <c r="J377" s="120">
        <f t="shared" si="1"/>
        <v>56.51396946</v>
      </c>
      <c r="K377" s="121"/>
      <c r="L377" s="121">
        <v>-0.645</v>
      </c>
      <c r="M377" s="122"/>
      <c r="N377" s="120">
        <v>43.8</v>
      </c>
      <c r="O377" s="120">
        <v>11.596623417721519</v>
      </c>
      <c r="P377" s="123">
        <v>11.355199692930858</v>
      </c>
      <c r="Q377" s="120">
        <v>0.8</v>
      </c>
      <c r="R377" s="120">
        <v>0.9791815500000003</v>
      </c>
      <c r="S377" s="15"/>
      <c r="T377" s="161"/>
      <c r="AA377" s="15"/>
      <c r="AB377" s="15"/>
      <c r="AC377" s="15"/>
      <c r="AD377" s="15"/>
      <c r="AE377" s="15"/>
    </row>
    <row r="378" ht="15.0" customHeight="1">
      <c r="A378" s="134" t="s">
        <v>249</v>
      </c>
      <c r="B378" s="3" t="s">
        <v>282</v>
      </c>
      <c r="C378" s="3" t="s">
        <v>284</v>
      </c>
      <c r="D378" s="135" t="s">
        <v>240</v>
      </c>
      <c r="E378" s="48">
        <v>5.0</v>
      </c>
      <c r="F378" s="168" t="s">
        <v>235</v>
      </c>
      <c r="G378" s="137">
        <v>14.3706636</v>
      </c>
      <c r="H378" s="137">
        <v>0.27056894</v>
      </c>
      <c r="I378" s="137">
        <v>9.17684044</v>
      </c>
      <c r="J378" s="120">
        <f t="shared" si="1"/>
        <v>53.11276158</v>
      </c>
      <c r="K378" s="121">
        <v>-0.158</v>
      </c>
      <c r="L378" s="121">
        <v>-0.628</v>
      </c>
      <c r="M378" s="122">
        <f>K378-L378</f>
        <v>0.47</v>
      </c>
      <c r="N378" s="120">
        <v>32.9</v>
      </c>
      <c r="O378" s="120">
        <v>19.525192425531916</v>
      </c>
      <c r="P378" s="123">
        <v>21.116185157653202</v>
      </c>
      <c r="Q378" s="120">
        <v>0.4</v>
      </c>
      <c r="R378" s="120">
        <v>1.0814841000000002</v>
      </c>
      <c r="S378" s="15"/>
      <c r="T378" s="161"/>
      <c r="AA378" s="15"/>
      <c r="AB378" s="15"/>
      <c r="AC378" s="15"/>
      <c r="AD378" s="15"/>
      <c r="AE378" s="15"/>
    </row>
    <row r="379" ht="15.0" customHeight="1">
      <c r="A379" s="134" t="s">
        <v>249</v>
      </c>
      <c r="B379" s="3" t="s">
        <v>282</v>
      </c>
      <c r="C379" s="3" t="s">
        <v>284</v>
      </c>
      <c r="D379" s="135" t="s">
        <v>240</v>
      </c>
      <c r="E379" s="48">
        <v>6.0</v>
      </c>
      <c r="F379" s="168" t="s">
        <v>235</v>
      </c>
      <c r="G379" s="137">
        <v>11.1424675</v>
      </c>
      <c r="H379" s="137">
        <v>0.20691862</v>
      </c>
      <c r="I379" s="137">
        <v>5.4384462</v>
      </c>
      <c r="J379" s="120">
        <f t="shared" si="1"/>
        <v>53.84951581</v>
      </c>
      <c r="K379" s="121"/>
      <c r="L379" s="121">
        <v>-0.581</v>
      </c>
      <c r="M379" s="122"/>
      <c r="N379" s="120">
        <v>32.5</v>
      </c>
      <c r="O379" s="120">
        <v>13.26450292682927</v>
      </c>
      <c r="P379" s="123">
        <v>12.988356535872224</v>
      </c>
      <c r="Q379" s="120">
        <v>0.7</v>
      </c>
      <c r="R379" s="120">
        <v>0.9791815500000003</v>
      </c>
      <c r="S379" s="15"/>
      <c r="T379" s="161"/>
      <c r="AA379" s="15"/>
      <c r="AB379" s="15"/>
      <c r="AC379" s="15"/>
      <c r="AD379" s="15"/>
      <c r="AE379" s="15"/>
    </row>
    <row r="380" ht="15.0" customHeight="1">
      <c r="A380" s="134" t="s">
        <v>244</v>
      </c>
      <c r="B380" s="3" t="s">
        <v>278</v>
      </c>
      <c r="C380" s="3" t="s">
        <v>280</v>
      </c>
      <c r="D380" s="3" t="s">
        <v>251</v>
      </c>
      <c r="E380" s="48">
        <v>1.0</v>
      </c>
      <c r="F380" s="168" t="s">
        <v>235</v>
      </c>
      <c r="G380" s="137">
        <v>11.8459499</v>
      </c>
      <c r="H380" s="137">
        <v>0.20811701</v>
      </c>
      <c r="I380" s="137">
        <v>6.3184301</v>
      </c>
      <c r="J380" s="120">
        <f t="shared" si="1"/>
        <v>56.91966217</v>
      </c>
      <c r="K380" s="121">
        <v>-0.11</v>
      </c>
      <c r="L380" s="121">
        <v>-0.56</v>
      </c>
      <c r="M380" s="122">
        <f t="shared" ref="M380:M382" si="18">K380-L380</f>
        <v>0.45</v>
      </c>
      <c r="N380" s="120">
        <v>41.1</v>
      </c>
      <c r="O380" s="120">
        <v>14.040955777777775</v>
      </c>
      <c r="P380" s="123">
        <v>11.6966082983889</v>
      </c>
      <c r="Q380" s="120">
        <v>0.5</v>
      </c>
      <c r="R380" s="120">
        <v>0.8330350500000002</v>
      </c>
      <c r="S380" s="15"/>
      <c r="T380" s="161"/>
      <c r="AA380" s="15"/>
      <c r="AB380" s="15"/>
      <c r="AC380" s="15"/>
      <c r="AD380" s="15"/>
      <c r="AE380" s="15"/>
    </row>
    <row r="381" ht="15.0" customHeight="1">
      <c r="A381" s="134" t="s">
        <v>244</v>
      </c>
      <c r="B381" s="3" t="s">
        <v>278</v>
      </c>
      <c r="C381" s="3" t="s">
        <v>280</v>
      </c>
      <c r="D381" s="3" t="s">
        <v>251</v>
      </c>
      <c r="E381" s="48">
        <v>2.0</v>
      </c>
      <c r="F381" s="168" t="s">
        <v>235</v>
      </c>
      <c r="G381" s="137">
        <v>12.001527</v>
      </c>
      <c r="H381" s="137">
        <v>0.20927214</v>
      </c>
      <c r="I381" s="137">
        <v>7.60423028</v>
      </c>
      <c r="J381" s="120">
        <f t="shared" si="1"/>
        <v>57.34889986</v>
      </c>
      <c r="K381" s="121">
        <v>-0.154</v>
      </c>
      <c r="L381" s="121">
        <v>-0.625</v>
      </c>
      <c r="M381" s="122">
        <f t="shared" si="18"/>
        <v>0.471</v>
      </c>
      <c r="N381" s="120">
        <v>37.7</v>
      </c>
      <c r="O381" s="120">
        <v>16.144862590233547</v>
      </c>
      <c r="P381" s="123">
        <v>17.69636370407676</v>
      </c>
      <c r="Q381" s="120">
        <v>0.8</v>
      </c>
      <c r="R381" s="120">
        <v>1.0960987500000003</v>
      </c>
      <c r="S381" s="15"/>
      <c r="T381" s="161"/>
      <c r="AA381" s="15"/>
      <c r="AB381" s="15"/>
      <c r="AC381" s="15"/>
      <c r="AD381" s="15"/>
      <c r="AE381" s="15"/>
    </row>
    <row r="382" ht="15.0" customHeight="1">
      <c r="A382" s="134" t="s">
        <v>244</v>
      </c>
      <c r="B382" s="3" t="s">
        <v>278</v>
      </c>
      <c r="C382" s="3" t="s">
        <v>280</v>
      </c>
      <c r="D382" s="3" t="s">
        <v>251</v>
      </c>
      <c r="E382" s="48">
        <v>3.0</v>
      </c>
      <c r="F382" s="168" t="s">
        <v>235</v>
      </c>
      <c r="G382" s="137">
        <v>13.8570509</v>
      </c>
      <c r="H382" s="137">
        <v>0.228178</v>
      </c>
      <c r="I382" s="137">
        <v>8.19843406</v>
      </c>
      <c r="J382" s="120">
        <f t="shared" si="1"/>
        <v>60.7291277</v>
      </c>
      <c r="K382" s="121">
        <v>-0.097</v>
      </c>
      <c r="L382" s="121">
        <v>-0.649</v>
      </c>
      <c r="M382" s="122">
        <f t="shared" si="18"/>
        <v>0.552</v>
      </c>
      <c r="N382" s="120">
        <v>44.4</v>
      </c>
      <c r="O382" s="120">
        <v>14.852235615942028</v>
      </c>
      <c r="P382" s="123">
        <v>14.543035091383324</v>
      </c>
      <c r="Q382" s="120">
        <v>0.8</v>
      </c>
      <c r="R382" s="120">
        <v>0.9791815500000003</v>
      </c>
      <c r="S382" s="15"/>
      <c r="T382" s="161"/>
      <c r="AA382" s="15"/>
      <c r="AB382" s="15"/>
      <c r="AC382" s="15"/>
      <c r="AD382" s="15"/>
      <c r="AE382" s="15"/>
    </row>
    <row r="383" ht="15.0" customHeight="1">
      <c r="A383" s="134" t="s">
        <v>244</v>
      </c>
      <c r="B383" s="3" t="s">
        <v>278</v>
      </c>
      <c r="C383" s="3" t="s">
        <v>280</v>
      </c>
      <c r="D383" s="3" t="s">
        <v>251</v>
      </c>
      <c r="E383" s="48">
        <v>4.0</v>
      </c>
      <c r="F383" s="168" t="s">
        <v>235</v>
      </c>
      <c r="G383" s="137">
        <v>11.8322756</v>
      </c>
      <c r="H383" s="137">
        <v>0.20337674</v>
      </c>
      <c r="I383" s="137">
        <v>4.86298559</v>
      </c>
      <c r="J383" s="120">
        <f t="shared" si="1"/>
        <v>58.17909954</v>
      </c>
      <c r="K383" s="121"/>
      <c r="L383" s="121">
        <v>-0.667</v>
      </c>
      <c r="M383" s="122"/>
      <c r="N383" s="120">
        <v>42.0</v>
      </c>
      <c r="O383" s="120">
        <v>14.940047895545314</v>
      </c>
      <c r="P383" s="123">
        <v>16.157424252270722</v>
      </c>
      <c r="Q383" s="120">
        <v>1.0</v>
      </c>
      <c r="R383" s="120">
        <v>1.0814841000000002</v>
      </c>
      <c r="S383" s="15"/>
      <c r="T383" s="161"/>
      <c r="AA383" s="15"/>
      <c r="AB383" s="15"/>
      <c r="AC383" s="15"/>
      <c r="AD383" s="15"/>
      <c r="AE383" s="15"/>
    </row>
    <row r="384" ht="15.0" customHeight="1">
      <c r="A384" s="134" t="s">
        <v>244</v>
      </c>
      <c r="B384" s="3" t="s">
        <v>278</v>
      </c>
      <c r="C384" s="3" t="s">
        <v>280</v>
      </c>
      <c r="D384" s="3" t="s">
        <v>251</v>
      </c>
      <c r="E384" s="48">
        <v>5.0</v>
      </c>
      <c r="F384" s="168" t="s">
        <v>235</v>
      </c>
      <c r="G384" s="137">
        <v>14.4538233</v>
      </c>
      <c r="H384" s="137">
        <v>0.24261977</v>
      </c>
      <c r="I384" s="137">
        <v>8.25790989</v>
      </c>
      <c r="J384" s="120">
        <f t="shared" si="1"/>
        <v>59.57397165</v>
      </c>
      <c r="K384" s="121">
        <v>-0.132</v>
      </c>
      <c r="L384" s="121">
        <v>-0.667</v>
      </c>
      <c r="M384" s="122">
        <f>K384-L384</f>
        <v>0.535</v>
      </c>
      <c r="N384" s="120">
        <v>44.4</v>
      </c>
      <c r="O384" s="120">
        <v>15.435345588785047</v>
      </c>
      <c r="P384" s="123">
        <v>17.36982735250358</v>
      </c>
      <c r="Q384" s="120">
        <v>1.1</v>
      </c>
      <c r="R384" s="120">
        <v>1.1253280500000002</v>
      </c>
      <c r="S384" s="15"/>
      <c r="T384" s="161"/>
      <c r="AA384" s="15"/>
      <c r="AB384" s="15"/>
      <c r="AC384" s="15"/>
      <c r="AD384" s="15"/>
      <c r="AE384" s="15"/>
    </row>
    <row r="385" ht="15.0" customHeight="1">
      <c r="A385" s="153" t="s">
        <v>244</v>
      </c>
      <c r="B385" s="154" t="s">
        <v>278</v>
      </c>
      <c r="C385" s="3" t="s">
        <v>280</v>
      </c>
      <c r="D385" s="154" t="s">
        <v>251</v>
      </c>
      <c r="E385" s="155">
        <v>6.0</v>
      </c>
      <c r="F385" s="169" t="s">
        <v>235</v>
      </c>
      <c r="G385" s="157">
        <v>13.2335154</v>
      </c>
      <c r="H385" s="157">
        <v>0.23017239</v>
      </c>
      <c r="I385" s="157">
        <v>5.65841429</v>
      </c>
      <c r="J385" s="120">
        <f t="shared" si="1"/>
        <v>57.49393053</v>
      </c>
      <c r="K385" s="121"/>
      <c r="L385" s="121">
        <v>-0.701</v>
      </c>
      <c r="M385" s="122"/>
      <c r="N385" s="120">
        <v>39.4</v>
      </c>
      <c r="O385" s="120">
        <v>15.73967813630042</v>
      </c>
      <c r="P385" s="123">
        <v>16.792181756451857</v>
      </c>
      <c r="Q385" s="120">
        <v>0.8</v>
      </c>
      <c r="R385" s="120">
        <v>1.0668694500000002</v>
      </c>
      <c r="S385" s="15"/>
      <c r="T385" s="161"/>
      <c r="AA385" s="15"/>
      <c r="AB385" s="15"/>
      <c r="AC385" s="15"/>
      <c r="AD385" s="15"/>
      <c r="AE385" s="15"/>
    </row>
    <row r="386" ht="15.0" customHeight="1">
      <c r="A386" s="115" t="s">
        <v>238</v>
      </c>
      <c r="B386" s="116" t="s">
        <v>278</v>
      </c>
      <c r="C386" s="116" t="s">
        <v>279</v>
      </c>
      <c r="D386" s="116" t="s">
        <v>240</v>
      </c>
      <c r="E386" s="117">
        <v>1.0</v>
      </c>
      <c r="F386" s="170" t="s">
        <v>236</v>
      </c>
      <c r="G386" s="119">
        <v>15.4904713</v>
      </c>
      <c r="H386" s="119">
        <v>0.27752245</v>
      </c>
      <c r="I386" s="119">
        <v>6.34525778</v>
      </c>
      <c r="J386" s="120">
        <f t="shared" si="1"/>
        <v>55.81700255</v>
      </c>
      <c r="K386" s="121">
        <v>-0.36</v>
      </c>
      <c r="L386" s="121">
        <v>-0.76</v>
      </c>
      <c r="M386" s="122">
        <f t="shared" ref="M386:M481" si="19">K386-L386</f>
        <v>0.4</v>
      </c>
      <c r="N386" s="120">
        <v>53.8</v>
      </c>
      <c r="O386" s="120">
        <v>15.863144449999998</v>
      </c>
      <c r="P386" s="123">
        <v>11.128046593737242</v>
      </c>
      <c r="Q386" s="120">
        <v>0.0</v>
      </c>
      <c r="R386" s="120">
        <v>0.7015032000000001</v>
      </c>
      <c r="S386" s="15"/>
      <c r="T386" s="161"/>
      <c r="AA386" s="15"/>
      <c r="AB386" s="15"/>
      <c r="AC386" s="15"/>
      <c r="AD386" s="15"/>
      <c r="AE386" s="15"/>
    </row>
    <row r="387" ht="15.0" customHeight="1">
      <c r="A387" s="134" t="s">
        <v>238</v>
      </c>
      <c r="B387" s="135" t="s">
        <v>278</v>
      </c>
      <c r="C387" s="116" t="s">
        <v>279</v>
      </c>
      <c r="D387" s="135" t="s">
        <v>240</v>
      </c>
      <c r="E387" s="8">
        <v>2.0</v>
      </c>
      <c r="F387" s="171" t="s">
        <v>236</v>
      </c>
      <c r="G387" s="137">
        <v>17.6710788</v>
      </c>
      <c r="H387" s="137">
        <v>0.30400335</v>
      </c>
      <c r="I387" s="137">
        <v>9.36629486</v>
      </c>
      <c r="J387" s="120">
        <f t="shared" si="1"/>
        <v>58.12790813</v>
      </c>
      <c r="K387" s="121">
        <v>-0.38</v>
      </c>
      <c r="L387" s="121">
        <v>-0.75</v>
      </c>
      <c r="M387" s="122">
        <f t="shared" si="19"/>
        <v>0.37</v>
      </c>
      <c r="N387" s="120">
        <v>39.0</v>
      </c>
      <c r="O387" s="120">
        <v>25.314310432432432</v>
      </c>
      <c r="P387" s="123">
        <v>28.1169438090625</v>
      </c>
      <c r="Q387" s="120">
        <v>0.6</v>
      </c>
      <c r="R387" s="120">
        <v>1.1107134</v>
      </c>
      <c r="S387" s="15"/>
      <c r="T387" s="161"/>
      <c r="AA387" s="15"/>
      <c r="AB387" s="15"/>
      <c r="AC387" s="15"/>
      <c r="AD387" s="15"/>
      <c r="AE387" s="15"/>
    </row>
    <row r="388" ht="15.0" customHeight="1">
      <c r="A388" s="134" t="s">
        <v>238</v>
      </c>
      <c r="B388" s="135" t="s">
        <v>278</v>
      </c>
      <c r="C388" s="116" t="s">
        <v>279</v>
      </c>
      <c r="D388" s="135" t="s">
        <v>240</v>
      </c>
      <c r="E388" s="8">
        <v>3.0</v>
      </c>
      <c r="F388" s="171" t="s">
        <v>236</v>
      </c>
      <c r="G388" s="137">
        <v>13.3648281</v>
      </c>
      <c r="H388" s="137">
        <v>0.32627533</v>
      </c>
      <c r="I388" s="137">
        <v>10.3876313</v>
      </c>
      <c r="J388" s="120">
        <f t="shared" si="1"/>
        <v>40.96181008</v>
      </c>
      <c r="K388" s="121">
        <v>-0.34</v>
      </c>
      <c r="L388" s="121">
        <v>-0.682</v>
      </c>
      <c r="M388" s="122">
        <f t="shared" si="19"/>
        <v>0.342</v>
      </c>
      <c r="N388" s="120">
        <v>51.8</v>
      </c>
      <c r="O388" s="120">
        <v>30.373190935672515</v>
      </c>
      <c r="P388" s="123">
        <v>35.51148439264212</v>
      </c>
      <c r="Q388" s="120">
        <v>0.8</v>
      </c>
      <c r="R388" s="120">
        <v>1.1691720000000003</v>
      </c>
      <c r="S388" s="15"/>
      <c r="T388" s="161"/>
      <c r="AA388" s="15"/>
      <c r="AB388" s="15"/>
      <c r="AC388" s="15"/>
      <c r="AD388" s="15"/>
      <c r="AE388" s="15"/>
    </row>
    <row r="389" ht="15.0" customHeight="1">
      <c r="A389" s="134" t="s">
        <v>238</v>
      </c>
      <c r="B389" s="135" t="s">
        <v>278</v>
      </c>
      <c r="C389" s="116" t="s">
        <v>279</v>
      </c>
      <c r="D389" s="135" t="s">
        <v>240</v>
      </c>
      <c r="E389" s="8">
        <v>4.0</v>
      </c>
      <c r="F389" s="171" t="s">
        <v>236</v>
      </c>
      <c r="G389" s="137">
        <v>12.5180977</v>
      </c>
      <c r="H389" s="137">
        <v>0.26075209</v>
      </c>
      <c r="I389" s="137">
        <v>9.63986819</v>
      </c>
      <c r="J389" s="120">
        <f t="shared" si="1"/>
        <v>48.00766007</v>
      </c>
      <c r="K389" s="121">
        <v>-0.361</v>
      </c>
      <c r="L389" s="121">
        <v>-0.727</v>
      </c>
      <c r="M389" s="122">
        <f t="shared" si="19"/>
        <v>0.366</v>
      </c>
      <c r="N389" s="120">
        <v>39.4</v>
      </c>
      <c r="O389" s="120">
        <v>26.33843767759563</v>
      </c>
      <c r="P389" s="123">
        <v>25.405185181521617</v>
      </c>
      <c r="Q389" s="120">
        <v>0.4</v>
      </c>
      <c r="R389" s="120">
        <v>0.9645669000000001</v>
      </c>
      <c r="S389" s="15"/>
      <c r="T389" s="161"/>
      <c r="AA389" s="15"/>
      <c r="AB389" s="15"/>
      <c r="AC389" s="15"/>
      <c r="AD389" s="15"/>
      <c r="AE389" s="15"/>
    </row>
    <row r="390" ht="15.0" customHeight="1">
      <c r="A390" s="134" t="s">
        <v>238</v>
      </c>
      <c r="B390" s="135" t="s">
        <v>278</v>
      </c>
      <c r="C390" s="116" t="s">
        <v>279</v>
      </c>
      <c r="D390" s="135" t="s">
        <v>240</v>
      </c>
      <c r="E390" s="8">
        <v>5.0</v>
      </c>
      <c r="F390" s="171" t="s">
        <v>236</v>
      </c>
      <c r="G390" s="137">
        <v>9.37210234</v>
      </c>
      <c r="H390" s="137">
        <v>0.22884103</v>
      </c>
      <c r="I390" s="137">
        <v>8.5191611</v>
      </c>
      <c r="J390" s="120">
        <f t="shared" si="1"/>
        <v>40.95464148</v>
      </c>
      <c r="K390" s="121">
        <v>-0.45</v>
      </c>
      <c r="L390" s="121">
        <v>-0.896</v>
      </c>
      <c r="M390" s="122">
        <f t="shared" si="19"/>
        <v>0.446</v>
      </c>
      <c r="N390" s="120">
        <v>43.5</v>
      </c>
      <c r="O390" s="120">
        <v>19.101258071748877</v>
      </c>
      <c r="P390" s="123">
        <v>18.703599485645086</v>
      </c>
      <c r="Q390" s="120">
        <v>0.7</v>
      </c>
      <c r="R390" s="120">
        <v>0.9791815500000003</v>
      </c>
      <c r="S390" s="15"/>
      <c r="T390" s="161"/>
      <c r="AA390" s="15"/>
      <c r="AB390" s="15"/>
      <c r="AC390" s="15"/>
      <c r="AD390" s="15"/>
      <c r="AE390" s="15"/>
    </row>
    <row r="391" ht="15.0" customHeight="1">
      <c r="A391" s="134" t="s">
        <v>238</v>
      </c>
      <c r="B391" s="135" t="s">
        <v>278</v>
      </c>
      <c r="C391" s="116" t="s">
        <v>279</v>
      </c>
      <c r="D391" s="135" t="s">
        <v>240</v>
      </c>
      <c r="E391" s="8">
        <v>6.0</v>
      </c>
      <c r="F391" s="171" t="s">
        <v>236</v>
      </c>
      <c r="G391" s="137">
        <v>2.64151583</v>
      </c>
      <c r="H391" s="137">
        <v>0.10284928</v>
      </c>
      <c r="I391" s="137">
        <v>4.71377678</v>
      </c>
      <c r="J391" s="120">
        <f t="shared" si="1"/>
        <v>25.68336725</v>
      </c>
      <c r="K391" s="121">
        <v>-0.385</v>
      </c>
      <c r="L391" s="121">
        <v>-0.887</v>
      </c>
      <c r="M391" s="122">
        <f t="shared" si="19"/>
        <v>0.502</v>
      </c>
      <c r="N391" s="120">
        <v>25.3</v>
      </c>
      <c r="O391" s="120">
        <v>9.38999358565737</v>
      </c>
      <c r="P391" s="123">
        <v>9.4689714132073</v>
      </c>
      <c r="Q391" s="120">
        <v>0.0</v>
      </c>
      <c r="R391" s="120">
        <v>1.0084108500000002</v>
      </c>
      <c r="S391" s="15"/>
      <c r="T391" s="161"/>
      <c r="AA391" s="15"/>
      <c r="AB391" s="15"/>
      <c r="AC391" s="15"/>
      <c r="AD391" s="15"/>
      <c r="AE391" s="15"/>
    </row>
    <row r="392" ht="15.0" customHeight="1">
      <c r="A392" s="134" t="s">
        <v>244</v>
      </c>
      <c r="B392" s="3" t="s">
        <v>278</v>
      </c>
      <c r="C392" s="3" t="s">
        <v>280</v>
      </c>
      <c r="D392" s="135" t="s">
        <v>240</v>
      </c>
      <c r="E392" s="8">
        <v>1.0</v>
      </c>
      <c r="F392" s="171" t="s">
        <v>236</v>
      </c>
      <c r="G392" s="137">
        <v>15.8518801</v>
      </c>
      <c r="H392" s="137">
        <v>0.26821953</v>
      </c>
      <c r="I392" s="137">
        <v>6.45437293</v>
      </c>
      <c r="J392" s="120">
        <f t="shared" si="1"/>
        <v>59.10039474</v>
      </c>
      <c r="K392" s="121">
        <v>-0.24</v>
      </c>
      <c r="L392" s="121">
        <v>-0.706</v>
      </c>
      <c r="M392" s="122">
        <f t="shared" si="19"/>
        <v>0.466</v>
      </c>
      <c r="N392" s="120">
        <v>51.0</v>
      </c>
      <c r="O392" s="120">
        <v>13.850585686695279</v>
      </c>
      <c r="P392" s="123">
        <v>15.181609657954592</v>
      </c>
      <c r="Q392" s="120">
        <v>1.9</v>
      </c>
      <c r="R392" s="120">
        <v>1.0960987500000003</v>
      </c>
      <c r="S392" s="15"/>
      <c r="T392" s="161"/>
      <c r="AA392" s="15"/>
      <c r="AB392" s="15"/>
      <c r="AC392" s="15"/>
      <c r="AD392" s="15"/>
      <c r="AE392" s="15"/>
    </row>
    <row r="393" ht="15.0" customHeight="1">
      <c r="A393" s="134" t="s">
        <v>244</v>
      </c>
      <c r="B393" s="3" t="s">
        <v>278</v>
      </c>
      <c r="C393" s="3" t="s">
        <v>280</v>
      </c>
      <c r="D393" s="135" t="s">
        <v>240</v>
      </c>
      <c r="E393" s="8">
        <v>2.0</v>
      </c>
      <c r="F393" s="171" t="s">
        <v>236</v>
      </c>
      <c r="G393" s="137">
        <v>15.6200479</v>
      </c>
      <c r="H393" s="137">
        <v>0.33657086</v>
      </c>
      <c r="I393" s="137">
        <v>9.7406259</v>
      </c>
      <c r="J393" s="120">
        <f t="shared" si="1"/>
        <v>46.4093888</v>
      </c>
      <c r="K393" s="121">
        <v>-0.42</v>
      </c>
      <c r="L393" s="121">
        <v>-0.716</v>
      </c>
      <c r="M393" s="122">
        <f t="shared" si="19"/>
        <v>0.296</v>
      </c>
      <c r="N393" s="120">
        <v>37.9</v>
      </c>
      <c r="O393" s="120">
        <v>32.907519932432436</v>
      </c>
      <c r="P393" s="123">
        <v>34.14616391881718</v>
      </c>
      <c r="Q393" s="120">
        <v>0.2</v>
      </c>
      <c r="R393" s="120">
        <v>1.03764015</v>
      </c>
      <c r="S393" s="15"/>
      <c r="T393" s="161"/>
      <c r="AA393" s="15"/>
      <c r="AB393" s="15"/>
      <c r="AC393" s="15"/>
      <c r="AD393" s="15"/>
      <c r="AE393" s="15"/>
    </row>
    <row r="394" ht="15.0" customHeight="1">
      <c r="A394" s="134" t="s">
        <v>244</v>
      </c>
      <c r="B394" s="3" t="s">
        <v>278</v>
      </c>
      <c r="C394" s="3" t="s">
        <v>280</v>
      </c>
      <c r="D394" s="135" t="s">
        <v>240</v>
      </c>
      <c r="E394" s="8">
        <v>3.0</v>
      </c>
      <c r="F394" s="171" t="s">
        <v>236</v>
      </c>
      <c r="G394" s="137">
        <v>15.5422087</v>
      </c>
      <c r="H394" s="137">
        <v>0.31037439</v>
      </c>
      <c r="I394" s="137">
        <v>10.241571</v>
      </c>
      <c r="J394" s="120">
        <f t="shared" si="1"/>
        <v>50.07568021</v>
      </c>
      <c r="K394" s="121">
        <v>-0.355</v>
      </c>
      <c r="L394" s="121">
        <v>-0.84</v>
      </c>
      <c r="M394" s="122">
        <f t="shared" si="19"/>
        <v>0.485</v>
      </c>
      <c r="N394" s="120">
        <v>39.0</v>
      </c>
      <c r="O394" s="120">
        <v>21.116641237113402</v>
      </c>
      <c r="P394" s="123">
        <v>20.059800855638667</v>
      </c>
      <c r="Q394" s="120">
        <v>0.0</v>
      </c>
      <c r="R394" s="120">
        <v>0.9499522500000003</v>
      </c>
      <c r="S394" s="15"/>
      <c r="T394" s="161"/>
      <c r="AA394" s="15"/>
      <c r="AB394" s="15"/>
      <c r="AC394" s="15"/>
      <c r="AD394" s="15"/>
      <c r="AE394" s="15"/>
    </row>
    <row r="395" ht="15.0" customHeight="1">
      <c r="A395" s="134" t="s">
        <v>244</v>
      </c>
      <c r="B395" s="3" t="s">
        <v>278</v>
      </c>
      <c r="C395" s="3" t="s">
        <v>280</v>
      </c>
      <c r="D395" s="135" t="s">
        <v>240</v>
      </c>
      <c r="E395" s="8">
        <v>4.0</v>
      </c>
      <c r="F395" s="171" t="s">
        <v>236</v>
      </c>
      <c r="G395" s="137">
        <v>14.3782403</v>
      </c>
      <c r="H395" s="137">
        <v>0.30586368</v>
      </c>
      <c r="I395" s="137">
        <v>10.8987719</v>
      </c>
      <c r="J395" s="120">
        <f t="shared" si="1"/>
        <v>47.00865529</v>
      </c>
      <c r="K395" s="121">
        <v>-0.261</v>
      </c>
      <c r="L395" s="121">
        <v>-0.62</v>
      </c>
      <c r="M395" s="122">
        <f t="shared" si="19"/>
        <v>0.359</v>
      </c>
      <c r="N395" s="120">
        <v>46.7</v>
      </c>
      <c r="O395" s="120">
        <v>30.358696100278554</v>
      </c>
      <c r="P395" s="123">
        <v>27.064584795678098</v>
      </c>
      <c r="Q395" s="120">
        <v>0.4</v>
      </c>
      <c r="R395" s="120">
        <v>0.8914936500000001</v>
      </c>
      <c r="S395" s="15"/>
      <c r="T395" s="161"/>
      <c r="AA395" s="15"/>
      <c r="AB395" s="15"/>
      <c r="AC395" s="15"/>
      <c r="AD395" s="15"/>
      <c r="AE395" s="15"/>
    </row>
    <row r="396" ht="15.0" customHeight="1">
      <c r="A396" s="134" t="s">
        <v>244</v>
      </c>
      <c r="B396" s="3" t="s">
        <v>278</v>
      </c>
      <c r="C396" s="3" t="s">
        <v>280</v>
      </c>
      <c r="D396" s="135" t="s">
        <v>240</v>
      </c>
      <c r="E396" s="8">
        <v>5.0</v>
      </c>
      <c r="F396" s="171" t="s">
        <v>236</v>
      </c>
      <c r="G396" s="137">
        <v>12.675784</v>
      </c>
      <c r="H396" s="137">
        <v>0.27022632</v>
      </c>
      <c r="I396" s="137">
        <v>9.93268645</v>
      </c>
      <c r="J396" s="120">
        <f t="shared" si="1"/>
        <v>46.9080288</v>
      </c>
      <c r="K396" s="121">
        <v>-0.387</v>
      </c>
      <c r="L396" s="121">
        <v>-0.83</v>
      </c>
      <c r="M396" s="122">
        <f t="shared" si="19"/>
        <v>0.443</v>
      </c>
      <c r="N396" s="120">
        <v>38.8</v>
      </c>
      <c r="O396" s="120">
        <v>22.42141410835215</v>
      </c>
      <c r="P396" s="123">
        <v>24.24840285769853</v>
      </c>
      <c r="Q396" s="120">
        <v>0.3</v>
      </c>
      <c r="R396" s="120">
        <v>1.0814841000000002</v>
      </c>
      <c r="S396" s="15"/>
      <c r="T396" s="161"/>
      <c r="AA396" s="15"/>
      <c r="AB396" s="15"/>
      <c r="AC396" s="15"/>
      <c r="AD396" s="15"/>
      <c r="AE396" s="15"/>
    </row>
    <row r="397" ht="15.0" customHeight="1">
      <c r="A397" s="134" t="s">
        <v>244</v>
      </c>
      <c r="B397" s="3" t="s">
        <v>278</v>
      </c>
      <c r="C397" s="3" t="s">
        <v>280</v>
      </c>
      <c r="D397" s="135" t="s">
        <v>240</v>
      </c>
      <c r="E397" s="8">
        <v>6.0</v>
      </c>
      <c r="F397" s="171" t="s">
        <v>236</v>
      </c>
      <c r="G397" s="137">
        <v>17.3548808</v>
      </c>
      <c r="H397" s="137">
        <v>0.30781141</v>
      </c>
      <c r="I397" s="137">
        <v>10.8475061</v>
      </c>
      <c r="J397" s="120">
        <f t="shared" si="1"/>
        <v>56.38153829</v>
      </c>
      <c r="K397" s="121">
        <v>-0.41</v>
      </c>
      <c r="L397" s="121">
        <v>-0.855</v>
      </c>
      <c r="M397" s="122">
        <f t="shared" si="19"/>
        <v>0.445</v>
      </c>
      <c r="N397" s="120">
        <v>38.3</v>
      </c>
      <c r="O397" s="120">
        <v>24.37641820224719</v>
      </c>
      <c r="P397" s="123">
        <v>29.568984083196177</v>
      </c>
      <c r="Q397" s="120">
        <v>0.5</v>
      </c>
      <c r="R397" s="120">
        <v>1.2130159500000004</v>
      </c>
      <c r="S397" s="15"/>
      <c r="T397" s="161"/>
      <c r="AA397" s="15"/>
      <c r="AB397" s="15"/>
      <c r="AC397" s="15"/>
      <c r="AD397" s="15"/>
      <c r="AE397" s="15"/>
    </row>
    <row r="398" ht="15.0" customHeight="1">
      <c r="A398" s="134" t="s">
        <v>249</v>
      </c>
      <c r="B398" s="3" t="s">
        <v>278</v>
      </c>
      <c r="C398" s="3" t="s">
        <v>281</v>
      </c>
      <c r="D398" s="3" t="s">
        <v>251</v>
      </c>
      <c r="E398" s="8">
        <v>1.0</v>
      </c>
      <c r="F398" s="171" t="s">
        <v>236</v>
      </c>
      <c r="G398" s="137">
        <v>15.5159098</v>
      </c>
      <c r="H398" s="137">
        <v>0.30482115</v>
      </c>
      <c r="I398" s="137">
        <v>7.42670604</v>
      </c>
      <c r="J398" s="120">
        <f t="shared" si="1"/>
        <v>50.90168382</v>
      </c>
      <c r="K398" s="121">
        <v>-0.255</v>
      </c>
      <c r="L398" s="121">
        <v>-0.82</v>
      </c>
      <c r="M398" s="122">
        <f t="shared" si="19"/>
        <v>0.565</v>
      </c>
      <c r="N398" s="120">
        <v>31.0</v>
      </c>
      <c r="O398" s="120">
        <v>13.144612460176992</v>
      </c>
      <c r="P398" s="123">
        <v>16.32883239174569</v>
      </c>
      <c r="Q398" s="120">
        <v>0.6</v>
      </c>
      <c r="R398" s="120">
        <v>1.2422452500000003</v>
      </c>
      <c r="S398" s="15"/>
      <c r="T398" s="161"/>
      <c r="AA398" s="15"/>
      <c r="AB398" s="15"/>
      <c r="AC398" s="15"/>
      <c r="AD398" s="15"/>
      <c r="AE398" s="15"/>
    </row>
    <row r="399" ht="15.0" customHeight="1">
      <c r="A399" s="134" t="s">
        <v>249</v>
      </c>
      <c r="B399" s="3" t="s">
        <v>278</v>
      </c>
      <c r="C399" s="3" t="s">
        <v>281</v>
      </c>
      <c r="D399" s="3" t="s">
        <v>251</v>
      </c>
      <c r="E399" s="8">
        <v>2.0</v>
      </c>
      <c r="F399" s="171" t="s">
        <v>236</v>
      </c>
      <c r="G399" s="137">
        <v>19.3848092</v>
      </c>
      <c r="H399" s="137">
        <v>0.37295951</v>
      </c>
      <c r="I399" s="137">
        <v>10.391039</v>
      </c>
      <c r="J399" s="120">
        <f t="shared" si="1"/>
        <v>51.97563993</v>
      </c>
      <c r="K399" s="121">
        <v>-0.244</v>
      </c>
      <c r="L399" s="121">
        <v>-0.62</v>
      </c>
      <c r="M399" s="122">
        <f t="shared" si="19"/>
        <v>0.376</v>
      </c>
      <c r="N399" s="120">
        <v>43.9</v>
      </c>
      <c r="O399" s="120">
        <v>27.635742021276595</v>
      </c>
      <c r="P399" s="123">
        <v>30.29150228484376</v>
      </c>
      <c r="Q399" s="120">
        <v>0.5</v>
      </c>
      <c r="R399" s="120">
        <v>1.0960987500000003</v>
      </c>
      <c r="S399" s="15"/>
      <c r="T399" s="161"/>
      <c r="AA399" s="15"/>
      <c r="AB399" s="15"/>
      <c r="AC399" s="15"/>
      <c r="AD399" s="15"/>
      <c r="AE399" s="15"/>
    </row>
    <row r="400" ht="15.0" customHeight="1">
      <c r="A400" s="134" t="s">
        <v>249</v>
      </c>
      <c r="B400" s="3" t="s">
        <v>278</v>
      </c>
      <c r="C400" s="3" t="s">
        <v>281</v>
      </c>
      <c r="D400" s="3" t="s">
        <v>251</v>
      </c>
      <c r="E400" s="8">
        <v>3.0</v>
      </c>
      <c r="F400" s="171" t="s">
        <v>236</v>
      </c>
      <c r="G400" s="137">
        <v>13.6242321</v>
      </c>
      <c r="H400" s="137">
        <v>0.28867024</v>
      </c>
      <c r="I400" s="137">
        <v>9.84464659</v>
      </c>
      <c r="J400" s="120">
        <f t="shared" si="1"/>
        <v>47.19652466</v>
      </c>
      <c r="K400" s="121">
        <v>-0.23</v>
      </c>
      <c r="L400" s="121">
        <v>-0.65</v>
      </c>
      <c r="M400" s="122">
        <f t="shared" si="19"/>
        <v>0.42</v>
      </c>
      <c r="N400" s="120">
        <v>37.4</v>
      </c>
      <c r="O400" s="120">
        <v>23.439634738095236</v>
      </c>
      <c r="P400" s="123">
        <v>26.719840510358086</v>
      </c>
      <c r="Q400" s="120">
        <v>0.4</v>
      </c>
      <c r="R400" s="120">
        <v>1.1399427000000004</v>
      </c>
      <c r="S400" s="15"/>
      <c r="T400" s="161"/>
      <c r="AA400" s="15"/>
      <c r="AB400" s="15"/>
      <c r="AC400" s="15"/>
      <c r="AD400" s="15"/>
      <c r="AE400" s="15"/>
    </row>
    <row r="401" ht="15.0" customHeight="1">
      <c r="A401" s="134" t="s">
        <v>249</v>
      </c>
      <c r="B401" s="3" t="s">
        <v>278</v>
      </c>
      <c r="C401" s="3" t="s">
        <v>281</v>
      </c>
      <c r="D401" s="3" t="s">
        <v>251</v>
      </c>
      <c r="E401" s="8">
        <v>4.0</v>
      </c>
      <c r="F401" s="171" t="s">
        <v>236</v>
      </c>
      <c r="G401" s="137">
        <v>10.7955491</v>
      </c>
      <c r="H401" s="137">
        <v>0.21027429</v>
      </c>
      <c r="I401" s="137">
        <v>8.0897524</v>
      </c>
      <c r="J401" s="120">
        <f t="shared" si="1"/>
        <v>51.34031888</v>
      </c>
      <c r="K401" s="121">
        <v>-0.157</v>
      </c>
      <c r="L401" s="121">
        <v>-0.68</v>
      </c>
      <c r="M401" s="122">
        <f t="shared" si="19"/>
        <v>0.523</v>
      </c>
      <c r="N401" s="120">
        <v>36.7</v>
      </c>
      <c r="O401" s="120">
        <v>15.467977820267686</v>
      </c>
      <c r="P401" s="123">
        <v>18.31078564612899</v>
      </c>
      <c r="Q401" s="120">
        <v>1.0</v>
      </c>
      <c r="R401" s="120">
        <v>1.1837866500000003</v>
      </c>
      <c r="S401" s="15"/>
      <c r="T401" s="161"/>
      <c r="AA401" s="15"/>
      <c r="AB401" s="15"/>
      <c r="AC401" s="15"/>
      <c r="AD401" s="15"/>
      <c r="AE401" s="15"/>
    </row>
    <row r="402" ht="15.0" customHeight="1">
      <c r="A402" s="134" t="s">
        <v>249</v>
      </c>
      <c r="B402" s="3" t="s">
        <v>278</v>
      </c>
      <c r="C402" s="3" t="s">
        <v>281</v>
      </c>
      <c r="D402" s="3" t="s">
        <v>251</v>
      </c>
      <c r="E402" s="8">
        <v>5.0</v>
      </c>
      <c r="F402" s="171" t="s">
        <v>236</v>
      </c>
      <c r="G402" s="137">
        <v>14.6168297</v>
      </c>
      <c r="H402" s="137">
        <v>0.28226735</v>
      </c>
      <c r="I402" s="137">
        <v>10.2188846</v>
      </c>
      <c r="J402" s="120">
        <f t="shared" si="1"/>
        <v>51.78363597</v>
      </c>
      <c r="K402" s="121">
        <v>-0.364</v>
      </c>
      <c r="L402" s="121">
        <v>-0.73</v>
      </c>
      <c r="M402" s="122">
        <f t="shared" si="19"/>
        <v>0.366</v>
      </c>
      <c r="N402" s="120">
        <v>42.4</v>
      </c>
      <c r="O402" s="120">
        <v>27.92044972677596</v>
      </c>
      <c r="P402" s="123">
        <v>35.908188852749525</v>
      </c>
      <c r="Q402" s="120">
        <v>0.6</v>
      </c>
      <c r="R402" s="120">
        <v>1.2860892000000004</v>
      </c>
      <c r="S402" s="15"/>
      <c r="T402" s="161"/>
      <c r="AA402" s="15"/>
      <c r="AB402" s="15"/>
      <c r="AC402" s="15"/>
      <c r="AD402" s="15"/>
      <c r="AE402" s="15"/>
    </row>
    <row r="403" ht="15.0" customHeight="1">
      <c r="A403" s="134" t="s">
        <v>249</v>
      </c>
      <c r="B403" s="3" t="s">
        <v>278</v>
      </c>
      <c r="C403" s="3" t="s">
        <v>281</v>
      </c>
      <c r="D403" s="3" t="s">
        <v>251</v>
      </c>
      <c r="E403" s="8">
        <v>6.0</v>
      </c>
      <c r="F403" s="171" t="s">
        <v>236</v>
      </c>
      <c r="G403" s="137">
        <v>13.4182311</v>
      </c>
      <c r="H403" s="137">
        <v>0.27352574</v>
      </c>
      <c r="I403" s="137">
        <v>9.79379558</v>
      </c>
      <c r="J403" s="120">
        <f t="shared" si="1"/>
        <v>49.05655716</v>
      </c>
      <c r="K403" s="121">
        <v>-0.383</v>
      </c>
      <c r="L403" s="121">
        <v>-0.737</v>
      </c>
      <c r="M403" s="122">
        <f t="shared" si="19"/>
        <v>0.354</v>
      </c>
      <c r="N403" s="120">
        <v>36.6</v>
      </c>
      <c r="O403" s="120">
        <v>27.666089209039548</v>
      </c>
      <c r="P403" s="123">
        <v>34.77239811666453</v>
      </c>
      <c r="Q403" s="120">
        <v>0.4</v>
      </c>
      <c r="R403" s="120">
        <v>1.2568599000000003</v>
      </c>
      <c r="S403" s="15"/>
      <c r="T403" s="161"/>
      <c r="AA403" s="15"/>
      <c r="AB403" s="15"/>
      <c r="AC403" s="15"/>
      <c r="AD403" s="15"/>
      <c r="AE403" s="15"/>
    </row>
    <row r="404" ht="15.0" customHeight="1">
      <c r="A404" s="134" t="s">
        <v>256</v>
      </c>
      <c r="B404" s="3" t="s">
        <v>282</v>
      </c>
      <c r="C404" s="3" t="s">
        <v>283</v>
      </c>
      <c r="D404" s="135" t="s">
        <v>240</v>
      </c>
      <c r="E404" s="8">
        <v>1.0</v>
      </c>
      <c r="F404" s="171" t="s">
        <v>236</v>
      </c>
      <c r="G404" s="137">
        <v>15.5121329</v>
      </c>
      <c r="H404" s="137">
        <v>0.19666855</v>
      </c>
      <c r="I404" s="137">
        <v>5.83259494</v>
      </c>
      <c r="J404" s="120">
        <f t="shared" si="1"/>
        <v>78.87449671</v>
      </c>
      <c r="K404" s="121">
        <v>-0.37</v>
      </c>
      <c r="L404" s="121">
        <v>-0.718</v>
      </c>
      <c r="M404" s="122">
        <f t="shared" si="19"/>
        <v>0.348</v>
      </c>
      <c r="N404" s="120">
        <v>54.1</v>
      </c>
      <c r="O404" s="120">
        <v>16.76033028735632</v>
      </c>
      <c r="P404" s="123">
        <v>17.881084355490184</v>
      </c>
      <c r="Q404" s="120">
        <v>0.7</v>
      </c>
      <c r="R404" s="120">
        <v>1.0668694500000002</v>
      </c>
      <c r="S404" s="15"/>
      <c r="T404" s="161"/>
      <c r="AA404" s="15"/>
      <c r="AB404" s="15"/>
      <c r="AC404" s="15"/>
      <c r="AD404" s="15"/>
      <c r="AE404" s="15"/>
    </row>
    <row r="405" ht="15.0" customHeight="1">
      <c r="A405" s="134" t="s">
        <v>256</v>
      </c>
      <c r="B405" s="3" t="s">
        <v>282</v>
      </c>
      <c r="C405" s="3" t="s">
        <v>283</v>
      </c>
      <c r="D405" s="135" t="s">
        <v>240</v>
      </c>
      <c r="E405" s="8">
        <v>2.0</v>
      </c>
      <c r="F405" s="171" t="s">
        <v>236</v>
      </c>
      <c r="G405" s="137">
        <v>16.4547738</v>
      </c>
      <c r="H405" s="137">
        <v>0.34653088</v>
      </c>
      <c r="I405" s="137">
        <v>10.1183738</v>
      </c>
      <c r="J405" s="120">
        <f t="shared" si="1"/>
        <v>47.48429289</v>
      </c>
      <c r="K405" s="121">
        <v>-0.364</v>
      </c>
      <c r="L405" s="121">
        <v>-0.64</v>
      </c>
      <c r="M405" s="122">
        <f t="shared" si="19"/>
        <v>0.276</v>
      </c>
      <c r="N405" s="120">
        <v>40.2</v>
      </c>
      <c r="O405" s="120">
        <v>36.66077463768116</v>
      </c>
      <c r="P405" s="123">
        <v>38.57647608421827</v>
      </c>
      <c r="Q405" s="120">
        <v>0.5</v>
      </c>
      <c r="R405" s="120">
        <v>1.0522548000000003</v>
      </c>
      <c r="S405" s="15"/>
      <c r="T405" s="161"/>
      <c r="AA405" s="15"/>
      <c r="AB405" s="15"/>
      <c r="AC405" s="15"/>
      <c r="AD405" s="15"/>
      <c r="AE405" s="15"/>
    </row>
    <row r="406" ht="15.0" customHeight="1">
      <c r="A406" s="134" t="s">
        <v>256</v>
      </c>
      <c r="B406" s="3" t="s">
        <v>282</v>
      </c>
      <c r="C406" s="3" t="s">
        <v>283</v>
      </c>
      <c r="D406" s="135" t="s">
        <v>240</v>
      </c>
      <c r="E406" s="8">
        <v>3.0</v>
      </c>
      <c r="F406" s="171" t="s">
        <v>236</v>
      </c>
      <c r="G406" s="137">
        <v>16.3934725</v>
      </c>
      <c r="H406" s="137">
        <v>0.29508484</v>
      </c>
      <c r="I406" s="137">
        <v>9.98975729</v>
      </c>
      <c r="J406" s="120">
        <f t="shared" si="1"/>
        <v>55.55511595</v>
      </c>
      <c r="K406" s="121">
        <v>-0.341</v>
      </c>
      <c r="L406" s="121">
        <v>-0.663</v>
      </c>
      <c r="M406" s="122">
        <f t="shared" si="19"/>
        <v>0.322</v>
      </c>
      <c r="N406" s="120">
        <v>45.0</v>
      </c>
      <c r="O406" s="120">
        <v>31.02409096273292</v>
      </c>
      <c r="P406" s="123">
        <v>33.09865486216085</v>
      </c>
      <c r="Q406" s="120">
        <v>0.4</v>
      </c>
      <c r="R406" s="120">
        <v>1.0668694500000002</v>
      </c>
      <c r="S406" s="15"/>
      <c r="T406" s="161"/>
      <c r="AA406" s="15"/>
      <c r="AB406" s="15"/>
      <c r="AC406" s="15"/>
      <c r="AD406" s="15"/>
      <c r="AE406" s="15"/>
    </row>
    <row r="407" ht="15.0" customHeight="1">
      <c r="A407" s="134" t="s">
        <v>256</v>
      </c>
      <c r="B407" s="3" t="s">
        <v>282</v>
      </c>
      <c r="C407" s="3" t="s">
        <v>283</v>
      </c>
      <c r="D407" s="135" t="s">
        <v>240</v>
      </c>
      <c r="E407" s="8">
        <v>4.0</v>
      </c>
      <c r="F407" s="171" t="s">
        <v>236</v>
      </c>
      <c r="G407" s="137">
        <v>8.86524014</v>
      </c>
      <c r="H407" s="137">
        <v>0.14415177</v>
      </c>
      <c r="I407" s="137">
        <v>6.285157</v>
      </c>
      <c r="J407" s="120">
        <f t="shared" si="1"/>
        <v>61.49934989</v>
      </c>
      <c r="K407" s="121">
        <v>-0.302</v>
      </c>
      <c r="L407" s="121">
        <v>-0.672</v>
      </c>
      <c r="M407" s="122">
        <f t="shared" si="19"/>
        <v>0.37</v>
      </c>
      <c r="N407" s="120">
        <v>44.2</v>
      </c>
      <c r="O407" s="120">
        <v>16.98691081081081</v>
      </c>
      <c r="P407" s="123">
        <v>16.38501190136027</v>
      </c>
      <c r="Q407" s="120">
        <v>0.2</v>
      </c>
      <c r="R407" s="120">
        <v>0.9645669000000001</v>
      </c>
      <c r="S407" s="15"/>
      <c r="T407" s="161"/>
      <c r="AA407" s="15"/>
      <c r="AB407" s="15"/>
      <c r="AC407" s="15"/>
      <c r="AD407" s="15"/>
      <c r="AE407" s="15"/>
    </row>
    <row r="408" ht="15.0" customHeight="1">
      <c r="A408" s="134" t="s">
        <v>256</v>
      </c>
      <c r="B408" s="3" t="s">
        <v>282</v>
      </c>
      <c r="C408" s="3" t="s">
        <v>283</v>
      </c>
      <c r="D408" s="135" t="s">
        <v>240</v>
      </c>
      <c r="E408" s="8">
        <v>5.0</v>
      </c>
      <c r="F408" s="171" t="s">
        <v>236</v>
      </c>
      <c r="G408" s="137">
        <v>11.6248113</v>
      </c>
      <c r="H408" s="137">
        <v>0.17729729</v>
      </c>
      <c r="I408" s="137">
        <v>7.68075121</v>
      </c>
      <c r="J408" s="120">
        <f t="shared" si="1"/>
        <v>65.56677375</v>
      </c>
      <c r="K408" s="121">
        <v>-0.43</v>
      </c>
      <c r="L408" s="121">
        <v>-0.685</v>
      </c>
      <c r="M408" s="122">
        <f t="shared" si="19"/>
        <v>0.255</v>
      </c>
      <c r="N408" s="120">
        <v>45.9</v>
      </c>
      <c r="O408" s="120">
        <v>30.12059298039215</v>
      </c>
      <c r="P408" s="123">
        <v>32.13474046666484</v>
      </c>
      <c r="Q408" s="120">
        <v>0.3</v>
      </c>
      <c r="R408" s="120">
        <v>1.0668694500000002</v>
      </c>
      <c r="S408" s="15"/>
      <c r="T408" s="161"/>
      <c r="AA408" s="15"/>
      <c r="AB408" s="15"/>
      <c r="AC408" s="15"/>
      <c r="AD408" s="15"/>
      <c r="AE408" s="15"/>
    </row>
    <row r="409" ht="15.0" customHeight="1">
      <c r="A409" s="134" t="s">
        <v>256</v>
      </c>
      <c r="B409" s="3" t="s">
        <v>282</v>
      </c>
      <c r="C409" s="3" t="s">
        <v>283</v>
      </c>
      <c r="D409" s="135" t="s">
        <v>240</v>
      </c>
      <c r="E409" s="8">
        <v>6.0</v>
      </c>
      <c r="F409" s="171" t="s">
        <v>236</v>
      </c>
      <c r="G409" s="137">
        <v>9.47976695</v>
      </c>
      <c r="H409" s="137">
        <v>0.13586879</v>
      </c>
      <c r="I409" s="137">
        <v>6.36052029</v>
      </c>
      <c r="J409" s="120">
        <f t="shared" si="1"/>
        <v>69.77148284</v>
      </c>
      <c r="K409" s="121">
        <v>-0.296</v>
      </c>
      <c r="L409" s="121">
        <v>-0.736</v>
      </c>
      <c r="M409" s="122">
        <f t="shared" si="19"/>
        <v>0.44</v>
      </c>
      <c r="N409" s="120">
        <v>53.3</v>
      </c>
      <c r="O409" s="120">
        <v>14.455727931818183</v>
      </c>
      <c r="P409" s="123">
        <v>17.535028550155975</v>
      </c>
      <c r="Q409" s="120">
        <v>0.9</v>
      </c>
      <c r="R409" s="120">
        <v>1.2130159500000004</v>
      </c>
      <c r="S409" s="15"/>
      <c r="T409" s="161"/>
      <c r="AA409" s="15"/>
      <c r="AB409" s="15"/>
      <c r="AC409" s="15"/>
      <c r="AD409" s="15"/>
      <c r="AE409" s="15"/>
    </row>
    <row r="410" ht="15.0" customHeight="1">
      <c r="A410" s="134" t="s">
        <v>249</v>
      </c>
      <c r="B410" s="3" t="s">
        <v>282</v>
      </c>
      <c r="C410" s="3" t="s">
        <v>284</v>
      </c>
      <c r="D410" s="3" t="s">
        <v>251</v>
      </c>
      <c r="E410" s="8">
        <v>1.0</v>
      </c>
      <c r="F410" s="171" t="s">
        <v>236</v>
      </c>
      <c r="G410" s="137">
        <v>17.7268713</v>
      </c>
      <c r="H410" s="137">
        <v>0.45409322</v>
      </c>
      <c r="I410" s="137">
        <v>9.50648339</v>
      </c>
      <c r="J410" s="120">
        <f t="shared" si="1"/>
        <v>39.03795635</v>
      </c>
      <c r="K410" s="121">
        <v>-0.41</v>
      </c>
      <c r="L410" s="121">
        <v>-0.668</v>
      </c>
      <c r="M410" s="122">
        <f t="shared" si="19"/>
        <v>0.258</v>
      </c>
      <c r="N410" s="120">
        <v>43.5</v>
      </c>
      <c r="O410" s="120">
        <v>36.84683484496123</v>
      </c>
      <c r="P410" s="123">
        <v>45.772805563687584</v>
      </c>
      <c r="Q410" s="120">
        <v>0.7</v>
      </c>
      <c r="R410" s="120">
        <v>1.2422452500000003</v>
      </c>
      <c r="S410" s="15"/>
      <c r="T410" s="161"/>
      <c r="AA410" s="15"/>
      <c r="AB410" s="15"/>
      <c r="AC410" s="15"/>
      <c r="AD410" s="15"/>
      <c r="AE410" s="15"/>
    </row>
    <row r="411" ht="15.0" customHeight="1">
      <c r="A411" s="134" t="s">
        <v>249</v>
      </c>
      <c r="B411" s="3" t="s">
        <v>282</v>
      </c>
      <c r="C411" s="3" t="s">
        <v>284</v>
      </c>
      <c r="D411" s="3" t="s">
        <v>251</v>
      </c>
      <c r="E411" s="8">
        <v>2.0</v>
      </c>
      <c r="F411" s="171" t="s">
        <v>236</v>
      </c>
      <c r="G411" s="137">
        <v>14.8833806</v>
      </c>
      <c r="H411" s="137">
        <v>0.29670139</v>
      </c>
      <c r="I411" s="137">
        <v>9.48603239</v>
      </c>
      <c r="J411" s="120">
        <f t="shared" si="1"/>
        <v>50.16282735</v>
      </c>
      <c r="K411" s="121">
        <v>-0.292</v>
      </c>
      <c r="L411" s="121">
        <v>-0.62</v>
      </c>
      <c r="M411" s="122">
        <f t="shared" si="19"/>
        <v>0.328</v>
      </c>
      <c r="N411" s="120">
        <v>43.3</v>
      </c>
      <c r="O411" s="120">
        <v>28.920830457317074</v>
      </c>
      <c r="P411" s="123">
        <v>29.164079224169</v>
      </c>
      <c r="Q411" s="120">
        <v>0.3</v>
      </c>
      <c r="R411" s="120">
        <v>1.0084108500000002</v>
      </c>
      <c r="S411" s="15"/>
      <c r="T411" s="161"/>
      <c r="AA411" s="15"/>
      <c r="AB411" s="15"/>
      <c r="AC411" s="15"/>
      <c r="AD411" s="15"/>
      <c r="AE411" s="15"/>
    </row>
    <row r="412" ht="15.0" customHeight="1">
      <c r="A412" s="134" t="s">
        <v>249</v>
      </c>
      <c r="B412" s="3" t="s">
        <v>282</v>
      </c>
      <c r="C412" s="3" t="s">
        <v>284</v>
      </c>
      <c r="D412" s="3" t="s">
        <v>251</v>
      </c>
      <c r="E412" s="8">
        <v>3.0</v>
      </c>
      <c r="F412" s="171" t="s">
        <v>236</v>
      </c>
      <c r="G412" s="137">
        <v>14.6833211</v>
      </c>
      <c r="H412" s="137">
        <v>0.2344852</v>
      </c>
      <c r="I412" s="137">
        <v>8.73644519</v>
      </c>
      <c r="J412" s="120">
        <f t="shared" si="1"/>
        <v>62.61939389</v>
      </c>
      <c r="K412" s="121">
        <v>-0.208</v>
      </c>
      <c r="L412" s="121">
        <v>-0.738</v>
      </c>
      <c r="M412" s="122">
        <f t="shared" si="19"/>
        <v>0.53</v>
      </c>
      <c r="N412" s="120">
        <v>39.7</v>
      </c>
      <c r="O412" s="120">
        <v>16.483858849056602</v>
      </c>
      <c r="P412" s="123">
        <v>22.404241978737957</v>
      </c>
      <c r="Q412" s="120">
        <v>0.7</v>
      </c>
      <c r="R412" s="120">
        <v>1.3591624500000004</v>
      </c>
      <c r="S412" s="15"/>
      <c r="T412" s="161"/>
      <c r="AA412" s="15"/>
      <c r="AB412" s="15"/>
      <c r="AC412" s="15"/>
      <c r="AD412" s="15"/>
      <c r="AE412" s="15"/>
    </row>
    <row r="413" ht="15.0" customHeight="1">
      <c r="A413" s="134" t="s">
        <v>249</v>
      </c>
      <c r="B413" s="3" t="s">
        <v>282</v>
      </c>
      <c r="C413" s="3" t="s">
        <v>284</v>
      </c>
      <c r="D413" s="3" t="s">
        <v>251</v>
      </c>
      <c r="E413" s="8">
        <v>4.0</v>
      </c>
      <c r="F413" s="171" t="s">
        <v>236</v>
      </c>
      <c r="G413" s="137">
        <v>12.5394259</v>
      </c>
      <c r="H413" s="137">
        <v>0.21878955</v>
      </c>
      <c r="I413" s="137">
        <v>8.81302757</v>
      </c>
      <c r="J413" s="120">
        <f t="shared" si="1"/>
        <v>57.31272769</v>
      </c>
      <c r="K413" s="121">
        <v>-0.232</v>
      </c>
      <c r="L413" s="121">
        <v>-0.645</v>
      </c>
      <c r="M413" s="122">
        <f t="shared" si="19"/>
        <v>0.413</v>
      </c>
      <c r="N413" s="120">
        <v>43.4</v>
      </c>
      <c r="O413" s="120">
        <v>21.339049806295396</v>
      </c>
      <c r="P413" s="123">
        <v>26.820196005635456</v>
      </c>
      <c r="Q413" s="120">
        <v>0.9</v>
      </c>
      <c r="R413" s="120">
        <v>1.2568599000000003</v>
      </c>
      <c r="S413" s="15"/>
      <c r="T413" s="161"/>
      <c r="AA413" s="15"/>
      <c r="AB413" s="15"/>
      <c r="AC413" s="15"/>
      <c r="AD413" s="15"/>
      <c r="AE413" s="15"/>
    </row>
    <row r="414" ht="15.0" customHeight="1">
      <c r="A414" s="134" t="s">
        <v>249</v>
      </c>
      <c r="B414" s="3" t="s">
        <v>282</v>
      </c>
      <c r="C414" s="3" t="s">
        <v>284</v>
      </c>
      <c r="D414" s="3" t="s">
        <v>251</v>
      </c>
      <c r="E414" s="8">
        <v>5.0</v>
      </c>
      <c r="F414" s="171" t="s">
        <v>236</v>
      </c>
      <c r="G414" s="137">
        <v>15.1449841</v>
      </c>
      <c r="H414" s="137">
        <v>0.24893441</v>
      </c>
      <c r="I414" s="137">
        <v>9.48350585</v>
      </c>
      <c r="J414" s="120">
        <f t="shared" si="1"/>
        <v>60.83925521</v>
      </c>
      <c r="K414" s="121">
        <v>-0.321</v>
      </c>
      <c r="L414" s="121">
        <v>-0.763</v>
      </c>
      <c r="M414" s="122">
        <f t="shared" si="19"/>
        <v>0.442</v>
      </c>
      <c r="N414" s="120">
        <v>33.1</v>
      </c>
      <c r="O414" s="120">
        <v>21.455895588235293</v>
      </c>
      <c r="P414" s="123">
        <v>26.339913974522652</v>
      </c>
      <c r="Q414" s="120">
        <v>0.9</v>
      </c>
      <c r="R414" s="120">
        <v>1.2276306000000001</v>
      </c>
      <c r="S414" s="15"/>
      <c r="T414" s="161"/>
      <c r="AA414" s="15"/>
      <c r="AB414" s="15"/>
      <c r="AC414" s="15"/>
      <c r="AD414" s="15"/>
      <c r="AE414" s="15"/>
    </row>
    <row r="415" ht="15.0" customHeight="1">
      <c r="A415" s="134" t="s">
        <v>249</v>
      </c>
      <c r="B415" s="3" t="s">
        <v>282</v>
      </c>
      <c r="C415" s="3" t="s">
        <v>284</v>
      </c>
      <c r="D415" s="3" t="s">
        <v>251</v>
      </c>
      <c r="E415" s="8">
        <v>6.0</v>
      </c>
      <c r="F415" s="171" t="s">
        <v>236</v>
      </c>
      <c r="G415" s="137">
        <v>16.5644632</v>
      </c>
      <c r="H415" s="137">
        <v>0.36018425</v>
      </c>
      <c r="I415" s="137">
        <v>11.3804802</v>
      </c>
      <c r="J415" s="120">
        <f t="shared" si="1"/>
        <v>45.98886042</v>
      </c>
      <c r="K415" s="121">
        <v>-0.227</v>
      </c>
      <c r="L415" s="121">
        <v>-0.832</v>
      </c>
      <c r="M415" s="122">
        <f t="shared" si="19"/>
        <v>0.605</v>
      </c>
      <c r="N415" s="120">
        <v>39.2</v>
      </c>
      <c r="O415" s="120">
        <v>18.810711074380166</v>
      </c>
      <c r="P415" s="123">
        <v>24.192252357080733</v>
      </c>
      <c r="Q415" s="120">
        <v>0.4</v>
      </c>
      <c r="R415" s="120">
        <v>1.2860892000000004</v>
      </c>
      <c r="S415" s="15"/>
      <c r="T415" s="161"/>
      <c r="AA415" s="15"/>
      <c r="AB415" s="15"/>
      <c r="AC415" s="15"/>
      <c r="AD415" s="15"/>
      <c r="AE415" s="15"/>
    </row>
    <row r="416" ht="15.0" customHeight="1">
      <c r="A416" s="134" t="s">
        <v>256</v>
      </c>
      <c r="B416" s="3" t="s">
        <v>278</v>
      </c>
      <c r="C416" s="3" t="s">
        <v>285</v>
      </c>
      <c r="D416" s="135" t="s">
        <v>240</v>
      </c>
      <c r="E416" s="8">
        <v>1.0</v>
      </c>
      <c r="F416" s="171" t="s">
        <v>236</v>
      </c>
      <c r="G416" s="137">
        <v>14.3419854</v>
      </c>
      <c r="H416" s="137">
        <v>0.269947</v>
      </c>
      <c r="I416" s="137">
        <v>7.20306233</v>
      </c>
      <c r="J416" s="120">
        <f t="shared" si="1"/>
        <v>53.12889345</v>
      </c>
      <c r="K416" s="121">
        <v>-0.42</v>
      </c>
      <c r="L416" s="121">
        <v>-0.667</v>
      </c>
      <c r="M416" s="122">
        <f t="shared" si="19"/>
        <v>0.247</v>
      </c>
      <c r="N416" s="120">
        <v>41.3</v>
      </c>
      <c r="O416" s="120">
        <v>29.16219566801619</v>
      </c>
      <c r="P416" s="123">
        <v>34.09562263356583</v>
      </c>
      <c r="Q416" s="120">
        <v>0.9</v>
      </c>
      <c r="R416" s="120">
        <v>1.1691720000000003</v>
      </c>
      <c r="S416" s="15"/>
      <c r="T416" s="161"/>
      <c r="AA416" s="15"/>
      <c r="AB416" s="15"/>
      <c r="AC416" s="15"/>
      <c r="AD416" s="15"/>
      <c r="AE416" s="15"/>
    </row>
    <row r="417" ht="15.0" customHeight="1">
      <c r="A417" s="134" t="s">
        <v>256</v>
      </c>
      <c r="B417" s="3" t="s">
        <v>278</v>
      </c>
      <c r="C417" s="3" t="s">
        <v>285</v>
      </c>
      <c r="D417" s="135" t="s">
        <v>240</v>
      </c>
      <c r="E417" s="8">
        <v>2.0</v>
      </c>
      <c r="F417" s="171" t="s">
        <v>236</v>
      </c>
      <c r="G417" s="137">
        <v>11.8122112</v>
      </c>
      <c r="H417" s="137">
        <v>0.24879915</v>
      </c>
      <c r="I417" s="137">
        <v>8.16453916</v>
      </c>
      <c r="J417" s="120">
        <f t="shared" si="1"/>
        <v>47.47689532</v>
      </c>
      <c r="K417" s="121">
        <v>-0.36</v>
      </c>
      <c r="L417" s="121">
        <v>-0.592</v>
      </c>
      <c r="M417" s="122">
        <f t="shared" si="19"/>
        <v>0.232</v>
      </c>
      <c r="N417" s="120">
        <v>32.2</v>
      </c>
      <c r="O417" s="120">
        <v>35.191979137931035</v>
      </c>
      <c r="P417" s="123">
        <v>42.68843200637762</v>
      </c>
      <c r="Q417" s="120">
        <v>0.6</v>
      </c>
      <c r="R417" s="120">
        <v>1.2130159500000004</v>
      </c>
      <c r="S417" s="15"/>
      <c r="T417" s="161"/>
      <c r="AA417" s="15"/>
      <c r="AB417" s="15"/>
      <c r="AC417" s="15"/>
      <c r="AD417" s="15"/>
      <c r="AE417" s="15"/>
    </row>
    <row r="418" ht="15.0" customHeight="1">
      <c r="A418" s="134" t="s">
        <v>256</v>
      </c>
      <c r="B418" s="3" t="s">
        <v>278</v>
      </c>
      <c r="C418" s="3" t="s">
        <v>285</v>
      </c>
      <c r="D418" s="135" t="s">
        <v>240</v>
      </c>
      <c r="E418" s="8">
        <v>3.0</v>
      </c>
      <c r="F418" s="171" t="s">
        <v>236</v>
      </c>
      <c r="G418" s="137">
        <v>11.1803627</v>
      </c>
      <c r="H418" s="137">
        <v>0.1691674</v>
      </c>
      <c r="I418" s="137">
        <v>7.08313071</v>
      </c>
      <c r="J418" s="120">
        <f t="shared" si="1"/>
        <v>66.09052749</v>
      </c>
      <c r="K418" s="121">
        <v>-0.313</v>
      </c>
      <c r="L418" s="121">
        <v>-0.77</v>
      </c>
      <c r="M418" s="122">
        <f t="shared" si="19"/>
        <v>0.457</v>
      </c>
      <c r="N418" s="120">
        <v>48.9</v>
      </c>
      <c r="O418" s="120">
        <v>15.49919192560175</v>
      </c>
      <c r="P418" s="123">
        <v>17.215160160937668</v>
      </c>
      <c r="Q418" s="120">
        <v>0.5</v>
      </c>
      <c r="R418" s="120">
        <v>1.1107134</v>
      </c>
      <c r="S418" s="15"/>
      <c r="T418" s="161"/>
      <c r="AA418" s="15"/>
      <c r="AB418" s="15"/>
      <c r="AC418" s="15"/>
      <c r="AD418" s="15"/>
      <c r="AE418" s="15"/>
    </row>
    <row r="419" ht="15.0" customHeight="1">
      <c r="A419" s="134" t="s">
        <v>256</v>
      </c>
      <c r="B419" s="3" t="s">
        <v>278</v>
      </c>
      <c r="C419" s="3" t="s">
        <v>285</v>
      </c>
      <c r="D419" s="135" t="s">
        <v>240</v>
      </c>
      <c r="E419" s="8">
        <v>4.0</v>
      </c>
      <c r="F419" s="171" t="s">
        <v>236</v>
      </c>
      <c r="G419" s="137">
        <v>14.5180843</v>
      </c>
      <c r="H419" s="137">
        <v>0.23261308</v>
      </c>
      <c r="I419" s="137">
        <v>8.81460344</v>
      </c>
      <c r="J419" s="120">
        <f t="shared" si="1"/>
        <v>62.41301779</v>
      </c>
      <c r="K419" s="121">
        <v>-0.384</v>
      </c>
      <c r="L419" s="121">
        <v>-0.658</v>
      </c>
      <c r="M419" s="122">
        <f t="shared" si="19"/>
        <v>0.274</v>
      </c>
      <c r="N419" s="120">
        <v>35.0</v>
      </c>
      <c r="O419" s="120">
        <v>32.170085547445254</v>
      </c>
      <c r="P419" s="123">
        <v>32.440663311471994</v>
      </c>
      <c r="Q419" s="120">
        <v>0.4</v>
      </c>
      <c r="R419" s="120">
        <v>1.0084108500000002</v>
      </c>
      <c r="S419" s="15"/>
      <c r="T419" s="161"/>
      <c r="AA419" s="15"/>
      <c r="AB419" s="15"/>
      <c r="AC419" s="15"/>
      <c r="AD419" s="15"/>
      <c r="AE419" s="15"/>
    </row>
    <row r="420" ht="15.0" customHeight="1">
      <c r="A420" s="134" t="s">
        <v>256</v>
      </c>
      <c r="B420" s="3" t="s">
        <v>278</v>
      </c>
      <c r="C420" s="3" t="s">
        <v>285</v>
      </c>
      <c r="D420" s="135" t="s">
        <v>240</v>
      </c>
      <c r="E420" s="8">
        <v>5.0</v>
      </c>
      <c r="F420" s="171" t="s">
        <v>236</v>
      </c>
      <c r="G420" s="137">
        <v>14.0521791</v>
      </c>
      <c r="H420" s="137">
        <v>0.27438515</v>
      </c>
      <c r="I420" s="137">
        <v>10.2218772</v>
      </c>
      <c r="J420" s="120">
        <f t="shared" si="1"/>
        <v>51.2133368</v>
      </c>
      <c r="K420" s="121">
        <v>-0.41</v>
      </c>
      <c r="L420" s="121">
        <v>-0.804</v>
      </c>
      <c r="M420" s="122">
        <f t="shared" si="19"/>
        <v>0.394</v>
      </c>
      <c r="N420" s="120">
        <v>35.3</v>
      </c>
      <c r="O420" s="120">
        <v>25.943850761421313</v>
      </c>
      <c r="P420" s="123">
        <v>25.40374000153721</v>
      </c>
      <c r="Q420" s="120">
        <v>0.0</v>
      </c>
      <c r="R420" s="120">
        <v>0.9791815500000003</v>
      </c>
      <c r="S420" s="15"/>
      <c r="T420" s="161"/>
      <c r="AA420" s="15"/>
      <c r="AB420" s="15"/>
      <c r="AC420" s="15"/>
      <c r="AD420" s="15"/>
      <c r="AE420" s="15"/>
    </row>
    <row r="421" ht="15.0" customHeight="1">
      <c r="A421" s="134" t="s">
        <v>256</v>
      </c>
      <c r="B421" s="3" t="s">
        <v>278</v>
      </c>
      <c r="C421" s="3" t="s">
        <v>285</v>
      </c>
      <c r="D421" s="135" t="s">
        <v>240</v>
      </c>
      <c r="E421" s="8">
        <v>6.0</v>
      </c>
      <c r="F421" s="171" t="s">
        <v>236</v>
      </c>
      <c r="G421" s="137">
        <v>15.7497549</v>
      </c>
      <c r="H421" s="137">
        <v>0.29334108</v>
      </c>
      <c r="I421" s="137">
        <v>10.5879783</v>
      </c>
      <c r="J421" s="120">
        <f t="shared" si="1"/>
        <v>53.69092832</v>
      </c>
      <c r="K421" s="121">
        <v>-0.277</v>
      </c>
      <c r="L421" s="121">
        <v>-0.845</v>
      </c>
      <c r="M421" s="122">
        <f t="shared" si="19"/>
        <v>0.568</v>
      </c>
      <c r="N421" s="120">
        <v>43.1</v>
      </c>
      <c r="O421" s="120">
        <v>18.640806866197185</v>
      </c>
      <c r="P421" s="123">
        <v>22.06673831343257</v>
      </c>
      <c r="Q421" s="120">
        <v>0.2</v>
      </c>
      <c r="R421" s="120">
        <v>1.1837866500000003</v>
      </c>
      <c r="S421" s="15"/>
      <c r="T421" s="161"/>
      <c r="AA421" s="15"/>
      <c r="AB421" s="15"/>
      <c r="AC421" s="15"/>
      <c r="AD421" s="15"/>
      <c r="AE421" s="15"/>
    </row>
    <row r="422" ht="15.0" customHeight="1">
      <c r="A422" s="134" t="s">
        <v>244</v>
      </c>
      <c r="B422" s="3" t="s">
        <v>282</v>
      </c>
      <c r="C422" s="3" t="s">
        <v>286</v>
      </c>
      <c r="D422" s="3" t="s">
        <v>251</v>
      </c>
      <c r="E422" s="8">
        <v>1.0</v>
      </c>
      <c r="F422" s="171" t="s">
        <v>236</v>
      </c>
      <c r="G422" s="137">
        <v>20.2775506</v>
      </c>
      <c r="H422" s="137">
        <v>0.37393421</v>
      </c>
      <c r="I422" s="137">
        <v>8.97911391</v>
      </c>
      <c r="J422" s="120">
        <f t="shared" si="1"/>
        <v>54.22758886</v>
      </c>
      <c r="K422" s="121">
        <v>-0.38</v>
      </c>
      <c r="L422" s="121">
        <v>-0.68</v>
      </c>
      <c r="M422" s="122">
        <f t="shared" si="19"/>
        <v>0.3</v>
      </c>
      <c r="N422" s="120">
        <v>48.0</v>
      </c>
      <c r="O422" s="120">
        <v>29.930379699999996</v>
      </c>
      <c r="P422" s="123">
        <v>38.493138084069244</v>
      </c>
      <c r="Q422" s="120">
        <v>0.6</v>
      </c>
      <c r="R422" s="120">
        <v>1.2860892000000004</v>
      </c>
      <c r="S422" s="15"/>
      <c r="T422" s="161"/>
      <c r="AA422" s="15"/>
      <c r="AB422" s="15"/>
      <c r="AC422" s="15"/>
      <c r="AD422" s="15"/>
      <c r="AE422" s="15"/>
    </row>
    <row r="423" ht="15.0" customHeight="1">
      <c r="A423" s="134" t="s">
        <v>244</v>
      </c>
      <c r="B423" s="3" t="s">
        <v>282</v>
      </c>
      <c r="C423" s="3" t="s">
        <v>286</v>
      </c>
      <c r="D423" s="3" t="s">
        <v>251</v>
      </c>
      <c r="E423" s="8">
        <v>2.0</v>
      </c>
      <c r="F423" s="171" t="s">
        <v>236</v>
      </c>
      <c r="G423" s="137">
        <v>12.7565946</v>
      </c>
      <c r="H423" s="137">
        <v>0.24251617</v>
      </c>
      <c r="I423" s="137">
        <v>8.12432002</v>
      </c>
      <c r="J423" s="120">
        <f t="shared" si="1"/>
        <v>52.60100636</v>
      </c>
      <c r="K423" s="121">
        <v>-0.292</v>
      </c>
      <c r="L423" s="121">
        <v>-0.732</v>
      </c>
      <c r="M423" s="122">
        <f t="shared" si="19"/>
        <v>0.44</v>
      </c>
      <c r="N423" s="120">
        <v>44.9</v>
      </c>
      <c r="O423" s="120">
        <v>18.464363681818185</v>
      </c>
      <c r="P423" s="123">
        <v>20.238765951186313</v>
      </c>
      <c r="Q423" s="120">
        <v>0.8</v>
      </c>
      <c r="R423" s="120">
        <v>1.0960987500000003</v>
      </c>
      <c r="S423" s="15"/>
      <c r="T423" s="161"/>
      <c r="AA423" s="15"/>
      <c r="AB423" s="15"/>
      <c r="AC423" s="15"/>
      <c r="AD423" s="15"/>
      <c r="AE423" s="15"/>
    </row>
    <row r="424" ht="15.0" customHeight="1">
      <c r="A424" s="134" t="s">
        <v>244</v>
      </c>
      <c r="B424" s="3" t="s">
        <v>282</v>
      </c>
      <c r="C424" s="3" t="s">
        <v>286</v>
      </c>
      <c r="D424" s="3" t="s">
        <v>251</v>
      </c>
      <c r="E424" s="8">
        <v>3.0</v>
      </c>
      <c r="F424" s="171" t="s">
        <v>236</v>
      </c>
      <c r="G424" s="137">
        <v>20.0060046</v>
      </c>
      <c r="H424" s="137">
        <v>0.33327812</v>
      </c>
      <c r="I424" s="137">
        <v>10.9470341</v>
      </c>
      <c r="J424" s="120">
        <f t="shared" si="1"/>
        <v>60.02795683</v>
      </c>
      <c r="K424" s="121">
        <v>-0.364</v>
      </c>
      <c r="L424" s="121">
        <v>-0.542</v>
      </c>
      <c r="M424" s="122">
        <f t="shared" si="19"/>
        <v>0.178</v>
      </c>
      <c r="N424" s="120">
        <v>39.4</v>
      </c>
      <c r="O424" s="120">
        <v>61.50019157303369</v>
      </c>
      <c r="P424" s="123">
        <v>80.89233972955533</v>
      </c>
      <c r="Q424" s="120">
        <v>0.6</v>
      </c>
      <c r="R424" s="120">
        <v>1.3153185000000003</v>
      </c>
      <c r="S424" s="15"/>
      <c r="T424" s="161"/>
      <c r="AA424" s="15"/>
      <c r="AB424" s="15"/>
      <c r="AC424" s="15"/>
      <c r="AD424" s="15"/>
      <c r="AE424" s="15"/>
    </row>
    <row r="425" ht="15.0" customHeight="1">
      <c r="A425" s="134" t="s">
        <v>244</v>
      </c>
      <c r="B425" s="3" t="s">
        <v>282</v>
      </c>
      <c r="C425" s="3" t="s">
        <v>286</v>
      </c>
      <c r="D425" s="3" t="s">
        <v>251</v>
      </c>
      <c r="E425" s="8">
        <v>4.0</v>
      </c>
      <c r="F425" s="171" t="s">
        <v>236</v>
      </c>
      <c r="G425" s="137">
        <v>17.6690978</v>
      </c>
      <c r="H425" s="137">
        <v>0.33379635</v>
      </c>
      <c r="I425" s="137">
        <v>11.2552945</v>
      </c>
      <c r="J425" s="120">
        <f t="shared" si="1"/>
        <v>52.93376575</v>
      </c>
      <c r="K425" s="121">
        <v>-0.396</v>
      </c>
      <c r="L425" s="121">
        <v>-0.72</v>
      </c>
      <c r="M425" s="122">
        <f t="shared" si="19"/>
        <v>0.324</v>
      </c>
      <c r="N425" s="120">
        <v>44.6</v>
      </c>
      <c r="O425" s="120">
        <v>34.738563271604946</v>
      </c>
      <c r="P425" s="123">
        <v>42.64612327225834</v>
      </c>
      <c r="Q425" s="120">
        <v>0.5</v>
      </c>
      <c r="R425" s="120">
        <v>1.2276306000000001</v>
      </c>
      <c r="S425" s="15"/>
      <c r="T425" s="161"/>
      <c r="AA425" s="15"/>
      <c r="AB425" s="15"/>
      <c r="AC425" s="15"/>
      <c r="AD425" s="15"/>
      <c r="AE425" s="15"/>
    </row>
    <row r="426" ht="15.0" customHeight="1">
      <c r="A426" s="134" t="s">
        <v>244</v>
      </c>
      <c r="B426" s="3" t="s">
        <v>282</v>
      </c>
      <c r="C426" s="3" t="s">
        <v>286</v>
      </c>
      <c r="D426" s="3" t="s">
        <v>251</v>
      </c>
      <c r="E426" s="8">
        <v>5.0</v>
      </c>
      <c r="F426" s="171" t="s">
        <v>236</v>
      </c>
      <c r="G426" s="137">
        <v>11.1769003</v>
      </c>
      <c r="H426" s="137">
        <v>0.26204745</v>
      </c>
      <c r="I426" s="137">
        <v>9.74737509</v>
      </c>
      <c r="J426" s="120">
        <f t="shared" si="1"/>
        <v>42.6522002</v>
      </c>
      <c r="K426" s="121">
        <v>-0.14</v>
      </c>
      <c r="L426" s="121">
        <v>-0.767</v>
      </c>
      <c r="M426" s="122">
        <f t="shared" si="19"/>
        <v>0.627</v>
      </c>
      <c r="N426" s="120">
        <v>42.3</v>
      </c>
      <c r="O426" s="120">
        <v>15.546052775119618</v>
      </c>
      <c r="P426" s="123">
        <v>15.904008413293141</v>
      </c>
      <c r="Q426" s="120">
        <v>0.4</v>
      </c>
      <c r="R426" s="120">
        <v>1.0230255000000004</v>
      </c>
      <c r="S426" s="15"/>
      <c r="T426" s="161"/>
      <c r="AA426" s="15"/>
      <c r="AB426" s="15"/>
      <c r="AC426" s="15"/>
      <c r="AD426" s="15"/>
      <c r="AE426" s="15"/>
    </row>
    <row r="427" ht="15.0" customHeight="1">
      <c r="A427" s="134" t="s">
        <v>244</v>
      </c>
      <c r="B427" s="3" t="s">
        <v>282</v>
      </c>
      <c r="C427" s="3" t="s">
        <v>286</v>
      </c>
      <c r="D427" s="3" t="s">
        <v>251</v>
      </c>
      <c r="E427" s="8">
        <v>6.0</v>
      </c>
      <c r="F427" s="171" t="s">
        <v>236</v>
      </c>
      <c r="G427" s="137">
        <v>17.3978875</v>
      </c>
      <c r="H427" s="137">
        <v>0.3034519</v>
      </c>
      <c r="I427" s="137">
        <v>10.681379</v>
      </c>
      <c r="J427" s="120">
        <f t="shared" si="1"/>
        <v>57.3332627</v>
      </c>
      <c r="K427" s="121">
        <v>-0.368</v>
      </c>
      <c r="L427" s="121">
        <v>-0.826</v>
      </c>
      <c r="M427" s="122">
        <f t="shared" si="19"/>
        <v>0.458</v>
      </c>
      <c r="N427" s="120">
        <v>37.5</v>
      </c>
      <c r="O427" s="120">
        <v>23.32178820960699</v>
      </c>
      <c r="P427" s="123">
        <v>27.948861308717692</v>
      </c>
      <c r="Q427" s="120">
        <v>0.7</v>
      </c>
      <c r="R427" s="120">
        <v>1.1984013000000002</v>
      </c>
      <c r="S427" s="15"/>
      <c r="T427" s="161"/>
      <c r="AA427" s="15"/>
      <c r="AB427" s="15"/>
      <c r="AC427" s="15"/>
      <c r="AD427" s="15"/>
      <c r="AE427" s="15"/>
    </row>
    <row r="428" ht="15.0" customHeight="1">
      <c r="A428" s="134" t="s">
        <v>256</v>
      </c>
      <c r="B428" s="3" t="s">
        <v>278</v>
      </c>
      <c r="C428" s="3" t="s">
        <v>285</v>
      </c>
      <c r="D428" s="3" t="s">
        <v>251</v>
      </c>
      <c r="E428" s="8">
        <v>1.0</v>
      </c>
      <c r="F428" s="171" t="s">
        <v>236</v>
      </c>
      <c r="G428" s="137">
        <v>15.4355611</v>
      </c>
      <c r="H428" s="137">
        <v>0.27646813</v>
      </c>
      <c r="I428" s="137">
        <v>8.04265447</v>
      </c>
      <c r="J428" s="120">
        <f t="shared" si="1"/>
        <v>55.83124934</v>
      </c>
      <c r="K428" s="121">
        <v>-0.36</v>
      </c>
      <c r="L428" s="121">
        <v>-0.736</v>
      </c>
      <c r="M428" s="122">
        <f t="shared" si="19"/>
        <v>0.376</v>
      </c>
      <c r="N428" s="120">
        <v>37.3</v>
      </c>
      <c r="O428" s="120">
        <v>21.390038484042556</v>
      </c>
      <c r="P428" s="123">
        <v>26.25906577818825</v>
      </c>
      <c r="Q428" s="120">
        <v>0.7</v>
      </c>
      <c r="R428" s="120">
        <v>1.2276306000000001</v>
      </c>
      <c r="S428" s="15"/>
      <c r="T428" s="161"/>
      <c r="AA428" s="15"/>
      <c r="AB428" s="15"/>
      <c r="AC428" s="15"/>
      <c r="AD428" s="15"/>
      <c r="AE428" s="15"/>
    </row>
    <row r="429" ht="15.0" customHeight="1">
      <c r="A429" s="134" t="s">
        <v>256</v>
      </c>
      <c r="B429" s="3" t="s">
        <v>278</v>
      </c>
      <c r="C429" s="3" t="s">
        <v>285</v>
      </c>
      <c r="D429" s="3" t="s">
        <v>251</v>
      </c>
      <c r="E429" s="8">
        <v>2.0</v>
      </c>
      <c r="F429" s="171" t="s">
        <v>236</v>
      </c>
      <c r="G429" s="137">
        <v>17.3216876</v>
      </c>
      <c r="H429" s="137">
        <v>0.30330139</v>
      </c>
      <c r="I429" s="137">
        <v>9.57201453</v>
      </c>
      <c r="J429" s="120">
        <f t="shared" si="1"/>
        <v>57.11047879</v>
      </c>
      <c r="K429" s="121">
        <v>-0.337</v>
      </c>
      <c r="L429" s="121">
        <v>-0.747</v>
      </c>
      <c r="M429" s="122">
        <f t="shared" si="19"/>
        <v>0.41</v>
      </c>
      <c r="N429" s="120">
        <v>41.6</v>
      </c>
      <c r="O429" s="120">
        <v>23.346376902439026</v>
      </c>
      <c r="P429" s="123">
        <v>23.883938903806143</v>
      </c>
      <c r="Q429" s="120">
        <v>0.2</v>
      </c>
      <c r="R429" s="120">
        <v>1.0230255000000004</v>
      </c>
      <c r="S429" s="15"/>
      <c r="T429" s="161"/>
      <c r="AA429" s="15"/>
      <c r="AB429" s="15"/>
      <c r="AC429" s="15"/>
      <c r="AD429" s="15"/>
      <c r="AE429" s="15"/>
    </row>
    <row r="430" ht="15.0" customHeight="1">
      <c r="A430" s="134" t="s">
        <v>256</v>
      </c>
      <c r="B430" s="3" t="s">
        <v>278</v>
      </c>
      <c r="C430" s="3" t="s">
        <v>285</v>
      </c>
      <c r="D430" s="3" t="s">
        <v>251</v>
      </c>
      <c r="E430" s="8">
        <v>3.0</v>
      </c>
      <c r="F430" s="171" t="s">
        <v>236</v>
      </c>
      <c r="G430" s="137">
        <v>17.9879604</v>
      </c>
      <c r="H430" s="137">
        <v>0.25787092</v>
      </c>
      <c r="I430" s="137">
        <v>9.24934738</v>
      </c>
      <c r="J430" s="120">
        <f t="shared" si="1"/>
        <v>69.75567621</v>
      </c>
      <c r="K430" s="121">
        <v>-0.23</v>
      </c>
      <c r="L430" s="121">
        <v>-0.533</v>
      </c>
      <c r="M430" s="122">
        <f t="shared" si="19"/>
        <v>0.303</v>
      </c>
      <c r="N430" s="120">
        <v>43.0</v>
      </c>
      <c r="O430" s="120">
        <v>30.525898943894383</v>
      </c>
      <c r="P430" s="123">
        <v>33.013274346028574</v>
      </c>
      <c r="Q430" s="120">
        <v>0.0</v>
      </c>
      <c r="R430" s="120">
        <v>1.0814841000000002</v>
      </c>
      <c r="S430" s="15"/>
      <c r="T430" s="161"/>
      <c r="AA430" s="15"/>
      <c r="AB430" s="15"/>
      <c r="AC430" s="15"/>
      <c r="AD430" s="15"/>
      <c r="AE430" s="15"/>
    </row>
    <row r="431" ht="15.0" customHeight="1">
      <c r="A431" s="134" t="s">
        <v>256</v>
      </c>
      <c r="B431" s="3" t="s">
        <v>278</v>
      </c>
      <c r="C431" s="3" t="s">
        <v>285</v>
      </c>
      <c r="D431" s="3" t="s">
        <v>251</v>
      </c>
      <c r="E431" s="8">
        <v>4.0</v>
      </c>
      <c r="F431" s="171" t="s">
        <v>236</v>
      </c>
      <c r="G431" s="137">
        <v>10.7716639</v>
      </c>
      <c r="H431" s="137">
        <v>0.1758464</v>
      </c>
      <c r="I431" s="137">
        <v>7.36892637</v>
      </c>
      <c r="J431" s="120">
        <f t="shared" si="1"/>
        <v>61.25609566</v>
      </c>
      <c r="K431" s="121">
        <v>-0.305</v>
      </c>
      <c r="L431" s="121">
        <v>-0.663</v>
      </c>
      <c r="M431" s="122">
        <f t="shared" si="19"/>
        <v>0.358</v>
      </c>
      <c r="N431" s="120">
        <v>40.9</v>
      </c>
      <c r="O431" s="120">
        <v>20.5835932122905</v>
      </c>
      <c r="P431" s="123">
        <v>22.561650790500106</v>
      </c>
      <c r="Q431" s="120">
        <v>0.3</v>
      </c>
      <c r="R431" s="120">
        <v>1.0960987500000003</v>
      </c>
      <c r="S431" s="15"/>
      <c r="T431" s="161"/>
      <c r="AA431" s="15"/>
      <c r="AB431" s="15"/>
      <c r="AC431" s="15"/>
      <c r="AD431" s="15"/>
      <c r="AE431" s="15"/>
    </row>
    <row r="432" ht="15.0" customHeight="1">
      <c r="A432" s="134" t="s">
        <v>256</v>
      </c>
      <c r="B432" s="3" t="s">
        <v>278</v>
      </c>
      <c r="C432" s="3" t="s">
        <v>285</v>
      </c>
      <c r="D432" s="3" t="s">
        <v>251</v>
      </c>
      <c r="E432" s="8">
        <v>5.0</v>
      </c>
      <c r="F432" s="171" t="s">
        <v>236</v>
      </c>
      <c r="G432" s="137">
        <v>13.8642243</v>
      </c>
      <c r="H432" s="137">
        <v>0.19512391</v>
      </c>
      <c r="I432" s="137">
        <v>8.20815759</v>
      </c>
      <c r="J432" s="120">
        <f t="shared" si="1"/>
        <v>71.05343625</v>
      </c>
      <c r="K432" s="121">
        <v>-0.38</v>
      </c>
      <c r="L432" s="121">
        <v>-0.735</v>
      </c>
      <c r="M432" s="122">
        <f t="shared" si="19"/>
        <v>0.355</v>
      </c>
      <c r="N432" s="120">
        <v>33.8</v>
      </c>
      <c r="O432" s="120">
        <v>23.12157067605634</v>
      </c>
      <c r="P432" s="123">
        <v>21.96438808725375</v>
      </c>
      <c r="Q432" s="120">
        <v>0.4</v>
      </c>
      <c r="R432" s="120">
        <v>0.9499522500000003</v>
      </c>
      <c r="S432" s="15"/>
      <c r="T432" s="161"/>
      <c r="AA432" s="15"/>
      <c r="AB432" s="15"/>
      <c r="AC432" s="15"/>
      <c r="AD432" s="15"/>
      <c r="AE432" s="15"/>
    </row>
    <row r="433" ht="15.0" customHeight="1">
      <c r="A433" s="134" t="s">
        <v>256</v>
      </c>
      <c r="B433" s="3" t="s">
        <v>278</v>
      </c>
      <c r="C433" s="3" t="s">
        <v>285</v>
      </c>
      <c r="D433" s="3" t="s">
        <v>251</v>
      </c>
      <c r="E433" s="8">
        <v>6.0</v>
      </c>
      <c r="F433" s="171" t="s">
        <v>236</v>
      </c>
      <c r="G433" s="137">
        <v>15.0208759</v>
      </c>
      <c r="H433" s="137">
        <v>0.25221555</v>
      </c>
      <c r="I433" s="137">
        <v>9.73279237</v>
      </c>
      <c r="J433" s="120">
        <f t="shared" si="1"/>
        <v>59.555709</v>
      </c>
      <c r="K433" s="121">
        <v>-0.23</v>
      </c>
      <c r="L433" s="121">
        <v>-0.675</v>
      </c>
      <c r="M433" s="122">
        <f t="shared" si="19"/>
        <v>0.445</v>
      </c>
      <c r="N433" s="120">
        <v>44.5</v>
      </c>
      <c r="O433" s="120">
        <v>21.871443528089884</v>
      </c>
      <c r="P433" s="123">
        <v>29.0875577863597</v>
      </c>
      <c r="Q433" s="120">
        <v>1.6</v>
      </c>
      <c r="R433" s="120">
        <v>1.3299331500000002</v>
      </c>
      <c r="S433" s="15"/>
      <c r="T433" s="161"/>
      <c r="AA433" s="15"/>
      <c r="AB433" s="15"/>
      <c r="AC433" s="15"/>
      <c r="AD433" s="15"/>
      <c r="AE433" s="15"/>
    </row>
    <row r="434" ht="15.0" customHeight="1">
      <c r="A434" s="134" t="s">
        <v>249</v>
      </c>
      <c r="B434" s="3" t="s">
        <v>278</v>
      </c>
      <c r="C434" s="3" t="s">
        <v>281</v>
      </c>
      <c r="D434" s="135" t="s">
        <v>240</v>
      </c>
      <c r="E434" s="8">
        <v>1.0</v>
      </c>
      <c r="F434" s="171" t="s">
        <v>236</v>
      </c>
      <c r="G434" s="137">
        <v>18.3084639</v>
      </c>
      <c r="H434" s="137">
        <v>0.29689924</v>
      </c>
      <c r="I434" s="137">
        <v>8.24881202</v>
      </c>
      <c r="J434" s="120">
        <f t="shared" si="1"/>
        <v>61.66558022</v>
      </c>
      <c r="K434" s="121">
        <v>-0.36</v>
      </c>
      <c r="L434" s="121">
        <v>-0.652</v>
      </c>
      <c r="M434" s="122">
        <f t="shared" si="19"/>
        <v>0.292</v>
      </c>
      <c r="N434" s="120">
        <v>38.4</v>
      </c>
      <c r="O434" s="120">
        <v>28.24935623287671</v>
      </c>
      <c r="P434" s="123">
        <v>24.35841279005989</v>
      </c>
      <c r="Q434" s="120">
        <v>0.7</v>
      </c>
      <c r="R434" s="120">
        <v>0.8622643500000002</v>
      </c>
      <c r="S434" s="15"/>
      <c r="T434" s="161"/>
      <c r="AA434" s="15"/>
      <c r="AB434" s="15"/>
      <c r="AC434" s="15"/>
      <c r="AD434" s="15"/>
      <c r="AE434" s="15"/>
    </row>
    <row r="435" ht="15.0" customHeight="1">
      <c r="A435" s="134" t="s">
        <v>249</v>
      </c>
      <c r="B435" s="3" t="s">
        <v>278</v>
      </c>
      <c r="C435" s="3" t="s">
        <v>281</v>
      </c>
      <c r="D435" s="135" t="s">
        <v>240</v>
      </c>
      <c r="E435" s="8">
        <v>2.0</v>
      </c>
      <c r="F435" s="171" t="s">
        <v>236</v>
      </c>
      <c r="G435" s="137">
        <v>17.4896251</v>
      </c>
      <c r="H435" s="137">
        <v>0.33530813</v>
      </c>
      <c r="I435" s="137">
        <v>10.1380604</v>
      </c>
      <c r="J435" s="120">
        <f t="shared" si="1"/>
        <v>52.15985995</v>
      </c>
      <c r="K435" s="121">
        <v>-0.318</v>
      </c>
      <c r="L435" s="121">
        <v>-0.599</v>
      </c>
      <c r="M435" s="122">
        <f t="shared" si="19"/>
        <v>0.281</v>
      </c>
      <c r="N435" s="120">
        <v>44.8</v>
      </c>
      <c r="O435" s="120">
        <v>36.07850676156584</v>
      </c>
      <c r="P435" s="123">
        <v>40.07288091206179</v>
      </c>
      <c r="Q435" s="120">
        <v>1.0</v>
      </c>
      <c r="R435" s="120">
        <v>1.1107134</v>
      </c>
      <c r="S435" s="15"/>
      <c r="T435" s="161"/>
      <c r="AA435" s="15"/>
      <c r="AB435" s="15"/>
      <c r="AC435" s="15"/>
      <c r="AD435" s="15"/>
      <c r="AE435" s="15"/>
    </row>
    <row r="436" ht="15.0" customHeight="1">
      <c r="A436" s="134" t="s">
        <v>249</v>
      </c>
      <c r="B436" s="3" t="s">
        <v>278</v>
      </c>
      <c r="C436" s="3" t="s">
        <v>281</v>
      </c>
      <c r="D436" s="135" t="s">
        <v>240</v>
      </c>
      <c r="E436" s="8">
        <v>3.0</v>
      </c>
      <c r="F436" s="171" t="s">
        <v>236</v>
      </c>
      <c r="G436" s="137">
        <v>9.96591278</v>
      </c>
      <c r="H436" s="137">
        <v>0.18408943</v>
      </c>
      <c r="I436" s="137">
        <v>7.97038863</v>
      </c>
      <c r="J436" s="120">
        <f t="shared" si="1"/>
        <v>54.13625747</v>
      </c>
      <c r="K436" s="121">
        <v>-0.302</v>
      </c>
      <c r="L436" s="121">
        <v>-0.532</v>
      </c>
      <c r="M436" s="122">
        <f t="shared" si="19"/>
        <v>0.23</v>
      </c>
      <c r="N436" s="120">
        <v>38.2</v>
      </c>
      <c r="O436" s="120">
        <v>34.65386360869565</v>
      </c>
      <c r="P436" s="123">
        <v>38.49051067195061</v>
      </c>
      <c r="Q436" s="120">
        <v>0.6</v>
      </c>
      <c r="R436" s="120">
        <v>1.1107134</v>
      </c>
      <c r="S436" s="15"/>
      <c r="T436" s="161"/>
      <c r="AA436" s="15"/>
      <c r="AB436" s="15"/>
      <c r="AC436" s="15"/>
      <c r="AD436" s="15"/>
      <c r="AE436" s="15"/>
    </row>
    <row r="437" ht="15.0" customHeight="1">
      <c r="A437" s="134" t="s">
        <v>249</v>
      </c>
      <c r="B437" s="3" t="s">
        <v>278</v>
      </c>
      <c r="C437" s="3" t="s">
        <v>281</v>
      </c>
      <c r="D437" s="135" t="s">
        <v>240</v>
      </c>
      <c r="E437" s="8">
        <v>4.0</v>
      </c>
      <c r="F437" s="171" t="s">
        <v>236</v>
      </c>
      <c r="G437" s="137">
        <v>16.0945907</v>
      </c>
      <c r="H437" s="137">
        <v>0.33033058</v>
      </c>
      <c r="I437" s="137">
        <v>10.8862706</v>
      </c>
      <c r="J437" s="120">
        <f t="shared" si="1"/>
        <v>48.72267866</v>
      </c>
      <c r="K437" s="121">
        <v>-0.249</v>
      </c>
      <c r="L437" s="121">
        <v>-0.694</v>
      </c>
      <c r="M437" s="122">
        <f t="shared" si="19"/>
        <v>0.445</v>
      </c>
      <c r="N437" s="120">
        <v>39.6</v>
      </c>
      <c r="O437" s="120">
        <v>24.463529438202247</v>
      </c>
      <c r="P437" s="123">
        <v>25.741866276289624</v>
      </c>
      <c r="Q437" s="120">
        <v>0.2</v>
      </c>
      <c r="R437" s="120">
        <v>1.0522548000000003</v>
      </c>
      <c r="S437" s="15"/>
      <c r="T437" s="161"/>
      <c r="AA437" s="15"/>
      <c r="AB437" s="15"/>
      <c r="AC437" s="15"/>
      <c r="AD437" s="15"/>
      <c r="AE437" s="15"/>
    </row>
    <row r="438" ht="15.0" customHeight="1">
      <c r="A438" s="134" t="s">
        <v>249</v>
      </c>
      <c r="B438" s="3" t="s">
        <v>278</v>
      </c>
      <c r="C438" s="3" t="s">
        <v>281</v>
      </c>
      <c r="D438" s="135" t="s">
        <v>240</v>
      </c>
      <c r="E438" s="8">
        <v>5.0</v>
      </c>
      <c r="F438" s="171" t="s">
        <v>236</v>
      </c>
      <c r="G438" s="137">
        <v>10.565341</v>
      </c>
      <c r="H438" s="137">
        <v>0.24936846</v>
      </c>
      <c r="I438" s="137">
        <v>9.7864281</v>
      </c>
      <c r="J438" s="120">
        <f t="shared" si="1"/>
        <v>42.36839334</v>
      </c>
      <c r="K438" s="121">
        <v>-0.394</v>
      </c>
      <c r="L438" s="121">
        <v>-0.684</v>
      </c>
      <c r="M438" s="122">
        <f t="shared" si="19"/>
        <v>0.29</v>
      </c>
      <c r="N438" s="120">
        <v>47.9</v>
      </c>
      <c r="O438" s="120">
        <v>33.74630379310344</v>
      </c>
      <c r="P438" s="123">
        <v>43.400756848229385</v>
      </c>
      <c r="Q438" s="120">
        <v>0.7</v>
      </c>
      <c r="R438" s="120">
        <v>1.2860892000000004</v>
      </c>
      <c r="S438" s="15"/>
      <c r="T438" s="161"/>
      <c r="AA438" s="15"/>
      <c r="AB438" s="15"/>
      <c r="AC438" s="15"/>
      <c r="AD438" s="15"/>
      <c r="AE438" s="15"/>
    </row>
    <row r="439" ht="15.0" customHeight="1">
      <c r="A439" s="134" t="s">
        <v>249</v>
      </c>
      <c r="B439" s="3" t="s">
        <v>278</v>
      </c>
      <c r="C439" s="3" t="s">
        <v>281</v>
      </c>
      <c r="D439" s="135" t="s">
        <v>240</v>
      </c>
      <c r="E439" s="8">
        <v>6.0</v>
      </c>
      <c r="F439" s="171" t="s">
        <v>236</v>
      </c>
      <c r="G439" s="137">
        <v>12.9476952</v>
      </c>
      <c r="H439" s="137">
        <v>0.31498204</v>
      </c>
      <c r="I439" s="137">
        <v>10.8429336</v>
      </c>
      <c r="J439" s="120">
        <f t="shared" si="1"/>
        <v>41.10613799</v>
      </c>
      <c r="K439" s="121">
        <v>-0.16</v>
      </c>
      <c r="L439" s="121">
        <v>-0.75</v>
      </c>
      <c r="M439" s="122">
        <f t="shared" si="19"/>
        <v>0.59</v>
      </c>
      <c r="N439" s="120">
        <v>34.3</v>
      </c>
      <c r="O439" s="120">
        <v>18.377853559322034</v>
      </c>
      <c r="P439" s="123">
        <v>20.94970000661818</v>
      </c>
      <c r="Q439" s="120">
        <v>0.4</v>
      </c>
      <c r="R439" s="120">
        <v>1.1399427000000004</v>
      </c>
      <c r="S439" s="15"/>
      <c r="T439" s="161"/>
      <c r="AA439" s="15"/>
      <c r="AB439" s="15"/>
      <c r="AC439" s="15"/>
      <c r="AD439" s="15"/>
      <c r="AE439" s="15"/>
    </row>
    <row r="440" ht="15.0" customHeight="1">
      <c r="A440" s="134" t="s">
        <v>256</v>
      </c>
      <c r="B440" s="3" t="s">
        <v>282</v>
      </c>
      <c r="C440" s="3" t="s">
        <v>283</v>
      </c>
      <c r="D440" s="3" t="s">
        <v>251</v>
      </c>
      <c r="E440" s="8">
        <v>1.0</v>
      </c>
      <c r="F440" s="171" t="s">
        <v>236</v>
      </c>
      <c r="G440" s="137">
        <v>16.9413737</v>
      </c>
      <c r="H440" s="137">
        <v>0.2939286</v>
      </c>
      <c r="I440" s="137">
        <v>8.18348581</v>
      </c>
      <c r="J440" s="120">
        <f t="shared" si="1"/>
        <v>57.6377178</v>
      </c>
      <c r="K440" s="121">
        <v>-0.302</v>
      </c>
      <c r="L440" s="121">
        <v>-0.667</v>
      </c>
      <c r="M440" s="122">
        <f t="shared" si="19"/>
        <v>0.365</v>
      </c>
      <c r="N440" s="120">
        <v>38.9</v>
      </c>
      <c r="O440" s="120">
        <v>22.42050906849315</v>
      </c>
      <c r="P440" s="123">
        <v>23.264420392907596</v>
      </c>
      <c r="Q440" s="120">
        <v>0.4</v>
      </c>
      <c r="R440" s="120">
        <v>1.03764015</v>
      </c>
      <c r="S440" s="15"/>
      <c r="T440" s="161"/>
      <c r="AA440" s="15"/>
      <c r="AB440" s="15"/>
      <c r="AC440" s="15"/>
      <c r="AD440" s="15"/>
      <c r="AE440" s="15"/>
    </row>
    <row r="441" ht="15.0" customHeight="1">
      <c r="A441" s="134" t="s">
        <v>256</v>
      </c>
      <c r="B441" s="3" t="s">
        <v>282</v>
      </c>
      <c r="C441" s="3" t="s">
        <v>283</v>
      </c>
      <c r="D441" s="3" t="s">
        <v>251</v>
      </c>
      <c r="E441" s="8">
        <v>2.0</v>
      </c>
      <c r="F441" s="171" t="s">
        <v>236</v>
      </c>
      <c r="G441" s="137">
        <v>15.8302887</v>
      </c>
      <c r="H441" s="137">
        <v>0.30546801</v>
      </c>
      <c r="I441" s="137">
        <v>9.25179529</v>
      </c>
      <c r="J441" s="120">
        <f t="shared" si="1"/>
        <v>51.82306553</v>
      </c>
      <c r="K441" s="121">
        <v>-0.222</v>
      </c>
      <c r="L441" s="121">
        <v>-0.519</v>
      </c>
      <c r="M441" s="122">
        <f t="shared" si="19"/>
        <v>0.297</v>
      </c>
      <c r="N441" s="120">
        <v>42.7</v>
      </c>
      <c r="O441" s="120">
        <v>31.150825892255888</v>
      </c>
      <c r="P441" s="123">
        <v>29.136538728080485</v>
      </c>
      <c r="Q441" s="120">
        <v>0.7</v>
      </c>
      <c r="R441" s="120">
        <v>0.9353376000000002</v>
      </c>
      <c r="S441" s="15"/>
      <c r="T441" s="161"/>
      <c r="AA441" s="15"/>
      <c r="AB441" s="15"/>
      <c r="AC441" s="15"/>
      <c r="AD441" s="15"/>
      <c r="AE441" s="15"/>
    </row>
    <row r="442" ht="15.0" customHeight="1">
      <c r="A442" s="134" t="s">
        <v>256</v>
      </c>
      <c r="B442" s="3" t="s">
        <v>282</v>
      </c>
      <c r="C442" s="3" t="s">
        <v>283</v>
      </c>
      <c r="D442" s="3" t="s">
        <v>251</v>
      </c>
      <c r="E442" s="8">
        <v>3.0</v>
      </c>
      <c r="F442" s="171" t="s">
        <v>236</v>
      </c>
      <c r="G442" s="137">
        <v>17.2637698</v>
      </c>
      <c r="H442" s="137">
        <v>0.24403711</v>
      </c>
      <c r="I442" s="137">
        <v>9.06794523</v>
      </c>
      <c r="J442" s="120">
        <f t="shared" si="1"/>
        <v>70.7423957</v>
      </c>
      <c r="K442" s="121">
        <v>-0.12</v>
      </c>
      <c r="L442" s="121">
        <v>-0.685</v>
      </c>
      <c r="M442" s="122">
        <f t="shared" si="19"/>
        <v>0.565</v>
      </c>
      <c r="N442" s="120">
        <v>41.3</v>
      </c>
      <c r="O442" s="120">
        <v>16.049460584070793</v>
      </c>
      <c r="P442" s="123">
        <v>20.875595172124136</v>
      </c>
      <c r="Q442" s="120">
        <v>0.5</v>
      </c>
      <c r="R442" s="120">
        <v>1.3007038500000003</v>
      </c>
      <c r="S442" s="15"/>
      <c r="T442" s="161"/>
      <c r="AA442" s="15"/>
      <c r="AB442" s="15"/>
      <c r="AC442" s="15"/>
      <c r="AD442" s="15"/>
      <c r="AE442" s="15"/>
    </row>
    <row r="443" ht="15.0" customHeight="1">
      <c r="A443" s="134" t="s">
        <v>256</v>
      </c>
      <c r="B443" s="3" t="s">
        <v>282</v>
      </c>
      <c r="C443" s="3" t="s">
        <v>283</v>
      </c>
      <c r="D443" s="3" t="s">
        <v>251</v>
      </c>
      <c r="E443" s="8">
        <v>4.0</v>
      </c>
      <c r="F443" s="171" t="s">
        <v>236</v>
      </c>
      <c r="G443" s="137">
        <v>13.9660725</v>
      </c>
      <c r="H443" s="137">
        <v>0.29246515</v>
      </c>
      <c r="I443" s="137">
        <v>10.6040984</v>
      </c>
      <c r="J443" s="120">
        <f t="shared" si="1"/>
        <v>47.75294595</v>
      </c>
      <c r="K443" s="121">
        <v>-0.257</v>
      </c>
      <c r="L443" s="121">
        <v>-0.63</v>
      </c>
      <c r="M443" s="122">
        <f t="shared" si="19"/>
        <v>0.373</v>
      </c>
      <c r="N443" s="120">
        <v>27.2</v>
      </c>
      <c r="O443" s="120">
        <v>28.429218230563002</v>
      </c>
      <c r="P443" s="123">
        <v>36.5625105307702</v>
      </c>
      <c r="Q443" s="120">
        <v>0.6</v>
      </c>
      <c r="R443" s="120">
        <v>1.2860892000000004</v>
      </c>
      <c r="S443" s="15"/>
      <c r="T443" s="161"/>
      <c r="AA443" s="15"/>
      <c r="AB443" s="15"/>
      <c r="AC443" s="15"/>
      <c r="AD443" s="15"/>
      <c r="AE443" s="15"/>
    </row>
    <row r="444" ht="15.0" customHeight="1">
      <c r="A444" s="134" t="s">
        <v>256</v>
      </c>
      <c r="B444" s="3" t="s">
        <v>282</v>
      </c>
      <c r="C444" s="3" t="s">
        <v>283</v>
      </c>
      <c r="D444" s="3" t="s">
        <v>251</v>
      </c>
      <c r="E444" s="8">
        <v>5.0</v>
      </c>
      <c r="F444" s="171" t="s">
        <v>236</v>
      </c>
      <c r="G444" s="137">
        <v>18.9455357</v>
      </c>
      <c r="H444" s="137">
        <v>0.36049236</v>
      </c>
      <c r="I444" s="137">
        <v>12.2621975</v>
      </c>
      <c r="J444" s="120">
        <f t="shared" si="1"/>
        <v>52.55461087</v>
      </c>
      <c r="K444" s="121">
        <v>-0.282</v>
      </c>
      <c r="L444" s="121">
        <v>-0.667</v>
      </c>
      <c r="M444" s="122">
        <f t="shared" si="19"/>
        <v>0.385</v>
      </c>
      <c r="N444" s="120">
        <v>23.9</v>
      </c>
      <c r="O444" s="120">
        <v>31.84986363636363</v>
      </c>
      <c r="P444" s="123">
        <v>40.03081642501364</v>
      </c>
      <c r="Q444" s="120">
        <v>1.1</v>
      </c>
      <c r="R444" s="120">
        <v>1.2568599000000003</v>
      </c>
      <c r="S444" s="15"/>
      <c r="T444" s="161"/>
      <c r="AA444" s="15"/>
      <c r="AB444" s="15"/>
      <c r="AC444" s="15"/>
      <c r="AD444" s="15"/>
      <c r="AE444" s="15"/>
    </row>
    <row r="445" ht="15.0" customHeight="1">
      <c r="A445" s="134" t="s">
        <v>256</v>
      </c>
      <c r="B445" s="3" t="s">
        <v>282</v>
      </c>
      <c r="C445" s="3" t="s">
        <v>283</v>
      </c>
      <c r="D445" s="3" t="s">
        <v>251</v>
      </c>
      <c r="E445" s="8">
        <v>6.0</v>
      </c>
      <c r="F445" s="171" t="s">
        <v>236</v>
      </c>
      <c r="G445" s="137">
        <v>13.3471469</v>
      </c>
      <c r="H445" s="137">
        <v>0.23712749</v>
      </c>
      <c r="I445" s="137">
        <v>9.61344951</v>
      </c>
      <c r="J445" s="120">
        <f t="shared" si="1"/>
        <v>56.28679703</v>
      </c>
      <c r="K445" s="121">
        <v>-0.302</v>
      </c>
      <c r="L445" s="121">
        <v>-0.796</v>
      </c>
      <c r="M445" s="122">
        <f t="shared" si="19"/>
        <v>0.494</v>
      </c>
      <c r="N445" s="120">
        <v>41.0</v>
      </c>
      <c r="O445" s="120">
        <v>19.46042410931174</v>
      </c>
      <c r="P445" s="123">
        <v>23.605804838359692</v>
      </c>
      <c r="Q445" s="120">
        <v>0.6</v>
      </c>
      <c r="R445" s="120">
        <v>1.2130159500000004</v>
      </c>
      <c r="S445" s="15"/>
      <c r="T445" s="161"/>
      <c r="AA445" s="15"/>
      <c r="AB445" s="15"/>
      <c r="AC445" s="15"/>
      <c r="AD445" s="15"/>
      <c r="AE445" s="15"/>
    </row>
    <row r="446" ht="15.0" customHeight="1">
      <c r="A446" s="134" t="s">
        <v>244</v>
      </c>
      <c r="B446" s="3" t="s">
        <v>282</v>
      </c>
      <c r="C446" s="3" t="s">
        <v>286</v>
      </c>
      <c r="D446" s="135" t="s">
        <v>240</v>
      </c>
      <c r="E446" s="48">
        <v>1.0</v>
      </c>
      <c r="F446" s="171" t="s">
        <v>236</v>
      </c>
      <c r="G446" s="137">
        <v>15.2080793</v>
      </c>
      <c r="H446" s="137">
        <v>0.26398813</v>
      </c>
      <c r="I446" s="137">
        <v>7.41324696</v>
      </c>
      <c r="J446" s="120">
        <f t="shared" si="1"/>
        <v>57.60895121</v>
      </c>
      <c r="K446" s="121">
        <v>-0.214</v>
      </c>
      <c r="L446" s="121">
        <v>-0.74</v>
      </c>
      <c r="M446" s="122">
        <f t="shared" si="19"/>
        <v>0.526</v>
      </c>
      <c r="N446" s="120">
        <v>42.2</v>
      </c>
      <c r="O446" s="120">
        <v>14.093625399239544</v>
      </c>
      <c r="P446" s="123">
        <v>15.44800518307472</v>
      </c>
      <c r="Q446" s="120">
        <v>0.7</v>
      </c>
      <c r="R446" s="120">
        <v>1.0960987500000003</v>
      </c>
      <c r="S446" s="15"/>
      <c r="T446" s="161"/>
      <c r="AA446" s="15"/>
      <c r="AB446" s="15"/>
      <c r="AC446" s="15"/>
      <c r="AD446" s="15"/>
      <c r="AE446" s="15"/>
    </row>
    <row r="447" ht="15.0" customHeight="1">
      <c r="A447" s="134" t="s">
        <v>244</v>
      </c>
      <c r="B447" s="3" t="s">
        <v>282</v>
      </c>
      <c r="C447" s="3" t="s">
        <v>286</v>
      </c>
      <c r="D447" s="135" t="s">
        <v>240</v>
      </c>
      <c r="E447" s="48">
        <v>2.0</v>
      </c>
      <c r="F447" s="171" t="s">
        <v>236</v>
      </c>
      <c r="G447" s="137">
        <v>13.2437941</v>
      </c>
      <c r="H447" s="137">
        <v>0.30907499</v>
      </c>
      <c r="I447" s="137">
        <v>9.52471245</v>
      </c>
      <c r="J447" s="120">
        <f t="shared" si="1"/>
        <v>42.84977604</v>
      </c>
      <c r="K447" s="121">
        <v>-0.382</v>
      </c>
      <c r="L447" s="121">
        <v>-0.662</v>
      </c>
      <c r="M447" s="122">
        <f t="shared" si="19"/>
        <v>0.28</v>
      </c>
      <c r="N447" s="120">
        <v>49.0</v>
      </c>
      <c r="O447" s="120">
        <v>34.01683017857143</v>
      </c>
      <c r="P447" s="123">
        <v>27.342923694309246</v>
      </c>
      <c r="Q447" s="120">
        <v>0.0</v>
      </c>
      <c r="R447" s="120">
        <v>0.8038057500000002</v>
      </c>
      <c r="S447" s="15"/>
      <c r="T447" s="161"/>
      <c r="AA447" s="15"/>
      <c r="AB447" s="15"/>
      <c r="AC447" s="15"/>
      <c r="AD447" s="15"/>
      <c r="AE447" s="15"/>
    </row>
    <row r="448" ht="15.0" customHeight="1">
      <c r="A448" s="134" t="s">
        <v>244</v>
      </c>
      <c r="B448" s="3" t="s">
        <v>282</v>
      </c>
      <c r="C448" s="3" t="s">
        <v>286</v>
      </c>
      <c r="D448" s="135" t="s">
        <v>240</v>
      </c>
      <c r="E448" s="48">
        <v>3.0</v>
      </c>
      <c r="F448" s="171" t="s">
        <v>236</v>
      </c>
      <c r="G448" s="137">
        <v>11.5142824</v>
      </c>
      <c r="H448" s="137">
        <v>0.19160385</v>
      </c>
      <c r="I448" s="137">
        <v>7.60650281</v>
      </c>
      <c r="J448" s="120">
        <f t="shared" si="1"/>
        <v>60.09421209</v>
      </c>
      <c r="K448" s="121">
        <v>-0.36</v>
      </c>
      <c r="L448" s="121">
        <v>-0.73</v>
      </c>
      <c r="M448" s="122">
        <f t="shared" si="19"/>
        <v>0.37</v>
      </c>
      <c r="N448" s="120">
        <v>39.2</v>
      </c>
      <c r="O448" s="120">
        <v>20.558115702702704</v>
      </c>
      <c r="P448" s="123">
        <v>20.731026930160784</v>
      </c>
      <c r="Q448" s="120">
        <v>1.0</v>
      </c>
      <c r="R448" s="120">
        <v>1.0084108500000002</v>
      </c>
      <c r="S448" s="15"/>
      <c r="T448" s="161"/>
      <c r="AA448" s="15"/>
      <c r="AB448" s="15"/>
      <c r="AC448" s="15"/>
      <c r="AD448" s="15"/>
      <c r="AE448" s="15"/>
    </row>
    <row r="449" ht="15.0" customHeight="1">
      <c r="A449" s="134" t="s">
        <v>244</v>
      </c>
      <c r="B449" s="3" t="s">
        <v>282</v>
      </c>
      <c r="C449" s="3" t="s">
        <v>286</v>
      </c>
      <c r="D449" s="135" t="s">
        <v>240</v>
      </c>
      <c r="E449" s="48">
        <v>4.0</v>
      </c>
      <c r="F449" s="171" t="s">
        <v>236</v>
      </c>
      <c r="G449" s="137">
        <v>15.0423302</v>
      </c>
      <c r="H449" s="137">
        <v>0.31339436</v>
      </c>
      <c r="I449" s="137">
        <v>11.2401757</v>
      </c>
      <c r="J449" s="120">
        <f t="shared" si="1"/>
        <v>47.99808841</v>
      </c>
      <c r="K449" s="121">
        <v>-0.381</v>
      </c>
      <c r="L449" s="121">
        <v>-0.708</v>
      </c>
      <c r="M449" s="122">
        <f t="shared" si="19"/>
        <v>0.327</v>
      </c>
      <c r="N449" s="120">
        <v>29.9</v>
      </c>
      <c r="O449" s="120">
        <v>34.3736259938838</v>
      </c>
      <c r="P449" s="123">
        <v>42.700473616178684</v>
      </c>
      <c r="Q449" s="120">
        <v>1.0</v>
      </c>
      <c r="R449" s="120">
        <v>1.2422452500000003</v>
      </c>
      <c r="S449" s="15"/>
      <c r="T449" s="161"/>
      <c r="AA449" s="15"/>
      <c r="AB449" s="15"/>
      <c r="AC449" s="15"/>
      <c r="AD449" s="15"/>
      <c r="AE449" s="15"/>
    </row>
    <row r="450" ht="15.0" customHeight="1">
      <c r="A450" s="134" t="s">
        <v>244</v>
      </c>
      <c r="B450" s="3" t="s">
        <v>282</v>
      </c>
      <c r="C450" s="3" t="s">
        <v>286</v>
      </c>
      <c r="D450" s="135" t="s">
        <v>240</v>
      </c>
      <c r="E450" s="48">
        <v>5.0</v>
      </c>
      <c r="F450" s="171" t="s">
        <v>236</v>
      </c>
      <c r="G450" s="137">
        <v>14.9781192</v>
      </c>
      <c r="H450" s="137">
        <v>0.29594837</v>
      </c>
      <c r="I450" s="137">
        <v>11.0476872</v>
      </c>
      <c r="J450" s="120">
        <f t="shared" si="1"/>
        <v>50.61058184</v>
      </c>
      <c r="K450" s="121">
        <v>-0.382</v>
      </c>
      <c r="L450" s="121">
        <v>-0.65</v>
      </c>
      <c r="M450" s="122">
        <f t="shared" si="19"/>
        <v>0.268</v>
      </c>
      <c r="N450" s="120">
        <v>37.7</v>
      </c>
      <c r="O450" s="120">
        <v>41.22271343283582</v>
      </c>
      <c r="P450" s="123">
        <v>48.79889783856673</v>
      </c>
      <c r="Q450" s="120">
        <v>0.8</v>
      </c>
      <c r="R450" s="120">
        <v>1.1837866500000003</v>
      </c>
      <c r="S450" s="15"/>
      <c r="T450" s="161"/>
      <c r="AA450" s="15"/>
      <c r="AB450" s="15"/>
      <c r="AC450" s="15"/>
      <c r="AD450" s="15"/>
      <c r="AE450" s="15"/>
    </row>
    <row r="451" ht="15.0" customHeight="1">
      <c r="A451" s="134" t="s">
        <v>244</v>
      </c>
      <c r="B451" s="3" t="s">
        <v>282</v>
      </c>
      <c r="C451" s="3" t="s">
        <v>286</v>
      </c>
      <c r="D451" s="135" t="s">
        <v>240</v>
      </c>
      <c r="E451" s="48">
        <v>6.0</v>
      </c>
      <c r="F451" s="171" t="s">
        <v>236</v>
      </c>
      <c r="G451" s="137">
        <v>11.3826272</v>
      </c>
      <c r="H451" s="137">
        <v>0.26648078</v>
      </c>
      <c r="I451" s="137">
        <v>9.71348484</v>
      </c>
      <c r="J451" s="120">
        <f t="shared" si="1"/>
        <v>42.7146273</v>
      </c>
      <c r="K451" s="121">
        <v>-0.387</v>
      </c>
      <c r="L451" s="121">
        <v>-0.683</v>
      </c>
      <c r="M451" s="122">
        <f t="shared" si="19"/>
        <v>0.296</v>
      </c>
      <c r="N451" s="120">
        <v>48.0</v>
      </c>
      <c r="O451" s="120">
        <v>32.81582716216216</v>
      </c>
      <c r="P451" s="123">
        <v>42.20408090232341</v>
      </c>
      <c r="Q451" s="120">
        <v>0.6</v>
      </c>
      <c r="R451" s="120">
        <v>1.2860892000000004</v>
      </c>
      <c r="S451" s="15"/>
      <c r="T451" s="161"/>
      <c r="AA451" s="15"/>
      <c r="AB451" s="15"/>
      <c r="AC451" s="15"/>
      <c r="AD451" s="15"/>
      <c r="AE451" s="15"/>
    </row>
    <row r="452" ht="15.0" customHeight="1">
      <c r="A452" s="134" t="s">
        <v>238</v>
      </c>
      <c r="B452" s="3" t="s">
        <v>278</v>
      </c>
      <c r="C452" s="3" t="s">
        <v>279</v>
      </c>
      <c r="D452" s="3" t="s">
        <v>251</v>
      </c>
      <c r="E452" s="48">
        <v>1.0</v>
      </c>
      <c r="F452" s="171" t="s">
        <v>236</v>
      </c>
      <c r="G452" s="137">
        <v>15.1001064</v>
      </c>
      <c r="H452" s="137">
        <v>0.26346049</v>
      </c>
      <c r="I452" s="137">
        <v>7.42028818</v>
      </c>
      <c r="J452" s="120">
        <f t="shared" si="1"/>
        <v>57.31450055</v>
      </c>
      <c r="K452" s="121">
        <v>-0.384</v>
      </c>
      <c r="L452" s="121">
        <v>-0.73</v>
      </c>
      <c r="M452" s="122">
        <f t="shared" si="19"/>
        <v>0.346</v>
      </c>
      <c r="N452" s="120">
        <v>25.0</v>
      </c>
      <c r="O452" s="120">
        <v>21.445919595375724</v>
      </c>
      <c r="P452" s="123">
        <v>18.17862731124436</v>
      </c>
      <c r="Q452" s="120">
        <v>0.0</v>
      </c>
      <c r="R452" s="120">
        <v>0.8476497000000002</v>
      </c>
      <c r="S452" s="15"/>
      <c r="T452" s="161"/>
      <c r="AA452" s="15"/>
      <c r="AB452" s="15"/>
      <c r="AC452" s="15"/>
      <c r="AD452" s="15"/>
      <c r="AE452" s="15"/>
    </row>
    <row r="453" ht="15.0" customHeight="1">
      <c r="A453" s="134" t="s">
        <v>238</v>
      </c>
      <c r="B453" s="3" t="s">
        <v>278</v>
      </c>
      <c r="C453" s="3" t="s">
        <v>279</v>
      </c>
      <c r="D453" s="3" t="s">
        <v>251</v>
      </c>
      <c r="E453" s="48">
        <v>2.0</v>
      </c>
      <c r="F453" s="171" t="s">
        <v>236</v>
      </c>
      <c r="G453" s="137">
        <v>6.52841539</v>
      </c>
      <c r="H453" s="137">
        <v>0.07336439</v>
      </c>
      <c r="I453" s="137">
        <v>3.24386085</v>
      </c>
      <c r="J453" s="120">
        <f t="shared" si="1"/>
        <v>88.98616059</v>
      </c>
      <c r="K453" s="121">
        <v>-0.298</v>
      </c>
      <c r="L453" s="121">
        <v>-0.64</v>
      </c>
      <c r="M453" s="122">
        <f t="shared" si="19"/>
        <v>0.342</v>
      </c>
      <c r="N453" s="120">
        <v>40.4</v>
      </c>
      <c r="O453" s="120">
        <v>9.484973245614034</v>
      </c>
      <c r="P453" s="123">
        <v>8.31717385464079</v>
      </c>
      <c r="Q453" s="120">
        <v>0.7</v>
      </c>
      <c r="R453" s="120">
        <v>0.8768790000000003</v>
      </c>
      <c r="S453" s="15"/>
      <c r="T453" s="161"/>
      <c r="AA453" s="15"/>
      <c r="AB453" s="15"/>
      <c r="AC453" s="15"/>
      <c r="AD453" s="15"/>
      <c r="AE453" s="15"/>
    </row>
    <row r="454" ht="15.0" customHeight="1">
      <c r="A454" s="134" t="s">
        <v>238</v>
      </c>
      <c r="B454" s="3" t="s">
        <v>278</v>
      </c>
      <c r="C454" s="3" t="s">
        <v>279</v>
      </c>
      <c r="D454" s="3" t="s">
        <v>251</v>
      </c>
      <c r="E454" s="48">
        <v>3.0</v>
      </c>
      <c r="F454" s="171" t="s">
        <v>236</v>
      </c>
      <c r="G454" s="137">
        <v>16.6041347</v>
      </c>
      <c r="H454" s="137">
        <v>0.28368499</v>
      </c>
      <c r="I454" s="137">
        <v>10.1148315</v>
      </c>
      <c r="J454" s="120">
        <f t="shared" si="1"/>
        <v>58.53018413</v>
      </c>
      <c r="K454" s="121">
        <v>-0.31</v>
      </c>
      <c r="L454" s="121">
        <v>-0.87</v>
      </c>
      <c r="M454" s="122">
        <f t="shared" si="19"/>
        <v>0.56</v>
      </c>
      <c r="N454" s="120">
        <v>29.2</v>
      </c>
      <c r="O454" s="120">
        <v>18.062199107142852</v>
      </c>
      <c r="P454" s="123">
        <v>19.797953863590404</v>
      </c>
      <c r="Q454" s="120">
        <v>0.0</v>
      </c>
      <c r="R454" s="120">
        <v>1.0960987500000003</v>
      </c>
      <c r="S454" s="15"/>
      <c r="T454" s="161"/>
      <c r="AA454" s="15"/>
      <c r="AB454" s="15"/>
      <c r="AC454" s="15"/>
      <c r="AD454" s="15"/>
      <c r="AE454" s="15"/>
    </row>
    <row r="455" ht="15.0" customHeight="1">
      <c r="A455" s="134" t="s">
        <v>238</v>
      </c>
      <c r="B455" s="3" t="s">
        <v>278</v>
      </c>
      <c r="C455" s="3" t="s">
        <v>279</v>
      </c>
      <c r="D455" s="3" t="s">
        <v>251</v>
      </c>
      <c r="E455" s="48">
        <v>4.0</v>
      </c>
      <c r="F455" s="171" t="s">
        <v>236</v>
      </c>
      <c r="G455" s="137">
        <v>11.9463223</v>
      </c>
      <c r="H455" s="137">
        <v>0.21083301</v>
      </c>
      <c r="I455" s="137">
        <v>8.46638737</v>
      </c>
      <c r="J455" s="120">
        <f t="shared" si="1"/>
        <v>56.66248516</v>
      </c>
      <c r="K455" s="121">
        <v>-0.287</v>
      </c>
      <c r="L455" s="121">
        <v>-0.675</v>
      </c>
      <c r="M455" s="122">
        <f t="shared" si="19"/>
        <v>0.388</v>
      </c>
      <c r="N455" s="120">
        <v>28.1</v>
      </c>
      <c r="O455" s="120">
        <v>21.820586005154635</v>
      </c>
      <c r="P455" s="123">
        <v>23.59861681725726</v>
      </c>
      <c r="Q455" s="120">
        <v>0.7</v>
      </c>
      <c r="R455" s="120">
        <v>1.0814841000000002</v>
      </c>
      <c r="S455" s="15"/>
      <c r="T455" s="161"/>
      <c r="AA455" s="15"/>
      <c r="AB455" s="15"/>
      <c r="AC455" s="15"/>
      <c r="AD455" s="15"/>
      <c r="AE455" s="15"/>
    </row>
    <row r="456" ht="15.0" customHeight="1">
      <c r="A456" s="134" t="s">
        <v>238</v>
      </c>
      <c r="B456" s="3" t="s">
        <v>278</v>
      </c>
      <c r="C456" s="3" t="s">
        <v>279</v>
      </c>
      <c r="D456" s="3" t="s">
        <v>251</v>
      </c>
      <c r="E456" s="48">
        <v>5.0</v>
      </c>
      <c r="F456" s="171" t="s">
        <v>236</v>
      </c>
      <c r="G456" s="137">
        <v>13.0993082</v>
      </c>
      <c r="H456" s="137">
        <v>0.24579853</v>
      </c>
      <c r="I456" s="137">
        <v>9.76596645</v>
      </c>
      <c r="J456" s="120">
        <f t="shared" si="1"/>
        <v>53.29286632</v>
      </c>
      <c r="K456" s="121">
        <v>-0.312</v>
      </c>
      <c r="L456" s="121">
        <v>-0.665</v>
      </c>
      <c r="M456" s="122">
        <f t="shared" si="19"/>
        <v>0.353</v>
      </c>
      <c r="N456" s="120">
        <v>38.8</v>
      </c>
      <c r="O456" s="120">
        <v>27.66562733711048</v>
      </c>
      <c r="P456" s="123">
        <v>33.963170687233344</v>
      </c>
      <c r="Q456" s="120">
        <v>0.7</v>
      </c>
      <c r="R456" s="120">
        <v>1.2276306000000001</v>
      </c>
      <c r="S456" s="15"/>
      <c r="T456" s="161"/>
      <c r="AA456" s="15"/>
      <c r="AB456" s="15"/>
      <c r="AC456" s="15"/>
      <c r="AD456" s="15"/>
      <c r="AE456" s="15"/>
    </row>
    <row r="457" ht="15.0" customHeight="1">
      <c r="A457" s="134" t="s">
        <v>238</v>
      </c>
      <c r="B457" s="3" t="s">
        <v>278</v>
      </c>
      <c r="C457" s="3" t="s">
        <v>279</v>
      </c>
      <c r="D457" s="3" t="s">
        <v>251</v>
      </c>
      <c r="E457" s="48">
        <v>6.0</v>
      </c>
      <c r="F457" s="171" t="s">
        <v>236</v>
      </c>
      <c r="G457" s="137">
        <v>14.2638715</v>
      </c>
      <c r="H457" s="137">
        <v>0.32547136</v>
      </c>
      <c r="I457" s="137">
        <v>11.2222845</v>
      </c>
      <c r="J457" s="120">
        <f t="shared" si="1"/>
        <v>43.8252739</v>
      </c>
      <c r="K457" s="121">
        <v>-0.202</v>
      </c>
      <c r="L457" s="121">
        <v>-0.675</v>
      </c>
      <c r="M457" s="122">
        <f t="shared" si="19"/>
        <v>0.473</v>
      </c>
      <c r="N457" s="120">
        <v>36.5</v>
      </c>
      <c r="O457" s="120">
        <v>23.725760042283298</v>
      </c>
      <c r="P457" s="123">
        <v>30.860187431174054</v>
      </c>
      <c r="Q457" s="120">
        <v>0.4</v>
      </c>
      <c r="R457" s="120">
        <v>1.3007038500000003</v>
      </c>
      <c r="S457" s="15"/>
      <c r="T457" s="161"/>
      <c r="AA457" s="15"/>
      <c r="AB457" s="15"/>
      <c r="AC457" s="15"/>
      <c r="AD457" s="15"/>
      <c r="AE457" s="15"/>
    </row>
    <row r="458" ht="15.0" customHeight="1">
      <c r="A458" s="134" t="s">
        <v>238</v>
      </c>
      <c r="B458" s="3" t="s">
        <v>282</v>
      </c>
      <c r="C458" s="3" t="s">
        <v>287</v>
      </c>
      <c r="D458" s="135" t="s">
        <v>240</v>
      </c>
      <c r="E458" s="48">
        <v>1.0</v>
      </c>
      <c r="F458" s="171" t="s">
        <v>236</v>
      </c>
      <c r="G458" s="137">
        <v>21.0989219</v>
      </c>
      <c r="H458" s="137">
        <v>0.47337559</v>
      </c>
      <c r="I458" s="137">
        <v>10.8215192</v>
      </c>
      <c r="J458" s="120">
        <f t="shared" si="1"/>
        <v>44.57120803</v>
      </c>
      <c r="K458" s="121">
        <v>-0.372</v>
      </c>
      <c r="L458" s="121">
        <v>-0.78</v>
      </c>
      <c r="M458" s="122">
        <f t="shared" si="19"/>
        <v>0.408</v>
      </c>
      <c r="N458" s="120">
        <v>44.5</v>
      </c>
      <c r="O458" s="120">
        <v>26.523331372549016</v>
      </c>
      <c r="P458" s="123">
        <v>20.93197706156647</v>
      </c>
      <c r="Q458" s="120">
        <v>0.0</v>
      </c>
      <c r="R458" s="120">
        <v>0.7891911000000001</v>
      </c>
      <c r="S458" s="15"/>
      <c r="T458" s="161"/>
      <c r="AA458" s="15"/>
      <c r="AB458" s="15"/>
      <c r="AC458" s="15"/>
      <c r="AD458" s="15"/>
      <c r="AE458" s="15"/>
    </row>
    <row r="459" ht="15.0" customHeight="1">
      <c r="A459" s="134" t="s">
        <v>238</v>
      </c>
      <c r="B459" s="3" t="s">
        <v>282</v>
      </c>
      <c r="C459" s="3" t="s">
        <v>287</v>
      </c>
      <c r="D459" s="135" t="s">
        <v>240</v>
      </c>
      <c r="E459" s="48">
        <v>2.0</v>
      </c>
      <c r="F459" s="171" t="s">
        <v>236</v>
      </c>
      <c r="G459" s="137">
        <v>15.7026961</v>
      </c>
      <c r="H459" s="137">
        <v>0.36711276</v>
      </c>
      <c r="I459" s="137">
        <v>11.001869</v>
      </c>
      <c r="J459" s="120">
        <f t="shared" si="1"/>
        <v>42.77349581</v>
      </c>
      <c r="K459" s="121">
        <v>-0.343</v>
      </c>
      <c r="L459" s="121">
        <v>-0.787</v>
      </c>
      <c r="M459" s="122">
        <f t="shared" si="19"/>
        <v>0.444</v>
      </c>
      <c r="N459" s="120">
        <v>56.9</v>
      </c>
      <c r="O459" s="120">
        <v>24.778984234234233</v>
      </c>
      <c r="P459" s="123">
        <v>27.88448600929156</v>
      </c>
      <c r="Q459" s="120">
        <v>0.8</v>
      </c>
      <c r="R459" s="120">
        <v>1.1253280500000002</v>
      </c>
      <c r="S459" s="15"/>
      <c r="T459" s="161"/>
      <c r="AA459" s="15"/>
      <c r="AB459" s="15"/>
      <c r="AC459" s="15"/>
      <c r="AD459" s="15"/>
      <c r="AE459" s="15"/>
    </row>
    <row r="460" ht="15.0" customHeight="1">
      <c r="A460" s="134" t="s">
        <v>238</v>
      </c>
      <c r="B460" s="3" t="s">
        <v>282</v>
      </c>
      <c r="C460" s="3" t="s">
        <v>287</v>
      </c>
      <c r="D460" s="135" t="s">
        <v>240</v>
      </c>
      <c r="E460" s="48">
        <v>3.0</v>
      </c>
      <c r="F460" s="171" t="s">
        <v>236</v>
      </c>
      <c r="G460" s="137">
        <v>15.919822</v>
      </c>
      <c r="H460" s="137">
        <v>0.31629043</v>
      </c>
      <c r="I460" s="137">
        <v>10.2797864</v>
      </c>
      <c r="J460" s="120">
        <f t="shared" si="1"/>
        <v>50.33292345</v>
      </c>
      <c r="K460" s="121">
        <v>-0.273</v>
      </c>
      <c r="L460" s="121">
        <v>-0.868</v>
      </c>
      <c r="M460" s="122">
        <f t="shared" si="19"/>
        <v>0.595</v>
      </c>
      <c r="N460" s="120">
        <v>48.9</v>
      </c>
      <c r="O460" s="120">
        <v>17.276951932773112</v>
      </c>
      <c r="P460" s="123">
        <v>19.4422386284513</v>
      </c>
      <c r="Q460" s="120">
        <v>0.7</v>
      </c>
      <c r="R460" s="120">
        <v>1.1253280500000002</v>
      </c>
      <c r="S460" s="15"/>
      <c r="T460" s="161"/>
      <c r="AA460" s="15"/>
      <c r="AB460" s="15"/>
      <c r="AC460" s="15"/>
      <c r="AD460" s="15"/>
      <c r="AE460" s="15"/>
    </row>
    <row r="461" ht="15.0" customHeight="1">
      <c r="A461" s="134" t="s">
        <v>238</v>
      </c>
      <c r="B461" s="3" t="s">
        <v>282</v>
      </c>
      <c r="C461" s="3" t="s">
        <v>287</v>
      </c>
      <c r="D461" s="135" t="s">
        <v>240</v>
      </c>
      <c r="E461" s="48">
        <v>4.0</v>
      </c>
      <c r="F461" s="171" t="s">
        <v>236</v>
      </c>
      <c r="G461" s="137">
        <v>6.53689928</v>
      </c>
      <c r="H461" s="137">
        <v>0.12490424</v>
      </c>
      <c r="I461" s="137">
        <v>6.35941339</v>
      </c>
      <c r="J461" s="120">
        <f t="shared" si="1"/>
        <v>52.33528726</v>
      </c>
      <c r="K461" s="121">
        <v>-0.378</v>
      </c>
      <c r="L461" s="121">
        <v>-0.747</v>
      </c>
      <c r="M461" s="122">
        <f t="shared" si="19"/>
        <v>0.369</v>
      </c>
      <c r="N461" s="120">
        <v>43.9</v>
      </c>
      <c r="O461" s="120">
        <v>17.234182628726288</v>
      </c>
      <c r="P461" s="123">
        <v>18.386622942308772</v>
      </c>
      <c r="Q461" s="120">
        <v>0.7</v>
      </c>
      <c r="R461" s="120">
        <v>1.0668694500000002</v>
      </c>
      <c r="S461" s="15"/>
      <c r="T461" s="161"/>
      <c r="AA461" s="15"/>
      <c r="AB461" s="15"/>
      <c r="AC461" s="15"/>
      <c r="AD461" s="15"/>
      <c r="AE461" s="15"/>
    </row>
    <row r="462" ht="15.0" customHeight="1">
      <c r="A462" s="134" t="s">
        <v>238</v>
      </c>
      <c r="B462" s="3" t="s">
        <v>282</v>
      </c>
      <c r="C462" s="3" t="s">
        <v>287</v>
      </c>
      <c r="D462" s="135" t="s">
        <v>240</v>
      </c>
      <c r="E462" s="48">
        <v>5.0</v>
      </c>
      <c r="F462" s="171" t="s">
        <v>236</v>
      </c>
      <c r="G462" s="137">
        <v>13.4795973</v>
      </c>
      <c r="H462" s="137">
        <v>0.22297149</v>
      </c>
      <c r="I462" s="137">
        <v>9.25137017</v>
      </c>
      <c r="J462" s="120">
        <f t="shared" si="1"/>
        <v>60.4543536</v>
      </c>
      <c r="K462" s="121">
        <v>-0.42</v>
      </c>
      <c r="L462" s="121">
        <v>-0.75</v>
      </c>
      <c r="M462" s="122">
        <f t="shared" si="19"/>
        <v>0.33</v>
      </c>
      <c r="N462" s="120">
        <v>42.4</v>
      </c>
      <c r="O462" s="120">
        <v>28.034455060606057</v>
      </c>
      <c r="P462" s="123">
        <v>29.909103651558507</v>
      </c>
      <c r="Q462" s="120">
        <v>0.6</v>
      </c>
      <c r="R462" s="120">
        <v>1.0668694500000002</v>
      </c>
      <c r="S462" s="15"/>
      <c r="T462" s="161"/>
      <c r="AA462" s="15"/>
      <c r="AB462" s="15"/>
      <c r="AC462" s="15"/>
      <c r="AD462" s="15"/>
      <c r="AE462" s="15"/>
    </row>
    <row r="463" ht="15.0" customHeight="1">
      <c r="A463" s="134" t="s">
        <v>238</v>
      </c>
      <c r="B463" s="3" t="s">
        <v>282</v>
      </c>
      <c r="C463" s="3" t="s">
        <v>287</v>
      </c>
      <c r="D463" s="135" t="s">
        <v>240</v>
      </c>
      <c r="E463" s="48">
        <v>6.0</v>
      </c>
      <c r="F463" s="171" t="s">
        <v>236</v>
      </c>
      <c r="G463" s="137">
        <v>6.71925151</v>
      </c>
      <c r="H463" s="137">
        <v>0.15091416</v>
      </c>
      <c r="I463" s="137">
        <v>6.993014</v>
      </c>
      <c r="J463" s="120">
        <f t="shared" si="1"/>
        <v>44.52366504</v>
      </c>
      <c r="K463" s="121">
        <v>-0.344</v>
      </c>
      <c r="L463" s="121">
        <v>-0.85</v>
      </c>
      <c r="M463" s="122">
        <f t="shared" si="19"/>
        <v>0.506</v>
      </c>
      <c r="N463" s="120">
        <v>32.9</v>
      </c>
      <c r="O463" s="120">
        <v>13.820185770750987</v>
      </c>
      <c r="P463" s="123">
        <v>18.98585472960356</v>
      </c>
      <c r="Q463" s="120">
        <v>1.0</v>
      </c>
      <c r="R463" s="120">
        <v>1.3737771000000003</v>
      </c>
      <c r="S463" s="15"/>
      <c r="T463" s="161"/>
      <c r="AA463" s="15"/>
      <c r="AB463" s="15"/>
      <c r="AC463" s="15"/>
      <c r="AD463" s="15"/>
      <c r="AE463" s="15"/>
    </row>
    <row r="464" ht="15.0" customHeight="1">
      <c r="A464" s="134" t="s">
        <v>238</v>
      </c>
      <c r="B464" s="3" t="s">
        <v>282</v>
      </c>
      <c r="C464" s="3" t="s">
        <v>287</v>
      </c>
      <c r="D464" s="3" t="s">
        <v>251</v>
      </c>
      <c r="E464" s="48">
        <v>1.0</v>
      </c>
      <c r="F464" s="171" t="s">
        <v>236</v>
      </c>
      <c r="G464" s="137">
        <v>19.9363775</v>
      </c>
      <c r="H464" s="137">
        <v>0.34824689</v>
      </c>
      <c r="I464" s="137">
        <v>9.49644198</v>
      </c>
      <c r="J464" s="120">
        <f t="shared" si="1"/>
        <v>57.24782639</v>
      </c>
      <c r="K464" s="121">
        <v>-0.45</v>
      </c>
      <c r="L464" s="121">
        <v>-0.79</v>
      </c>
      <c r="M464" s="122">
        <f t="shared" si="19"/>
        <v>0.34</v>
      </c>
      <c r="N464" s="120">
        <v>42.2</v>
      </c>
      <c r="O464" s="120">
        <v>27.930711705882352</v>
      </c>
      <c r="P464" s="123">
        <v>27.34923758076903</v>
      </c>
      <c r="Q464" s="120">
        <v>1.1</v>
      </c>
      <c r="R464" s="120">
        <v>0.9791815500000003</v>
      </c>
      <c r="S464" s="15"/>
      <c r="T464" s="161"/>
      <c r="AA464" s="15"/>
      <c r="AB464" s="15"/>
      <c r="AC464" s="15"/>
      <c r="AD464" s="15"/>
      <c r="AE464" s="15"/>
    </row>
    <row r="465" ht="15.0" customHeight="1">
      <c r="A465" s="134" t="s">
        <v>238</v>
      </c>
      <c r="B465" s="3" t="s">
        <v>282</v>
      </c>
      <c r="C465" s="3" t="s">
        <v>287</v>
      </c>
      <c r="D465" s="3" t="s">
        <v>251</v>
      </c>
      <c r="E465" s="48">
        <v>2.0</v>
      </c>
      <c r="F465" s="171" t="s">
        <v>236</v>
      </c>
      <c r="G465" s="137">
        <v>15.3138177</v>
      </c>
      <c r="H465" s="137">
        <v>0.25928466</v>
      </c>
      <c r="I465" s="137">
        <v>8.95349226</v>
      </c>
      <c r="J465" s="120">
        <f t="shared" si="1"/>
        <v>59.06179602</v>
      </c>
      <c r="K465" s="121">
        <v>-0.317</v>
      </c>
      <c r="L465" s="121">
        <v>-0.78</v>
      </c>
      <c r="M465" s="122">
        <f t="shared" si="19"/>
        <v>0.463</v>
      </c>
      <c r="N465" s="120">
        <v>29.1</v>
      </c>
      <c r="O465" s="120">
        <v>19.337996241900647</v>
      </c>
      <c r="P465" s="123">
        <v>15.261374525941443</v>
      </c>
      <c r="Q465" s="120">
        <v>0.2</v>
      </c>
      <c r="R465" s="120">
        <v>0.7891911000000001</v>
      </c>
      <c r="S465" s="15"/>
      <c r="T465" s="161"/>
      <c r="AA465" s="15"/>
      <c r="AB465" s="15"/>
      <c r="AC465" s="15"/>
      <c r="AD465" s="15"/>
      <c r="AE465" s="15"/>
    </row>
    <row r="466" ht="15.0" customHeight="1">
      <c r="A466" s="134" t="s">
        <v>238</v>
      </c>
      <c r="B466" s="3" t="s">
        <v>282</v>
      </c>
      <c r="C466" s="3" t="s">
        <v>287</v>
      </c>
      <c r="D466" s="3" t="s">
        <v>251</v>
      </c>
      <c r="E466" s="48">
        <v>3.0</v>
      </c>
      <c r="F466" s="171" t="s">
        <v>236</v>
      </c>
      <c r="G466" s="137">
        <v>18.7178275</v>
      </c>
      <c r="H466" s="137">
        <v>0.35674056</v>
      </c>
      <c r="I466" s="137">
        <v>10.9917075</v>
      </c>
      <c r="J466" s="120">
        <f t="shared" si="1"/>
        <v>52.46901978</v>
      </c>
      <c r="K466" s="121">
        <v>-0.205</v>
      </c>
      <c r="L466" s="121">
        <v>-0.665</v>
      </c>
      <c r="M466" s="122">
        <f t="shared" si="19"/>
        <v>0.46</v>
      </c>
      <c r="N466" s="120">
        <v>41.5</v>
      </c>
      <c r="O466" s="120">
        <v>23.895016304347823</v>
      </c>
      <c r="P466" s="123">
        <v>30.03268780278098</v>
      </c>
      <c r="Q466" s="120">
        <v>0.9</v>
      </c>
      <c r="R466" s="120">
        <v>1.2568599000000003</v>
      </c>
      <c r="S466" s="15"/>
      <c r="T466" s="161"/>
      <c r="AA466" s="15"/>
      <c r="AB466" s="15"/>
      <c r="AC466" s="15"/>
      <c r="AD466" s="15"/>
      <c r="AE466" s="15"/>
    </row>
    <row r="467" ht="15.0" customHeight="1">
      <c r="A467" s="134" t="s">
        <v>238</v>
      </c>
      <c r="B467" s="3" t="s">
        <v>282</v>
      </c>
      <c r="C467" s="3" t="s">
        <v>287</v>
      </c>
      <c r="D467" s="3" t="s">
        <v>251</v>
      </c>
      <c r="E467" s="48">
        <v>4.0</v>
      </c>
      <c r="F467" s="171" t="s">
        <v>236</v>
      </c>
      <c r="G467" s="137">
        <v>15.8806168</v>
      </c>
      <c r="H467" s="137">
        <v>0.32147368</v>
      </c>
      <c r="I467" s="137">
        <v>11.1168949</v>
      </c>
      <c r="J467" s="120">
        <f t="shared" si="1"/>
        <v>49.39943077</v>
      </c>
      <c r="K467" s="121">
        <v>-0.225</v>
      </c>
      <c r="L467" s="121">
        <v>-0.782</v>
      </c>
      <c r="M467" s="122">
        <f t="shared" si="19"/>
        <v>0.557</v>
      </c>
      <c r="N467" s="120">
        <v>37.0</v>
      </c>
      <c r="O467" s="120">
        <v>19.958518671454218</v>
      </c>
      <c r="P467" s="123">
        <v>21.876507367632637</v>
      </c>
      <c r="Q467" s="120">
        <v>0.7</v>
      </c>
      <c r="R467" s="120">
        <v>1.0960987500000003</v>
      </c>
      <c r="S467" s="15"/>
      <c r="T467" s="161"/>
      <c r="AA467" s="15"/>
      <c r="AB467" s="15"/>
      <c r="AC467" s="15"/>
      <c r="AD467" s="15"/>
      <c r="AE467" s="15"/>
    </row>
    <row r="468" ht="15.0" customHeight="1">
      <c r="A468" s="134" t="s">
        <v>238</v>
      </c>
      <c r="B468" s="3" t="s">
        <v>282</v>
      </c>
      <c r="C468" s="3" t="s">
        <v>287</v>
      </c>
      <c r="D468" s="3" t="s">
        <v>251</v>
      </c>
      <c r="E468" s="48">
        <v>5.0</v>
      </c>
      <c r="F468" s="171" t="s">
        <v>236</v>
      </c>
      <c r="G468" s="137">
        <v>16.0351481</v>
      </c>
      <c r="H468" s="137">
        <v>0.36887997</v>
      </c>
      <c r="I468" s="137">
        <v>11.2366826</v>
      </c>
      <c r="J468" s="120">
        <f t="shared" si="1"/>
        <v>43.46982597</v>
      </c>
      <c r="K468" s="121">
        <v>-0.358</v>
      </c>
      <c r="L468" s="121">
        <v>-0.752</v>
      </c>
      <c r="M468" s="122">
        <f t="shared" si="19"/>
        <v>0.394</v>
      </c>
      <c r="N468" s="120">
        <v>31.3</v>
      </c>
      <c r="O468" s="120">
        <v>28.519498984771573</v>
      </c>
      <c r="P468" s="123">
        <v>34.17780465869894</v>
      </c>
      <c r="Q468" s="120">
        <v>0.7</v>
      </c>
      <c r="R468" s="120">
        <v>1.1984013000000002</v>
      </c>
      <c r="S468" s="15"/>
      <c r="T468" s="161"/>
      <c r="AA468" s="15"/>
      <c r="AB468" s="15"/>
      <c r="AC468" s="15"/>
      <c r="AD468" s="15"/>
      <c r="AE468" s="15"/>
    </row>
    <row r="469" ht="15.0" customHeight="1">
      <c r="A469" s="134" t="s">
        <v>238</v>
      </c>
      <c r="B469" s="3" t="s">
        <v>282</v>
      </c>
      <c r="C469" s="3" t="s">
        <v>287</v>
      </c>
      <c r="D469" s="3" t="s">
        <v>251</v>
      </c>
      <c r="E469" s="48">
        <v>6.0</v>
      </c>
      <c r="F469" s="171" t="s">
        <v>236</v>
      </c>
      <c r="G469" s="137">
        <v>12.8433225</v>
      </c>
      <c r="H469" s="137">
        <v>0.2776197</v>
      </c>
      <c r="I469" s="137">
        <v>10.3347024</v>
      </c>
      <c r="J469" s="120">
        <f t="shared" si="1"/>
        <v>46.26228794</v>
      </c>
      <c r="K469" s="121">
        <v>-0.316</v>
      </c>
      <c r="L469" s="121">
        <v>-0.875</v>
      </c>
      <c r="M469" s="122">
        <f t="shared" si="19"/>
        <v>0.559</v>
      </c>
      <c r="N469" s="120">
        <v>36.7</v>
      </c>
      <c r="O469" s="120">
        <v>18.487839713774598</v>
      </c>
      <c r="P469" s="123">
        <v>21.885657840506195</v>
      </c>
      <c r="Q469" s="120">
        <v>0.2</v>
      </c>
      <c r="R469" s="120">
        <v>1.1837866500000003</v>
      </c>
      <c r="S469" s="15"/>
      <c r="T469" s="161"/>
      <c r="AA469" s="15"/>
      <c r="AB469" s="15"/>
      <c r="AC469" s="15"/>
      <c r="AD469" s="15"/>
      <c r="AE469" s="15"/>
    </row>
    <row r="470" ht="15.0" customHeight="1">
      <c r="A470" s="134" t="s">
        <v>249</v>
      </c>
      <c r="B470" s="3" t="s">
        <v>282</v>
      </c>
      <c r="C470" s="3" t="s">
        <v>284</v>
      </c>
      <c r="D470" s="135" t="s">
        <v>240</v>
      </c>
      <c r="E470" s="48">
        <v>1.0</v>
      </c>
      <c r="F470" s="171" t="s">
        <v>236</v>
      </c>
      <c r="G470" s="137">
        <v>19.0003593</v>
      </c>
      <c r="H470" s="137">
        <v>0.33621733</v>
      </c>
      <c r="I470" s="137">
        <v>9.54826754</v>
      </c>
      <c r="J470" s="120">
        <f t="shared" si="1"/>
        <v>56.51213547</v>
      </c>
      <c r="K470" s="121">
        <v>-0.218</v>
      </c>
      <c r="L470" s="121">
        <v>-0.6</v>
      </c>
      <c r="M470" s="122">
        <f t="shared" si="19"/>
        <v>0.382</v>
      </c>
      <c r="N470" s="120">
        <v>38.0</v>
      </c>
      <c r="O470" s="120">
        <v>24.995464764397905</v>
      </c>
      <c r="P470" s="123">
        <v>24.840397900092537</v>
      </c>
      <c r="Q470" s="120">
        <v>0.3</v>
      </c>
      <c r="R470" s="120">
        <v>0.9937962000000001</v>
      </c>
      <c r="S470" s="15"/>
      <c r="T470" s="161"/>
      <c r="AA470" s="15"/>
      <c r="AB470" s="15"/>
      <c r="AC470" s="15"/>
      <c r="AD470" s="15"/>
      <c r="AE470" s="15"/>
    </row>
    <row r="471" ht="15.0" customHeight="1">
      <c r="A471" s="134" t="s">
        <v>249</v>
      </c>
      <c r="B471" s="3" t="s">
        <v>282</v>
      </c>
      <c r="C471" s="3" t="s">
        <v>284</v>
      </c>
      <c r="D471" s="135" t="s">
        <v>240</v>
      </c>
      <c r="E471" s="48">
        <v>2.0</v>
      </c>
      <c r="F471" s="171" t="s">
        <v>236</v>
      </c>
      <c r="G471" s="137">
        <v>17.1989098</v>
      </c>
      <c r="H471" s="137">
        <v>0.31013302</v>
      </c>
      <c r="I471" s="137">
        <v>10.1661562</v>
      </c>
      <c r="J471" s="120">
        <f t="shared" si="1"/>
        <v>55.45655796</v>
      </c>
      <c r="K471" s="121">
        <v>-0.387</v>
      </c>
      <c r="L471" s="121">
        <v>-0.65</v>
      </c>
      <c r="M471" s="122">
        <f t="shared" si="19"/>
        <v>0.263</v>
      </c>
      <c r="N471" s="120">
        <v>26.2</v>
      </c>
      <c r="O471" s="120">
        <v>38.65458631178707</v>
      </c>
      <c r="P471" s="123">
        <v>39.544627488909136</v>
      </c>
      <c r="Q471" s="120">
        <v>0.8</v>
      </c>
      <c r="R471" s="120">
        <v>1.0230255000000004</v>
      </c>
      <c r="S471" s="15"/>
      <c r="T471" s="161"/>
      <c r="AA471" s="15"/>
      <c r="AB471" s="15"/>
      <c r="AC471" s="15"/>
      <c r="AD471" s="15"/>
      <c r="AE471" s="15"/>
    </row>
    <row r="472" ht="15.0" customHeight="1">
      <c r="A472" s="134" t="s">
        <v>249</v>
      </c>
      <c r="B472" s="3" t="s">
        <v>282</v>
      </c>
      <c r="C472" s="3" t="s">
        <v>284</v>
      </c>
      <c r="D472" s="135" t="s">
        <v>240</v>
      </c>
      <c r="E472" s="48">
        <v>3.0</v>
      </c>
      <c r="F472" s="171" t="s">
        <v>236</v>
      </c>
      <c r="G472" s="137">
        <v>20.0367565</v>
      </c>
      <c r="H472" s="137">
        <v>0.37649583</v>
      </c>
      <c r="I472" s="137">
        <v>11.4504926</v>
      </c>
      <c r="J472" s="120">
        <f t="shared" si="1"/>
        <v>53.2190662</v>
      </c>
      <c r="K472" s="121">
        <v>-0.197</v>
      </c>
      <c r="L472" s="121">
        <v>-0.634</v>
      </c>
      <c r="M472" s="122">
        <f t="shared" si="19"/>
        <v>0.437</v>
      </c>
      <c r="N472" s="120">
        <v>35.5</v>
      </c>
      <c r="O472" s="120">
        <v>26.202500228832953</v>
      </c>
      <c r="P472" s="123">
        <v>29.486408487637146</v>
      </c>
      <c r="Q472" s="120">
        <v>0.6</v>
      </c>
      <c r="R472" s="120">
        <v>1.1253280500000002</v>
      </c>
      <c r="S472" s="15"/>
      <c r="T472" s="161"/>
      <c r="AA472" s="15"/>
      <c r="AB472" s="15"/>
      <c r="AC472" s="15"/>
      <c r="AD472" s="15"/>
      <c r="AE472" s="15"/>
    </row>
    <row r="473" ht="15.0" customHeight="1">
      <c r="A473" s="134" t="s">
        <v>249</v>
      </c>
      <c r="B473" s="3" t="s">
        <v>282</v>
      </c>
      <c r="C473" s="3" t="s">
        <v>284</v>
      </c>
      <c r="D473" s="135" t="s">
        <v>240</v>
      </c>
      <c r="E473" s="48">
        <v>4.0</v>
      </c>
      <c r="F473" s="171" t="s">
        <v>236</v>
      </c>
      <c r="G473" s="137">
        <v>13.9399947</v>
      </c>
      <c r="H473" s="137">
        <v>0.3273378</v>
      </c>
      <c r="I473" s="137">
        <v>11.2638442</v>
      </c>
      <c r="J473" s="120">
        <f t="shared" si="1"/>
        <v>42.58596074</v>
      </c>
      <c r="K473" s="121">
        <v>-0.392</v>
      </c>
      <c r="L473" s="121">
        <v>-0.688</v>
      </c>
      <c r="M473" s="122">
        <f t="shared" si="19"/>
        <v>0.296</v>
      </c>
      <c r="N473" s="120">
        <v>35.6</v>
      </c>
      <c r="O473" s="120">
        <v>38.05352770270271</v>
      </c>
      <c r="P473" s="123">
        <v>41.710424148022824</v>
      </c>
      <c r="Q473" s="120">
        <v>0.8</v>
      </c>
      <c r="R473" s="120">
        <v>1.0960987500000003</v>
      </c>
      <c r="S473" s="15"/>
      <c r="T473" s="161"/>
      <c r="AA473" s="15"/>
      <c r="AB473" s="15"/>
      <c r="AC473" s="15"/>
      <c r="AD473" s="15"/>
      <c r="AE473" s="15"/>
    </row>
    <row r="474" ht="15.0" customHeight="1">
      <c r="A474" s="134" t="s">
        <v>249</v>
      </c>
      <c r="B474" s="3" t="s">
        <v>282</v>
      </c>
      <c r="C474" s="3" t="s">
        <v>284</v>
      </c>
      <c r="D474" s="135" t="s">
        <v>240</v>
      </c>
      <c r="E474" s="48">
        <v>5.0</v>
      </c>
      <c r="F474" s="171" t="s">
        <v>236</v>
      </c>
      <c r="G474" s="137">
        <v>17.9051133</v>
      </c>
      <c r="H474" s="137">
        <v>0.42332518</v>
      </c>
      <c r="I474" s="137">
        <v>12.8647527</v>
      </c>
      <c r="J474" s="120">
        <f t="shared" si="1"/>
        <v>42.29635785</v>
      </c>
      <c r="K474" s="121">
        <v>-0.362</v>
      </c>
      <c r="L474" s="121">
        <v>-0.758</v>
      </c>
      <c r="M474" s="122">
        <f t="shared" si="19"/>
        <v>0.396</v>
      </c>
      <c r="N474" s="120">
        <v>38.8</v>
      </c>
      <c r="O474" s="120">
        <v>32.48674924242424</v>
      </c>
      <c r="P474" s="123">
        <v>37.033032645632055</v>
      </c>
      <c r="Q474" s="120">
        <v>0.4</v>
      </c>
      <c r="R474" s="120">
        <v>1.1399427000000004</v>
      </c>
      <c r="S474" s="15"/>
      <c r="T474" s="161"/>
      <c r="AA474" s="15"/>
      <c r="AB474" s="15"/>
      <c r="AC474" s="15"/>
      <c r="AD474" s="15"/>
      <c r="AE474" s="15"/>
    </row>
    <row r="475" ht="15.0" customHeight="1">
      <c r="A475" s="134" t="s">
        <v>249</v>
      </c>
      <c r="B475" s="3" t="s">
        <v>282</v>
      </c>
      <c r="C475" s="3" t="s">
        <v>284</v>
      </c>
      <c r="D475" s="135" t="s">
        <v>240</v>
      </c>
      <c r="E475" s="48">
        <v>6.0</v>
      </c>
      <c r="F475" s="171" t="s">
        <v>236</v>
      </c>
      <c r="G475" s="137">
        <v>17.2033539</v>
      </c>
      <c r="H475" s="137">
        <v>0.36717969</v>
      </c>
      <c r="I475" s="137">
        <v>11.7760525</v>
      </c>
      <c r="J475" s="120">
        <f t="shared" si="1"/>
        <v>46.85268376</v>
      </c>
      <c r="K475" s="121">
        <v>-0.307</v>
      </c>
      <c r="L475" s="121">
        <v>-0.763</v>
      </c>
      <c r="M475" s="122">
        <f t="shared" si="19"/>
        <v>0.456</v>
      </c>
      <c r="N475" s="120">
        <v>27.9</v>
      </c>
      <c r="O475" s="120">
        <v>25.82467653508772</v>
      </c>
      <c r="P475" s="123">
        <v>27.928977060340465</v>
      </c>
      <c r="Q475" s="120">
        <v>0.7</v>
      </c>
      <c r="R475" s="120">
        <v>1.0814841000000002</v>
      </c>
      <c r="S475" s="15"/>
      <c r="T475" s="161"/>
      <c r="AA475" s="15"/>
      <c r="AB475" s="15"/>
      <c r="AC475" s="15"/>
      <c r="AD475" s="15"/>
      <c r="AE475" s="15"/>
    </row>
    <row r="476" ht="15.0" customHeight="1">
      <c r="A476" s="134" t="s">
        <v>244</v>
      </c>
      <c r="B476" s="3" t="s">
        <v>278</v>
      </c>
      <c r="C476" s="3" t="s">
        <v>280</v>
      </c>
      <c r="D476" s="3" t="s">
        <v>251</v>
      </c>
      <c r="E476" s="48">
        <v>1.0</v>
      </c>
      <c r="F476" s="171" t="s">
        <v>236</v>
      </c>
      <c r="G476" s="137">
        <v>21.7784291</v>
      </c>
      <c r="H476" s="137">
        <v>0.38849756</v>
      </c>
      <c r="I476" s="137">
        <v>10.6317092</v>
      </c>
      <c r="J476" s="120">
        <f t="shared" si="1"/>
        <v>56.05808464</v>
      </c>
      <c r="K476" s="121">
        <v>-0.297</v>
      </c>
      <c r="L476" s="121">
        <v>-0.564</v>
      </c>
      <c r="M476" s="122">
        <f t="shared" si="19"/>
        <v>0.267</v>
      </c>
      <c r="N476" s="120">
        <v>42.5</v>
      </c>
      <c r="O476" s="120">
        <v>39.819135580524346</v>
      </c>
      <c r="P476" s="123">
        <v>36.08044924833844</v>
      </c>
      <c r="Q476" s="120">
        <v>0.5</v>
      </c>
      <c r="R476" s="120">
        <v>0.9061083000000002</v>
      </c>
      <c r="S476" s="15"/>
      <c r="T476" s="161"/>
      <c r="AA476" s="15"/>
      <c r="AB476" s="15"/>
      <c r="AC476" s="15"/>
      <c r="AD476" s="15"/>
      <c r="AE476" s="15"/>
    </row>
    <row r="477" ht="15.0" customHeight="1">
      <c r="A477" s="134" t="s">
        <v>244</v>
      </c>
      <c r="B477" s="3" t="s">
        <v>278</v>
      </c>
      <c r="C477" s="3" t="s">
        <v>280</v>
      </c>
      <c r="D477" s="3" t="s">
        <v>251</v>
      </c>
      <c r="E477" s="48">
        <v>2.0</v>
      </c>
      <c r="F477" s="171" t="s">
        <v>236</v>
      </c>
      <c r="G477" s="137">
        <v>12.6048321</v>
      </c>
      <c r="H477" s="137">
        <v>0.21038647</v>
      </c>
      <c r="I477" s="137">
        <v>7.80998943</v>
      </c>
      <c r="J477" s="120">
        <f t="shared" si="1"/>
        <v>59.91275057</v>
      </c>
      <c r="K477" s="121">
        <v>-0.4</v>
      </c>
      <c r="L477" s="121">
        <v>-0.645</v>
      </c>
      <c r="M477" s="122">
        <f t="shared" si="19"/>
        <v>0.245</v>
      </c>
      <c r="N477" s="120">
        <v>37.1</v>
      </c>
      <c r="O477" s="120">
        <v>31.87750787755102</v>
      </c>
      <c r="P477" s="123">
        <v>38.66792550172004</v>
      </c>
      <c r="Q477" s="120">
        <v>0.8</v>
      </c>
      <c r="R477" s="120">
        <v>1.2130159500000004</v>
      </c>
      <c r="S477" s="15"/>
      <c r="T477" s="161"/>
      <c r="AA477" s="15"/>
      <c r="AB477" s="15"/>
      <c r="AC477" s="15"/>
      <c r="AD477" s="15"/>
      <c r="AE477" s="15"/>
    </row>
    <row r="478" ht="15.0" customHeight="1">
      <c r="A478" s="134" t="s">
        <v>244</v>
      </c>
      <c r="B478" s="3" t="s">
        <v>278</v>
      </c>
      <c r="C478" s="3" t="s">
        <v>280</v>
      </c>
      <c r="D478" s="3" t="s">
        <v>251</v>
      </c>
      <c r="E478" s="48">
        <v>3.0</v>
      </c>
      <c r="F478" s="171" t="s">
        <v>236</v>
      </c>
      <c r="G478" s="137">
        <v>18.7451266</v>
      </c>
      <c r="H478" s="137">
        <v>0.32729687</v>
      </c>
      <c r="I478" s="137">
        <v>10.922653</v>
      </c>
      <c r="J478" s="120">
        <f t="shared" si="1"/>
        <v>57.27255076</v>
      </c>
      <c r="K478" s="121">
        <v>-0.185</v>
      </c>
      <c r="L478" s="121">
        <v>-0.8</v>
      </c>
      <c r="M478" s="122">
        <f t="shared" si="19"/>
        <v>0.615</v>
      </c>
      <c r="N478" s="120">
        <v>35.7</v>
      </c>
      <c r="O478" s="120">
        <v>17.760411382113823</v>
      </c>
      <c r="P478" s="123">
        <v>19.46716471542074</v>
      </c>
      <c r="Q478" s="120">
        <v>0.8</v>
      </c>
      <c r="R478" s="120">
        <v>1.0960987500000003</v>
      </c>
      <c r="S478" s="15"/>
      <c r="T478" s="161"/>
      <c r="AA478" s="15"/>
      <c r="AB478" s="15"/>
      <c r="AC478" s="15"/>
      <c r="AD478" s="15"/>
      <c r="AE478" s="15"/>
    </row>
    <row r="479" ht="15.0" customHeight="1">
      <c r="A479" s="134" t="s">
        <v>244</v>
      </c>
      <c r="B479" s="3" t="s">
        <v>278</v>
      </c>
      <c r="C479" s="3" t="s">
        <v>280</v>
      </c>
      <c r="D479" s="3" t="s">
        <v>251</v>
      </c>
      <c r="E479" s="48">
        <v>4.0</v>
      </c>
      <c r="F479" s="171" t="s">
        <v>236</v>
      </c>
      <c r="G479" s="137">
        <v>13.8472295</v>
      </c>
      <c r="H479" s="137">
        <v>0.27226567</v>
      </c>
      <c r="I479" s="137">
        <v>9.95903977</v>
      </c>
      <c r="J479" s="120">
        <f t="shared" si="1"/>
        <v>50.85925633</v>
      </c>
      <c r="K479" s="121">
        <v>-0.31</v>
      </c>
      <c r="L479" s="121">
        <v>-0.796</v>
      </c>
      <c r="M479" s="122">
        <f t="shared" si="19"/>
        <v>0.486</v>
      </c>
      <c r="N479" s="120">
        <v>39.4</v>
      </c>
      <c r="O479" s="120">
        <v>20.49185137860082</v>
      </c>
      <c r="P479" s="123">
        <v>25.156423803022555</v>
      </c>
      <c r="Q479" s="120">
        <v>1.0</v>
      </c>
      <c r="R479" s="120">
        <v>1.2276306000000001</v>
      </c>
      <c r="S479" s="15"/>
      <c r="T479" s="161"/>
      <c r="AA479" s="15"/>
      <c r="AB479" s="15"/>
      <c r="AC479" s="15"/>
      <c r="AD479" s="15"/>
      <c r="AE479" s="15"/>
    </row>
    <row r="480" ht="15.0" customHeight="1">
      <c r="A480" s="134" t="s">
        <v>244</v>
      </c>
      <c r="B480" s="3" t="s">
        <v>278</v>
      </c>
      <c r="C480" s="3" t="s">
        <v>280</v>
      </c>
      <c r="D480" s="3" t="s">
        <v>251</v>
      </c>
      <c r="E480" s="48">
        <v>5.0</v>
      </c>
      <c r="F480" s="171" t="s">
        <v>236</v>
      </c>
      <c r="G480" s="137">
        <v>15.3981034</v>
      </c>
      <c r="H480" s="137">
        <v>0.29552017</v>
      </c>
      <c r="I480" s="137">
        <v>11.0508511</v>
      </c>
      <c r="J480" s="120">
        <f t="shared" si="1"/>
        <v>52.1050844</v>
      </c>
      <c r="K480" s="121">
        <v>-0.312</v>
      </c>
      <c r="L480" s="121">
        <v>-0.745</v>
      </c>
      <c r="M480" s="122">
        <f t="shared" si="19"/>
        <v>0.433</v>
      </c>
      <c r="N480" s="120">
        <v>45.0</v>
      </c>
      <c r="O480" s="120">
        <v>25.521596073903</v>
      </c>
      <c r="P480" s="123">
        <v>32.82304907740906</v>
      </c>
      <c r="Q480" s="120">
        <v>1.1</v>
      </c>
      <c r="R480" s="120">
        <v>1.2860892000000004</v>
      </c>
      <c r="S480" s="15"/>
      <c r="T480" s="161"/>
      <c r="AA480" s="15"/>
      <c r="AB480" s="15"/>
      <c r="AC480" s="15"/>
      <c r="AD480" s="15"/>
      <c r="AE480" s="15"/>
    </row>
    <row r="481" ht="15.0" customHeight="1">
      <c r="A481" s="153" t="s">
        <v>244</v>
      </c>
      <c r="B481" s="154" t="s">
        <v>278</v>
      </c>
      <c r="C481" s="3" t="s">
        <v>280</v>
      </c>
      <c r="D481" s="154" t="s">
        <v>251</v>
      </c>
      <c r="E481" s="155">
        <v>6.0</v>
      </c>
      <c r="F481" s="172" t="s">
        <v>236</v>
      </c>
      <c r="G481" s="157">
        <v>16.8013592</v>
      </c>
      <c r="H481" s="157">
        <v>0.41425727</v>
      </c>
      <c r="I481" s="157">
        <v>12.2311215</v>
      </c>
      <c r="J481" s="120">
        <f t="shared" si="1"/>
        <v>40.55778961</v>
      </c>
      <c r="K481" s="158">
        <v>-0.42</v>
      </c>
      <c r="L481" s="158">
        <v>-0.76</v>
      </c>
      <c r="M481" s="159">
        <f t="shared" si="19"/>
        <v>0.34</v>
      </c>
      <c r="N481" s="145">
        <v>39.4</v>
      </c>
      <c r="O481" s="145">
        <v>35.97388676470588</v>
      </c>
      <c r="P481" s="173">
        <v>42.58540690067052</v>
      </c>
      <c r="Q481" s="145">
        <v>0.8</v>
      </c>
      <c r="R481" s="145">
        <v>1.1837866500000003</v>
      </c>
      <c r="S481" s="174"/>
      <c r="T481" s="175"/>
      <c r="AA481" s="15"/>
      <c r="AB481" s="15"/>
      <c r="AC481" s="15"/>
      <c r="AD481" s="15"/>
      <c r="AE481" s="15"/>
    </row>
    <row r="482" ht="15.0" customHeight="1">
      <c r="A482" s="176"/>
      <c r="G482" s="5"/>
      <c r="H482" s="5"/>
      <c r="I482" s="5"/>
      <c r="M482" s="177"/>
      <c r="O482" s="15"/>
      <c r="P482" s="178"/>
      <c r="Q482" s="15"/>
      <c r="R482" s="15"/>
      <c r="S482" s="15"/>
      <c r="T482" s="161"/>
      <c r="AA482" s="15"/>
      <c r="AB482" s="15"/>
      <c r="AC482" s="15"/>
      <c r="AD482" s="15"/>
      <c r="AE482" s="15"/>
    </row>
    <row r="483" ht="15.0" customHeight="1">
      <c r="A483" s="176"/>
      <c r="G483" s="5"/>
      <c r="I483" s="5"/>
      <c r="M483" s="177"/>
      <c r="O483" s="15"/>
      <c r="P483" s="178"/>
      <c r="Q483" s="15"/>
      <c r="R483" s="15"/>
      <c r="S483" s="15"/>
      <c r="T483" s="161"/>
      <c r="AA483" s="15"/>
      <c r="AB483" s="15"/>
      <c r="AC483" s="15"/>
      <c r="AD483" s="15"/>
      <c r="AE483" s="15"/>
    </row>
    <row r="484" ht="15.0" customHeight="1">
      <c r="A484" s="176"/>
      <c r="G484" s="5"/>
      <c r="H484" s="5"/>
      <c r="I484" s="5"/>
      <c r="M484" s="177"/>
      <c r="O484" s="15"/>
      <c r="P484" s="178"/>
      <c r="Q484" s="15"/>
      <c r="R484" s="15"/>
      <c r="S484" s="15"/>
      <c r="T484" s="161"/>
      <c r="AA484" s="15"/>
      <c r="AB484" s="15"/>
      <c r="AC484" s="15"/>
      <c r="AD484" s="15"/>
      <c r="AE484" s="15"/>
    </row>
    <row r="485" ht="15.0" customHeight="1">
      <c r="A485" s="176"/>
      <c r="G485" s="5"/>
      <c r="I485" s="5"/>
      <c r="M485" s="177"/>
      <c r="O485" s="15"/>
      <c r="P485" s="178"/>
      <c r="Q485" s="15"/>
      <c r="R485" s="15"/>
      <c r="S485" s="15"/>
      <c r="T485" s="161"/>
      <c r="AA485" s="15"/>
      <c r="AB485" s="15"/>
      <c r="AC485" s="15"/>
      <c r="AD485" s="15"/>
      <c r="AE485" s="15"/>
    </row>
    <row r="486" ht="15.0" customHeight="1">
      <c r="A486" s="176"/>
      <c r="G486" s="5"/>
      <c r="H486" s="5"/>
      <c r="I486" s="5"/>
      <c r="M486" s="177"/>
      <c r="O486" s="15"/>
      <c r="P486" s="178"/>
      <c r="Q486" s="15"/>
      <c r="R486" s="15"/>
      <c r="S486" s="15"/>
      <c r="T486" s="161"/>
      <c r="AA486" s="15"/>
      <c r="AB486" s="15"/>
      <c r="AC486" s="15"/>
      <c r="AD486" s="15"/>
      <c r="AE486" s="15"/>
    </row>
    <row r="487" ht="15.0" customHeight="1">
      <c r="A487" s="176"/>
      <c r="G487" s="5"/>
      <c r="H487" s="5"/>
      <c r="I487" s="5"/>
      <c r="M487" s="177"/>
      <c r="O487" s="15"/>
      <c r="P487" s="178"/>
      <c r="Q487" s="15"/>
      <c r="R487" s="15"/>
      <c r="S487" s="15"/>
      <c r="T487" s="161"/>
      <c r="AA487" s="15"/>
      <c r="AB487" s="15"/>
      <c r="AC487" s="15"/>
      <c r="AD487" s="15"/>
      <c r="AE487" s="15"/>
    </row>
    <row r="488" ht="15.0" customHeight="1">
      <c r="A488" s="176"/>
      <c r="G488" s="5"/>
      <c r="H488" s="5"/>
      <c r="I488" s="5"/>
      <c r="M488" s="177"/>
      <c r="O488" s="15"/>
      <c r="P488" s="178"/>
      <c r="Q488" s="15"/>
      <c r="R488" s="15"/>
      <c r="S488" s="15"/>
      <c r="T488" s="161"/>
      <c r="AA488" s="15"/>
      <c r="AB488" s="15"/>
      <c r="AC488" s="15"/>
      <c r="AD488" s="15"/>
      <c r="AE488" s="15"/>
    </row>
    <row r="489" ht="15.0" customHeight="1">
      <c r="A489" s="176"/>
      <c r="G489" s="5"/>
      <c r="H489" s="5"/>
      <c r="I489" s="5"/>
      <c r="M489" s="177"/>
      <c r="O489" s="15"/>
      <c r="P489" s="178"/>
      <c r="Q489" s="15"/>
      <c r="R489" s="15"/>
      <c r="S489" s="15"/>
      <c r="T489" s="161"/>
      <c r="AA489" s="15"/>
      <c r="AB489" s="15"/>
      <c r="AC489" s="15"/>
      <c r="AD489" s="15"/>
      <c r="AE489" s="15"/>
    </row>
    <row r="490" ht="15.0" customHeight="1">
      <c r="A490" s="176"/>
      <c r="G490" s="5"/>
      <c r="H490" s="5"/>
      <c r="I490" s="5"/>
      <c r="M490" s="177"/>
      <c r="O490" s="15"/>
      <c r="P490" s="178"/>
      <c r="Q490" s="15"/>
      <c r="R490" s="15"/>
      <c r="S490" s="15"/>
      <c r="T490" s="161"/>
      <c r="AA490" s="15"/>
      <c r="AB490" s="15"/>
      <c r="AC490" s="15"/>
      <c r="AD490" s="15"/>
      <c r="AE490" s="15"/>
    </row>
    <row r="491" ht="15.0" customHeight="1">
      <c r="A491" s="176"/>
      <c r="G491" s="5"/>
      <c r="H491" s="5"/>
      <c r="I491" s="5"/>
      <c r="M491" s="177"/>
      <c r="O491" s="15"/>
      <c r="P491" s="178"/>
      <c r="Q491" s="15"/>
      <c r="R491" s="15"/>
      <c r="S491" s="15"/>
      <c r="T491" s="161"/>
      <c r="AA491" s="15"/>
      <c r="AB491" s="15"/>
      <c r="AC491" s="15"/>
      <c r="AD491" s="15"/>
      <c r="AE491" s="15"/>
    </row>
    <row r="492" ht="15.0" customHeight="1">
      <c r="A492" s="176"/>
      <c r="G492" s="5"/>
      <c r="H492" s="5"/>
      <c r="I492" s="5"/>
      <c r="M492" s="177"/>
      <c r="O492" s="15"/>
      <c r="P492" s="178"/>
      <c r="Q492" s="15"/>
      <c r="R492" s="15"/>
      <c r="S492" s="15"/>
      <c r="T492" s="161"/>
      <c r="AA492" s="15"/>
      <c r="AB492" s="15"/>
      <c r="AC492" s="15"/>
      <c r="AD492" s="15"/>
      <c r="AE492" s="15"/>
    </row>
    <row r="493" ht="15.0" customHeight="1">
      <c r="A493" s="176"/>
      <c r="G493" s="5"/>
      <c r="H493" s="5"/>
      <c r="I493" s="5"/>
      <c r="M493" s="177"/>
      <c r="O493" s="15"/>
      <c r="P493" s="178"/>
      <c r="Q493" s="15"/>
      <c r="R493" s="15"/>
      <c r="S493" s="15"/>
      <c r="T493" s="161"/>
      <c r="AA493" s="15"/>
      <c r="AB493" s="15"/>
      <c r="AC493" s="15"/>
      <c r="AD493" s="15"/>
      <c r="AE493" s="15"/>
    </row>
    <row r="494" ht="15.0" customHeight="1">
      <c r="A494" s="176"/>
      <c r="G494" s="5"/>
      <c r="H494" s="5"/>
      <c r="I494" s="5"/>
      <c r="M494" s="177"/>
      <c r="O494" s="15"/>
      <c r="P494" s="178"/>
      <c r="Q494" s="15"/>
      <c r="R494" s="15"/>
      <c r="S494" s="15"/>
      <c r="T494" s="161"/>
      <c r="AA494" s="15"/>
      <c r="AB494" s="15"/>
      <c r="AC494" s="15"/>
      <c r="AD494" s="15"/>
      <c r="AE494" s="15"/>
    </row>
    <row r="495" ht="15.0" customHeight="1">
      <c r="A495" s="176"/>
      <c r="G495" s="5"/>
      <c r="H495" s="5"/>
      <c r="I495" s="5"/>
      <c r="M495" s="177"/>
      <c r="O495" s="15"/>
      <c r="P495" s="178"/>
      <c r="Q495" s="15"/>
      <c r="R495" s="15"/>
      <c r="S495" s="15"/>
      <c r="T495" s="161"/>
      <c r="AA495" s="15"/>
      <c r="AB495" s="15"/>
      <c r="AC495" s="15"/>
      <c r="AD495" s="15"/>
      <c r="AE495" s="15"/>
    </row>
    <row r="496" ht="15.0" customHeight="1">
      <c r="A496" s="176"/>
      <c r="G496" s="5"/>
      <c r="H496" s="5"/>
      <c r="I496" s="5"/>
      <c r="M496" s="177"/>
      <c r="O496" s="15"/>
      <c r="P496" s="178"/>
      <c r="Q496" s="15"/>
      <c r="R496" s="15"/>
      <c r="S496" s="15"/>
      <c r="T496" s="161"/>
      <c r="AA496" s="15"/>
      <c r="AB496" s="15"/>
      <c r="AC496" s="15"/>
      <c r="AD496" s="15"/>
      <c r="AE496" s="15"/>
    </row>
    <row r="497" ht="15.0" customHeight="1">
      <c r="A497" s="176"/>
      <c r="G497" s="5"/>
      <c r="H497" s="5"/>
      <c r="I497" s="5"/>
      <c r="M497" s="177"/>
      <c r="O497" s="15"/>
      <c r="P497" s="178"/>
      <c r="Q497" s="15"/>
      <c r="R497" s="15"/>
      <c r="S497" s="15"/>
      <c r="T497" s="161"/>
      <c r="AA497" s="15"/>
      <c r="AB497" s="15"/>
      <c r="AC497" s="15"/>
      <c r="AD497" s="15"/>
      <c r="AE497" s="15"/>
    </row>
    <row r="498" ht="15.0" customHeight="1">
      <c r="A498" s="176"/>
      <c r="G498" s="5"/>
      <c r="H498" s="5"/>
      <c r="I498" s="5"/>
      <c r="M498" s="177"/>
      <c r="O498" s="15"/>
      <c r="P498" s="178"/>
      <c r="Q498" s="15"/>
      <c r="R498" s="15"/>
      <c r="S498" s="15"/>
      <c r="T498" s="161"/>
      <c r="AA498" s="15"/>
      <c r="AB498" s="15"/>
      <c r="AC498" s="15"/>
      <c r="AD498" s="15"/>
      <c r="AE498" s="15"/>
    </row>
    <row r="499" ht="15.0" customHeight="1">
      <c r="A499" s="176"/>
      <c r="G499" s="5"/>
      <c r="H499" s="5"/>
      <c r="I499" s="5"/>
      <c r="M499" s="177"/>
      <c r="O499" s="15"/>
      <c r="P499" s="178"/>
      <c r="Q499" s="15"/>
      <c r="R499" s="15"/>
      <c r="S499" s="15"/>
      <c r="T499" s="161"/>
      <c r="AA499" s="15"/>
      <c r="AB499" s="15"/>
      <c r="AC499" s="15"/>
      <c r="AD499" s="15"/>
      <c r="AE499" s="15"/>
    </row>
    <row r="500" ht="15.0" customHeight="1">
      <c r="A500" s="176"/>
      <c r="G500" s="5"/>
      <c r="H500" s="5"/>
      <c r="I500" s="5"/>
      <c r="M500" s="177"/>
      <c r="O500" s="15"/>
      <c r="P500" s="178"/>
      <c r="Q500" s="15"/>
      <c r="R500" s="15"/>
      <c r="S500" s="15"/>
      <c r="T500" s="161"/>
      <c r="AA500" s="15"/>
      <c r="AB500" s="15"/>
      <c r="AC500" s="15"/>
      <c r="AD500" s="15"/>
      <c r="AE500" s="15"/>
    </row>
    <row r="501" ht="15.0" customHeight="1">
      <c r="A501" s="176"/>
      <c r="G501" s="5"/>
      <c r="H501" s="5"/>
      <c r="I501" s="5"/>
      <c r="M501" s="177"/>
      <c r="O501" s="15"/>
      <c r="P501" s="178"/>
      <c r="Q501" s="15"/>
      <c r="R501" s="15"/>
      <c r="S501" s="15"/>
      <c r="T501" s="161"/>
      <c r="AA501" s="15"/>
      <c r="AB501" s="15"/>
      <c r="AC501" s="15"/>
      <c r="AD501" s="15"/>
      <c r="AE501" s="15"/>
    </row>
    <row r="502" ht="15.0" customHeight="1">
      <c r="A502" s="176"/>
      <c r="G502" s="5"/>
      <c r="H502" s="5"/>
      <c r="I502" s="5"/>
      <c r="M502" s="177"/>
      <c r="O502" s="15"/>
      <c r="P502" s="178"/>
      <c r="Q502" s="15"/>
      <c r="R502" s="15"/>
      <c r="S502" s="15"/>
      <c r="T502" s="161"/>
      <c r="AA502" s="15"/>
      <c r="AB502" s="15"/>
      <c r="AC502" s="15"/>
      <c r="AD502" s="15"/>
      <c r="AE502" s="15"/>
    </row>
    <row r="503" ht="15.0" customHeight="1">
      <c r="A503" s="176"/>
      <c r="G503" s="5"/>
      <c r="H503" s="5"/>
      <c r="I503" s="5"/>
      <c r="M503" s="177"/>
      <c r="O503" s="15"/>
      <c r="P503" s="178"/>
      <c r="Q503" s="15"/>
      <c r="R503" s="15"/>
      <c r="S503" s="15"/>
      <c r="T503" s="161"/>
      <c r="AA503" s="15"/>
      <c r="AB503" s="15"/>
      <c r="AC503" s="15"/>
      <c r="AD503" s="15"/>
      <c r="AE503" s="15"/>
    </row>
    <row r="504" ht="15.0" customHeight="1">
      <c r="A504" s="176"/>
      <c r="G504" s="5"/>
      <c r="H504" s="5"/>
      <c r="I504" s="5"/>
      <c r="M504" s="177"/>
      <c r="O504" s="15"/>
      <c r="P504" s="178"/>
      <c r="Q504" s="15"/>
      <c r="R504" s="15"/>
      <c r="S504" s="15"/>
      <c r="T504" s="161"/>
      <c r="AA504" s="15"/>
      <c r="AB504" s="15"/>
      <c r="AC504" s="15"/>
      <c r="AD504" s="15"/>
      <c r="AE504" s="15"/>
    </row>
    <row r="505" ht="15.0" customHeight="1">
      <c r="A505" s="176"/>
      <c r="G505" s="5"/>
      <c r="H505" s="5"/>
      <c r="I505" s="5"/>
      <c r="M505" s="177"/>
      <c r="O505" s="15"/>
      <c r="P505" s="178"/>
      <c r="Q505" s="15"/>
      <c r="R505" s="15"/>
      <c r="S505" s="15"/>
      <c r="T505" s="161"/>
      <c r="AA505" s="15"/>
      <c r="AB505" s="15"/>
      <c r="AC505" s="15"/>
      <c r="AD505" s="15"/>
      <c r="AE505" s="15"/>
    </row>
    <row r="506" ht="15.0" customHeight="1">
      <c r="A506" s="176"/>
      <c r="G506" s="5"/>
      <c r="H506" s="5"/>
      <c r="I506" s="5"/>
      <c r="M506" s="177"/>
      <c r="O506" s="15"/>
      <c r="P506" s="178"/>
      <c r="Q506" s="15"/>
      <c r="R506" s="15"/>
      <c r="S506" s="15"/>
      <c r="T506" s="161"/>
      <c r="AA506" s="15"/>
      <c r="AB506" s="15"/>
      <c r="AC506" s="15"/>
      <c r="AD506" s="15"/>
      <c r="AE506" s="15"/>
    </row>
    <row r="507" ht="15.0" customHeight="1">
      <c r="A507" s="176"/>
      <c r="G507" s="5"/>
      <c r="H507" s="5"/>
      <c r="I507" s="5"/>
      <c r="M507" s="177"/>
      <c r="O507" s="15"/>
      <c r="P507" s="178"/>
      <c r="Q507" s="15"/>
      <c r="R507" s="15"/>
      <c r="S507" s="15"/>
      <c r="T507" s="161"/>
      <c r="AA507" s="15"/>
      <c r="AB507" s="15"/>
      <c r="AC507" s="15"/>
      <c r="AD507" s="15"/>
      <c r="AE507" s="15"/>
    </row>
    <row r="508" ht="15.0" customHeight="1">
      <c r="A508" s="176"/>
      <c r="G508" s="5"/>
      <c r="H508" s="5"/>
      <c r="I508" s="5"/>
      <c r="M508" s="177"/>
      <c r="O508" s="15"/>
      <c r="P508" s="178"/>
      <c r="Q508" s="15"/>
      <c r="R508" s="15"/>
      <c r="S508" s="15"/>
      <c r="T508" s="161"/>
      <c r="AA508" s="15"/>
      <c r="AB508" s="15"/>
      <c r="AC508" s="15"/>
      <c r="AD508" s="15"/>
      <c r="AE508" s="15"/>
    </row>
    <row r="509" ht="15.0" customHeight="1">
      <c r="A509" s="176"/>
      <c r="G509" s="5"/>
      <c r="H509" s="5"/>
      <c r="I509" s="5"/>
      <c r="M509" s="177"/>
      <c r="O509" s="15"/>
      <c r="P509" s="178"/>
      <c r="Q509" s="15"/>
      <c r="R509" s="15"/>
      <c r="S509" s="15"/>
      <c r="T509" s="161"/>
      <c r="AA509" s="15"/>
      <c r="AB509" s="15"/>
      <c r="AC509" s="15"/>
      <c r="AD509" s="15"/>
      <c r="AE509" s="15"/>
    </row>
    <row r="510" ht="15.0" customHeight="1">
      <c r="A510" s="176"/>
      <c r="G510" s="5"/>
      <c r="H510" s="5"/>
      <c r="I510" s="5"/>
      <c r="M510" s="177"/>
      <c r="O510" s="15"/>
      <c r="P510" s="178"/>
      <c r="Q510" s="15"/>
      <c r="R510" s="15"/>
      <c r="S510" s="15"/>
      <c r="T510" s="161"/>
      <c r="AA510" s="15"/>
      <c r="AB510" s="15"/>
      <c r="AC510" s="15"/>
      <c r="AD510" s="15"/>
      <c r="AE510" s="15"/>
    </row>
    <row r="511" ht="15.0" customHeight="1">
      <c r="A511" s="176"/>
      <c r="G511" s="5"/>
      <c r="H511" s="5"/>
      <c r="I511" s="5"/>
      <c r="M511" s="177"/>
      <c r="O511" s="15"/>
      <c r="P511" s="178"/>
      <c r="Q511" s="15"/>
      <c r="R511" s="15"/>
      <c r="S511" s="15"/>
      <c r="T511" s="161"/>
      <c r="AA511" s="15"/>
      <c r="AB511" s="15"/>
      <c r="AC511" s="15"/>
      <c r="AD511" s="15"/>
      <c r="AE511" s="15"/>
    </row>
    <row r="512" ht="15.0" customHeight="1">
      <c r="A512" s="176"/>
      <c r="G512" s="5"/>
      <c r="H512" s="5"/>
      <c r="I512" s="5"/>
      <c r="M512" s="177"/>
      <c r="O512" s="15"/>
      <c r="P512" s="178"/>
      <c r="Q512" s="15"/>
      <c r="R512" s="15"/>
      <c r="S512" s="15"/>
      <c r="T512" s="161"/>
      <c r="AA512" s="15"/>
      <c r="AB512" s="15"/>
      <c r="AC512" s="15"/>
      <c r="AD512" s="15"/>
      <c r="AE512" s="15"/>
    </row>
    <row r="513" ht="15.0" customHeight="1">
      <c r="A513" s="176"/>
      <c r="G513" s="5"/>
      <c r="H513" s="5"/>
      <c r="I513" s="5"/>
      <c r="M513" s="177"/>
      <c r="O513" s="15"/>
      <c r="P513" s="178"/>
      <c r="Q513" s="15"/>
      <c r="R513" s="15"/>
      <c r="S513" s="15"/>
      <c r="T513" s="161"/>
      <c r="AA513" s="15"/>
      <c r="AB513" s="15"/>
      <c r="AC513" s="15"/>
      <c r="AD513" s="15"/>
      <c r="AE513" s="15"/>
    </row>
    <row r="514" ht="15.0" customHeight="1">
      <c r="A514" s="176"/>
      <c r="G514" s="5"/>
      <c r="H514" s="5"/>
      <c r="I514" s="5"/>
      <c r="M514" s="177"/>
      <c r="O514" s="15"/>
      <c r="P514" s="178"/>
      <c r="Q514" s="15"/>
      <c r="R514" s="15"/>
      <c r="S514" s="15"/>
      <c r="T514" s="161"/>
      <c r="AA514" s="15"/>
      <c r="AB514" s="15"/>
      <c r="AC514" s="15"/>
      <c r="AD514" s="15"/>
      <c r="AE514" s="15"/>
    </row>
    <row r="515" ht="15.0" customHeight="1">
      <c r="A515" s="176"/>
      <c r="G515" s="5"/>
      <c r="H515" s="5"/>
      <c r="I515" s="5"/>
      <c r="M515" s="177"/>
      <c r="O515" s="15"/>
      <c r="P515" s="178"/>
      <c r="Q515" s="15"/>
      <c r="R515" s="15"/>
      <c r="S515" s="15"/>
      <c r="T515" s="161"/>
      <c r="AA515" s="15"/>
      <c r="AB515" s="15"/>
      <c r="AC515" s="15"/>
      <c r="AD515" s="15"/>
      <c r="AE515" s="15"/>
    </row>
    <row r="516" ht="15.0" customHeight="1">
      <c r="A516" s="176"/>
      <c r="G516" s="5"/>
      <c r="H516" s="5"/>
      <c r="I516" s="5"/>
      <c r="M516" s="177"/>
      <c r="O516" s="15"/>
      <c r="P516" s="178"/>
      <c r="Q516" s="15"/>
      <c r="R516" s="15"/>
      <c r="S516" s="15"/>
      <c r="T516" s="161"/>
      <c r="AA516" s="15"/>
      <c r="AB516" s="15"/>
      <c r="AC516" s="15"/>
      <c r="AD516" s="15"/>
      <c r="AE516" s="15"/>
    </row>
    <row r="517" ht="15.0" customHeight="1">
      <c r="A517" s="176"/>
      <c r="G517" s="5"/>
      <c r="H517" s="5"/>
      <c r="I517" s="5"/>
      <c r="M517" s="177"/>
      <c r="O517" s="15"/>
      <c r="P517" s="178"/>
      <c r="Q517" s="15"/>
      <c r="R517" s="15"/>
      <c r="S517" s="15"/>
      <c r="T517" s="161"/>
      <c r="AA517" s="15"/>
      <c r="AB517" s="15"/>
      <c r="AC517" s="15"/>
      <c r="AD517" s="15"/>
      <c r="AE517" s="15"/>
    </row>
    <row r="518" ht="15.0" customHeight="1">
      <c r="A518" s="176"/>
      <c r="G518" s="5"/>
      <c r="H518" s="5"/>
      <c r="I518" s="5"/>
      <c r="M518" s="177"/>
      <c r="O518" s="15"/>
      <c r="P518" s="178"/>
      <c r="Q518" s="15"/>
      <c r="R518" s="15"/>
      <c r="S518" s="15"/>
      <c r="T518" s="161"/>
      <c r="AA518" s="15"/>
      <c r="AB518" s="15"/>
      <c r="AC518" s="15"/>
      <c r="AD518" s="15"/>
      <c r="AE518" s="15"/>
    </row>
    <row r="519" ht="15.0" customHeight="1">
      <c r="A519" s="176"/>
      <c r="G519" s="5"/>
      <c r="H519" s="5"/>
      <c r="I519" s="5"/>
      <c r="M519" s="177"/>
      <c r="O519" s="15"/>
      <c r="P519" s="178"/>
      <c r="Q519" s="15"/>
      <c r="R519" s="15"/>
      <c r="S519" s="15"/>
      <c r="T519" s="161"/>
      <c r="AA519" s="15"/>
      <c r="AB519" s="15"/>
      <c r="AC519" s="15"/>
      <c r="AD519" s="15"/>
      <c r="AE519" s="15"/>
    </row>
    <row r="520" ht="15.0" customHeight="1">
      <c r="A520" s="176"/>
      <c r="G520" s="5"/>
      <c r="H520" s="5"/>
      <c r="I520" s="5"/>
      <c r="M520" s="177"/>
      <c r="O520" s="15"/>
      <c r="P520" s="178"/>
      <c r="Q520" s="15"/>
      <c r="R520" s="15"/>
      <c r="S520" s="15"/>
      <c r="T520" s="161"/>
      <c r="AA520" s="15"/>
      <c r="AB520" s="15"/>
      <c r="AC520" s="15"/>
      <c r="AD520" s="15"/>
      <c r="AE520" s="15"/>
    </row>
    <row r="521" ht="15.0" customHeight="1">
      <c r="A521" s="176"/>
      <c r="G521" s="5"/>
      <c r="H521" s="5"/>
      <c r="I521" s="5"/>
      <c r="M521" s="177"/>
      <c r="O521" s="15"/>
      <c r="P521" s="178"/>
      <c r="Q521" s="15"/>
      <c r="R521" s="15"/>
      <c r="S521" s="15"/>
      <c r="T521" s="161"/>
      <c r="AA521" s="15"/>
      <c r="AB521" s="15"/>
      <c r="AC521" s="15"/>
      <c r="AD521" s="15"/>
      <c r="AE521" s="15"/>
    </row>
    <row r="522" ht="15.0" customHeight="1">
      <c r="A522" s="176"/>
      <c r="G522" s="5"/>
      <c r="H522" s="5"/>
      <c r="I522" s="5"/>
      <c r="M522" s="177"/>
      <c r="O522" s="15"/>
      <c r="P522" s="178"/>
      <c r="Q522" s="15"/>
      <c r="R522" s="15"/>
      <c r="S522" s="15"/>
      <c r="T522" s="161"/>
      <c r="AA522" s="15"/>
      <c r="AB522" s="15"/>
      <c r="AC522" s="15"/>
      <c r="AD522" s="15"/>
      <c r="AE522" s="15"/>
    </row>
    <row r="523" ht="15.0" customHeight="1">
      <c r="A523" s="176"/>
      <c r="G523" s="5"/>
      <c r="H523" s="5"/>
      <c r="I523" s="5"/>
      <c r="M523" s="177"/>
      <c r="O523" s="15"/>
      <c r="P523" s="178"/>
      <c r="Q523" s="15"/>
      <c r="R523" s="15"/>
      <c r="S523" s="15"/>
      <c r="T523" s="161"/>
      <c r="AA523" s="15"/>
      <c r="AB523" s="15"/>
      <c r="AC523" s="15"/>
      <c r="AD523" s="15"/>
      <c r="AE523" s="15"/>
    </row>
    <row r="524" ht="15.0" customHeight="1">
      <c r="A524" s="176"/>
      <c r="G524" s="5"/>
      <c r="H524" s="5"/>
      <c r="I524" s="5"/>
      <c r="M524" s="177"/>
      <c r="O524" s="15"/>
      <c r="P524" s="178"/>
      <c r="Q524" s="15"/>
      <c r="R524" s="15"/>
      <c r="S524" s="15"/>
      <c r="T524" s="161"/>
      <c r="AA524" s="15"/>
      <c r="AB524" s="15"/>
      <c r="AC524" s="15"/>
      <c r="AD524" s="15"/>
      <c r="AE524" s="15"/>
    </row>
    <row r="525" ht="15.0" customHeight="1">
      <c r="A525" s="176"/>
      <c r="G525" s="5"/>
      <c r="H525" s="5"/>
      <c r="I525" s="5"/>
      <c r="M525" s="177"/>
      <c r="O525" s="15"/>
      <c r="P525" s="178"/>
      <c r="Q525" s="15"/>
      <c r="R525" s="15"/>
      <c r="S525" s="15"/>
      <c r="T525" s="161"/>
      <c r="AA525" s="15"/>
      <c r="AB525" s="15"/>
      <c r="AC525" s="15"/>
      <c r="AD525" s="15"/>
      <c r="AE525" s="15"/>
    </row>
    <row r="526" ht="15.0" customHeight="1">
      <c r="A526" s="176"/>
      <c r="G526" s="5"/>
      <c r="H526" s="5"/>
      <c r="I526" s="5"/>
      <c r="M526" s="177"/>
      <c r="O526" s="15"/>
      <c r="P526" s="178"/>
      <c r="Q526" s="15"/>
      <c r="R526" s="15"/>
      <c r="S526" s="15"/>
      <c r="T526" s="161"/>
      <c r="AA526" s="15"/>
      <c r="AB526" s="15"/>
      <c r="AC526" s="15"/>
      <c r="AD526" s="15"/>
      <c r="AE526" s="15"/>
    </row>
    <row r="527" ht="15.0" customHeight="1">
      <c r="A527" s="176"/>
      <c r="G527" s="5"/>
      <c r="H527" s="5"/>
      <c r="I527" s="5"/>
      <c r="M527" s="177"/>
      <c r="O527" s="15"/>
      <c r="P527" s="178"/>
      <c r="Q527" s="15"/>
      <c r="R527" s="15"/>
      <c r="S527" s="15"/>
      <c r="T527" s="161"/>
      <c r="AA527" s="15"/>
      <c r="AB527" s="15"/>
      <c r="AC527" s="15"/>
      <c r="AD527" s="15"/>
      <c r="AE527" s="15"/>
    </row>
    <row r="528" ht="15.0" customHeight="1">
      <c r="A528" s="176"/>
      <c r="G528" s="5"/>
      <c r="H528" s="5"/>
      <c r="I528" s="5"/>
      <c r="M528" s="177"/>
      <c r="O528" s="15"/>
      <c r="P528" s="178"/>
      <c r="Q528" s="15"/>
      <c r="R528" s="15"/>
      <c r="S528" s="15"/>
      <c r="T528" s="161"/>
      <c r="AA528" s="15"/>
      <c r="AB528" s="15"/>
      <c r="AC528" s="15"/>
      <c r="AD528" s="15"/>
      <c r="AE528" s="15"/>
    </row>
    <row r="529" ht="15.0" customHeight="1">
      <c r="A529" s="176"/>
      <c r="G529" s="5"/>
      <c r="H529" s="5"/>
      <c r="I529" s="5"/>
      <c r="M529" s="177"/>
      <c r="O529" s="15"/>
      <c r="P529" s="178"/>
      <c r="Q529" s="15"/>
      <c r="R529" s="15"/>
      <c r="S529" s="15"/>
      <c r="T529" s="161"/>
      <c r="AA529" s="15"/>
      <c r="AB529" s="15"/>
      <c r="AC529" s="15"/>
      <c r="AD529" s="15"/>
      <c r="AE529" s="15"/>
    </row>
    <row r="530" ht="15.0" customHeight="1">
      <c r="A530" s="176"/>
      <c r="G530" s="5"/>
      <c r="H530" s="5"/>
      <c r="I530" s="5"/>
      <c r="M530" s="177"/>
      <c r="O530" s="15"/>
      <c r="P530" s="178"/>
      <c r="Q530" s="15"/>
      <c r="R530" s="15"/>
      <c r="S530" s="15"/>
      <c r="T530" s="161"/>
      <c r="AA530" s="15"/>
      <c r="AB530" s="15"/>
      <c r="AC530" s="15"/>
      <c r="AD530" s="15"/>
      <c r="AE530" s="15"/>
    </row>
    <row r="531" ht="15.0" customHeight="1">
      <c r="A531" s="176"/>
      <c r="G531" s="5"/>
      <c r="H531" s="5"/>
      <c r="I531" s="5"/>
      <c r="M531" s="177"/>
      <c r="O531" s="15"/>
      <c r="P531" s="178"/>
      <c r="Q531" s="15"/>
      <c r="R531" s="15"/>
      <c r="S531" s="15"/>
      <c r="T531" s="161"/>
      <c r="AA531" s="15"/>
      <c r="AB531" s="15"/>
      <c r="AC531" s="15"/>
      <c r="AD531" s="15"/>
      <c r="AE531" s="15"/>
    </row>
    <row r="532" ht="15.0" customHeight="1">
      <c r="A532" s="176"/>
      <c r="G532" s="5"/>
      <c r="H532" s="5"/>
      <c r="I532" s="5"/>
      <c r="M532" s="177"/>
      <c r="O532" s="15"/>
      <c r="P532" s="178"/>
      <c r="Q532" s="15"/>
      <c r="R532" s="15"/>
      <c r="S532" s="15"/>
      <c r="T532" s="161"/>
      <c r="AA532" s="15"/>
      <c r="AB532" s="15"/>
      <c r="AC532" s="15"/>
      <c r="AD532" s="15"/>
      <c r="AE532" s="15"/>
    </row>
    <row r="533" ht="15.0" customHeight="1">
      <c r="A533" s="176"/>
      <c r="G533" s="5"/>
      <c r="H533" s="5"/>
      <c r="I533" s="5"/>
      <c r="M533" s="177"/>
      <c r="O533" s="15"/>
      <c r="P533" s="178"/>
      <c r="Q533" s="15"/>
      <c r="R533" s="15"/>
      <c r="S533" s="15"/>
      <c r="T533" s="161"/>
      <c r="AA533" s="15"/>
      <c r="AB533" s="15"/>
      <c r="AC533" s="15"/>
      <c r="AD533" s="15"/>
      <c r="AE533" s="15"/>
    </row>
    <row r="534" ht="15.0" customHeight="1">
      <c r="A534" s="176"/>
      <c r="G534" s="5"/>
      <c r="H534" s="5"/>
      <c r="I534" s="5"/>
      <c r="M534" s="177"/>
      <c r="O534" s="15"/>
      <c r="P534" s="178"/>
      <c r="Q534" s="15"/>
      <c r="R534" s="15"/>
      <c r="S534" s="15"/>
      <c r="T534" s="161"/>
      <c r="AA534" s="15"/>
      <c r="AB534" s="15"/>
      <c r="AC534" s="15"/>
      <c r="AD534" s="15"/>
      <c r="AE534" s="15"/>
    </row>
    <row r="535" ht="15.0" customHeight="1">
      <c r="A535" s="176"/>
      <c r="G535" s="5"/>
      <c r="H535" s="5"/>
      <c r="I535" s="5"/>
      <c r="M535" s="177"/>
      <c r="O535" s="15"/>
      <c r="P535" s="178"/>
      <c r="Q535" s="15"/>
      <c r="R535" s="15"/>
      <c r="S535" s="15"/>
      <c r="T535" s="161"/>
      <c r="AA535" s="15"/>
      <c r="AB535" s="15"/>
      <c r="AC535" s="15"/>
      <c r="AD535" s="15"/>
      <c r="AE535" s="15"/>
    </row>
    <row r="536" ht="15.0" customHeight="1">
      <c r="A536" s="176"/>
      <c r="G536" s="5"/>
      <c r="H536" s="5"/>
      <c r="I536" s="5"/>
      <c r="M536" s="177"/>
      <c r="O536" s="15"/>
      <c r="P536" s="178"/>
      <c r="Q536" s="15"/>
      <c r="R536" s="15"/>
      <c r="S536" s="15"/>
      <c r="T536" s="161"/>
      <c r="AA536" s="15"/>
      <c r="AB536" s="15"/>
      <c r="AC536" s="15"/>
      <c r="AD536" s="15"/>
      <c r="AE536" s="15"/>
    </row>
    <row r="537" ht="15.0" customHeight="1">
      <c r="A537" s="176"/>
      <c r="G537" s="5"/>
      <c r="H537" s="5"/>
      <c r="I537" s="5"/>
      <c r="M537" s="177"/>
      <c r="O537" s="15"/>
      <c r="P537" s="178"/>
      <c r="Q537" s="15"/>
      <c r="R537" s="15"/>
      <c r="S537" s="15"/>
      <c r="T537" s="161"/>
      <c r="AA537" s="15"/>
      <c r="AB537" s="15"/>
      <c r="AC537" s="15"/>
      <c r="AD537" s="15"/>
      <c r="AE537" s="15"/>
    </row>
    <row r="538" ht="15.0" customHeight="1">
      <c r="A538" s="176"/>
      <c r="G538" s="5"/>
      <c r="H538" s="5"/>
      <c r="I538" s="5"/>
      <c r="M538" s="177"/>
      <c r="O538" s="15"/>
      <c r="P538" s="178"/>
      <c r="Q538" s="15"/>
      <c r="R538" s="15"/>
      <c r="S538" s="15"/>
      <c r="T538" s="161"/>
      <c r="AA538" s="15"/>
      <c r="AB538" s="15"/>
      <c r="AC538" s="15"/>
      <c r="AD538" s="15"/>
      <c r="AE538" s="15"/>
    </row>
    <row r="539" ht="15.0" customHeight="1">
      <c r="A539" s="176"/>
      <c r="G539" s="5"/>
      <c r="H539" s="5"/>
      <c r="I539" s="5"/>
      <c r="M539" s="177"/>
      <c r="O539" s="15"/>
      <c r="P539" s="178"/>
      <c r="Q539" s="15"/>
      <c r="R539" s="15"/>
      <c r="S539" s="15"/>
      <c r="T539" s="161"/>
      <c r="AA539" s="15"/>
      <c r="AB539" s="15"/>
      <c r="AC539" s="15"/>
      <c r="AD539" s="15"/>
      <c r="AE539" s="15"/>
    </row>
    <row r="540" ht="15.0" customHeight="1">
      <c r="A540" s="176"/>
      <c r="G540" s="5"/>
      <c r="H540" s="5"/>
      <c r="I540" s="5"/>
      <c r="M540" s="177"/>
      <c r="O540" s="15"/>
      <c r="P540" s="178"/>
      <c r="Q540" s="15"/>
      <c r="R540" s="15"/>
      <c r="S540" s="15"/>
      <c r="T540" s="161"/>
      <c r="AA540" s="15"/>
      <c r="AB540" s="15"/>
      <c r="AC540" s="15"/>
      <c r="AD540" s="15"/>
      <c r="AE540" s="15"/>
    </row>
    <row r="541" ht="15.0" customHeight="1">
      <c r="A541" s="176"/>
      <c r="G541" s="5"/>
      <c r="H541" s="5"/>
      <c r="I541" s="5"/>
      <c r="M541" s="177"/>
      <c r="O541" s="15"/>
      <c r="P541" s="178"/>
      <c r="Q541" s="15"/>
      <c r="R541" s="15"/>
      <c r="S541" s="15"/>
      <c r="T541" s="161"/>
      <c r="AA541" s="15"/>
      <c r="AB541" s="15"/>
      <c r="AC541" s="15"/>
      <c r="AD541" s="15"/>
      <c r="AE541" s="15"/>
    </row>
    <row r="542" ht="15.0" customHeight="1">
      <c r="A542" s="176"/>
      <c r="G542" s="5"/>
      <c r="H542" s="5"/>
      <c r="I542" s="5"/>
      <c r="M542" s="177"/>
      <c r="O542" s="15"/>
      <c r="P542" s="178"/>
      <c r="Q542" s="15"/>
      <c r="R542" s="15"/>
      <c r="S542" s="15"/>
      <c r="T542" s="161"/>
      <c r="AA542" s="15"/>
      <c r="AB542" s="15"/>
      <c r="AC542" s="15"/>
      <c r="AD542" s="15"/>
      <c r="AE542" s="15"/>
    </row>
    <row r="543" ht="15.0" customHeight="1">
      <c r="A543" s="176"/>
      <c r="G543" s="5"/>
      <c r="H543" s="5"/>
      <c r="I543" s="5"/>
      <c r="M543" s="177"/>
      <c r="O543" s="15"/>
      <c r="P543" s="178"/>
      <c r="Q543" s="15"/>
      <c r="R543" s="15"/>
      <c r="S543" s="15"/>
      <c r="T543" s="161"/>
      <c r="AA543" s="15"/>
      <c r="AB543" s="15"/>
      <c r="AC543" s="15"/>
      <c r="AD543" s="15"/>
      <c r="AE543" s="15"/>
    </row>
    <row r="544" ht="15.0" customHeight="1">
      <c r="A544" s="176"/>
      <c r="G544" s="5"/>
      <c r="H544" s="5"/>
      <c r="I544" s="5"/>
      <c r="M544" s="177"/>
      <c r="O544" s="15"/>
      <c r="P544" s="178"/>
      <c r="Q544" s="15"/>
      <c r="R544" s="15"/>
      <c r="S544" s="15"/>
      <c r="T544" s="161"/>
      <c r="AA544" s="15"/>
      <c r="AB544" s="15"/>
      <c r="AC544" s="15"/>
      <c r="AD544" s="15"/>
      <c r="AE544" s="15"/>
    </row>
    <row r="545" ht="15.0" customHeight="1">
      <c r="A545" s="176"/>
      <c r="G545" s="5"/>
      <c r="H545" s="5"/>
      <c r="I545" s="5"/>
      <c r="M545" s="177"/>
      <c r="O545" s="15"/>
      <c r="P545" s="178"/>
      <c r="Q545" s="15"/>
      <c r="R545" s="15"/>
      <c r="S545" s="15"/>
      <c r="T545" s="161"/>
      <c r="AA545" s="15"/>
      <c r="AB545" s="15"/>
      <c r="AC545" s="15"/>
      <c r="AD545" s="15"/>
      <c r="AE545" s="15"/>
    </row>
    <row r="546" ht="15.0" customHeight="1">
      <c r="A546" s="176"/>
      <c r="G546" s="5"/>
      <c r="H546" s="5"/>
      <c r="I546" s="5"/>
      <c r="M546" s="177"/>
      <c r="O546" s="15"/>
      <c r="P546" s="178"/>
      <c r="Q546" s="15"/>
      <c r="R546" s="15"/>
      <c r="S546" s="15"/>
      <c r="T546" s="161"/>
      <c r="AA546" s="15"/>
      <c r="AB546" s="15"/>
      <c r="AC546" s="15"/>
      <c r="AD546" s="15"/>
      <c r="AE546" s="15"/>
    </row>
    <row r="547" ht="15.0" customHeight="1">
      <c r="A547" s="176"/>
      <c r="G547" s="5"/>
      <c r="H547" s="5"/>
      <c r="I547" s="5"/>
      <c r="M547" s="177"/>
      <c r="O547" s="15"/>
      <c r="P547" s="178"/>
      <c r="Q547" s="15"/>
      <c r="R547" s="15"/>
      <c r="S547" s="15"/>
      <c r="T547" s="161"/>
      <c r="AA547" s="15"/>
      <c r="AB547" s="15"/>
      <c r="AC547" s="15"/>
      <c r="AD547" s="15"/>
      <c r="AE547" s="15"/>
    </row>
    <row r="548" ht="15.0" customHeight="1">
      <c r="A548" s="176"/>
      <c r="G548" s="5"/>
      <c r="H548" s="5"/>
      <c r="I548" s="5"/>
      <c r="M548" s="177"/>
      <c r="O548" s="15"/>
      <c r="P548" s="178"/>
      <c r="Q548" s="15"/>
      <c r="R548" s="15"/>
      <c r="S548" s="15"/>
      <c r="T548" s="161"/>
      <c r="AA548" s="15"/>
      <c r="AB548" s="15"/>
      <c r="AC548" s="15"/>
      <c r="AD548" s="15"/>
      <c r="AE548" s="15"/>
    </row>
    <row r="549" ht="15.0" customHeight="1">
      <c r="A549" s="176"/>
      <c r="G549" s="5"/>
      <c r="H549" s="5"/>
      <c r="I549" s="5"/>
      <c r="M549" s="177"/>
      <c r="O549" s="15"/>
      <c r="P549" s="178"/>
      <c r="Q549" s="15"/>
      <c r="R549" s="15"/>
      <c r="S549" s="15"/>
      <c r="T549" s="161"/>
      <c r="AA549" s="15"/>
      <c r="AB549" s="15"/>
      <c r="AC549" s="15"/>
      <c r="AD549" s="15"/>
      <c r="AE549" s="15"/>
    </row>
    <row r="550" ht="15.0" customHeight="1">
      <c r="A550" s="176"/>
      <c r="G550" s="5"/>
      <c r="H550" s="5"/>
      <c r="I550" s="5"/>
      <c r="M550" s="177"/>
      <c r="O550" s="15"/>
      <c r="P550" s="178"/>
      <c r="Q550" s="15"/>
      <c r="R550" s="15"/>
      <c r="S550" s="15"/>
      <c r="T550" s="161"/>
      <c r="AA550" s="15"/>
      <c r="AB550" s="15"/>
      <c r="AC550" s="15"/>
      <c r="AD550" s="15"/>
      <c r="AE550" s="15"/>
    </row>
    <row r="551" ht="15.0" customHeight="1">
      <c r="A551" s="176"/>
      <c r="G551" s="5"/>
      <c r="H551" s="5"/>
      <c r="I551" s="5"/>
      <c r="M551" s="177"/>
      <c r="O551" s="15"/>
      <c r="P551" s="178"/>
      <c r="Q551" s="15"/>
      <c r="R551" s="15"/>
      <c r="S551" s="15"/>
      <c r="T551" s="161"/>
      <c r="AA551" s="15"/>
      <c r="AB551" s="15"/>
      <c r="AC551" s="15"/>
      <c r="AD551" s="15"/>
      <c r="AE551" s="15"/>
    </row>
    <row r="552" ht="15.0" customHeight="1">
      <c r="A552" s="176"/>
      <c r="G552" s="5"/>
      <c r="H552" s="5"/>
      <c r="I552" s="5"/>
      <c r="M552" s="177"/>
      <c r="O552" s="15"/>
      <c r="P552" s="178"/>
      <c r="Q552" s="15"/>
      <c r="R552" s="15"/>
      <c r="S552" s="15"/>
      <c r="T552" s="161"/>
      <c r="AA552" s="15"/>
      <c r="AB552" s="15"/>
      <c r="AC552" s="15"/>
      <c r="AD552" s="15"/>
      <c r="AE552" s="15"/>
    </row>
    <row r="553" ht="15.0" customHeight="1">
      <c r="A553" s="176"/>
      <c r="G553" s="5"/>
      <c r="H553" s="5"/>
      <c r="I553" s="5"/>
      <c r="M553" s="177"/>
      <c r="O553" s="15"/>
      <c r="P553" s="178"/>
      <c r="Q553" s="15"/>
      <c r="R553" s="15"/>
      <c r="S553" s="15"/>
      <c r="T553" s="161"/>
      <c r="AA553" s="15"/>
      <c r="AB553" s="15"/>
      <c r="AC553" s="15"/>
      <c r="AD553" s="15"/>
      <c r="AE553" s="15"/>
    </row>
    <row r="554" ht="15.0" customHeight="1">
      <c r="A554" s="176"/>
      <c r="G554" s="5"/>
      <c r="H554" s="5"/>
      <c r="I554" s="5"/>
      <c r="M554" s="177"/>
      <c r="O554" s="15"/>
      <c r="P554" s="178"/>
      <c r="Q554" s="15"/>
      <c r="R554" s="15"/>
      <c r="S554" s="15"/>
      <c r="T554" s="161"/>
      <c r="AA554" s="15"/>
      <c r="AB554" s="15"/>
      <c r="AC554" s="15"/>
      <c r="AD554" s="15"/>
      <c r="AE554" s="15"/>
    </row>
    <row r="555" ht="15.0" customHeight="1">
      <c r="A555" s="176"/>
      <c r="G555" s="5"/>
      <c r="H555" s="5"/>
      <c r="I555" s="5"/>
      <c r="M555" s="177"/>
      <c r="O555" s="15"/>
      <c r="P555" s="178"/>
      <c r="Q555" s="15"/>
      <c r="R555" s="15"/>
      <c r="S555" s="15"/>
      <c r="T555" s="161"/>
      <c r="AA555" s="15"/>
      <c r="AB555" s="15"/>
      <c r="AC555" s="15"/>
      <c r="AD555" s="15"/>
      <c r="AE555" s="15"/>
    </row>
    <row r="556" ht="15.0" customHeight="1">
      <c r="A556" s="176"/>
      <c r="G556" s="5"/>
      <c r="H556" s="5"/>
      <c r="I556" s="5"/>
      <c r="M556" s="177"/>
      <c r="O556" s="15"/>
      <c r="P556" s="178"/>
      <c r="Q556" s="15"/>
      <c r="R556" s="15"/>
      <c r="S556" s="15"/>
      <c r="T556" s="161"/>
      <c r="AA556" s="15"/>
      <c r="AB556" s="15"/>
      <c r="AC556" s="15"/>
      <c r="AD556" s="15"/>
      <c r="AE556" s="15"/>
    </row>
    <row r="557" ht="15.0" customHeight="1">
      <c r="A557" s="176"/>
      <c r="G557" s="5"/>
      <c r="H557" s="5"/>
      <c r="I557" s="5"/>
      <c r="M557" s="177"/>
      <c r="O557" s="15"/>
      <c r="P557" s="178"/>
      <c r="Q557" s="15"/>
      <c r="R557" s="15"/>
      <c r="S557" s="15"/>
      <c r="T557" s="161"/>
      <c r="AA557" s="15"/>
      <c r="AB557" s="15"/>
      <c r="AC557" s="15"/>
      <c r="AD557" s="15"/>
      <c r="AE557" s="15"/>
    </row>
    <row r="558" ht="15.0" customHeight="1">
      <c r="A558" s="176"/>
      <c r="G558" s="5"/>
      <c r="H558" s="5"/>
      <c r="I558" s="5"/>
      <c r="M558" s="177"/>
      <c r="O558" s="15"/>
      <c r="P558" s="178"/>
      <c r="Q558" s="15"/>
      <c r="R558" s="15"/>
      <c r="S558" s="15"/>
      <c r="T558" s="161"/>
      <c r="AA558" s="15"/>
      <c r="AB558" s="15"/>
      <c r="AC558" s="15"/>
      <c r="AD558" s="15"/>
      <c r="AE558" s="15"/>
    </row>
    <row r="559" ht="15.0" customHeight="1">
      <c r="A559" s="176"/>
      <c r="G559" s="5"/>
      <c r="H559" s="5"/>
      <c r="I559" s="5"/>
      <c r="M559" s="177"/>
      <c r="O559" s="15"/>
      <c r="P559" s="178"/>
      <c r="Q559" s="15"/>
      <c r="R559" s="15"/>
      <c r="S559" s="15"/>
      <c r="T559" s="161"/>
      <c r="AA559" s="15"/>
      <c r="AB559" s="15"/>
      <c r="AC559" s="15"/>
      <c r="AD559" s="15"/>
      <c r="AE559" s="15"/>
    </row>
    <row r="560" ht="15.0" customHeight="1">
      <c r="A560" s="176"/>
      <c r="G560" s="5"/>
      <c r="H560" s="5"/>
      <c r="I560" s="5"/>
      <c r="M560" s="177"/>
      <c r="O560" s="15"/>
      <c r="P560" s="178"/>
      <c r="Q560" s="15"/>
      <c r="R560" s="15"/>
      <c r="S560" s="15"/>
      <c r="T560" s="161"/>
      <c r="AA560" s="15"/>
      <c r="AB560" s="15"/>
      <c r="AC560" s="15"/>
      <c r="AD560" s="15"/>
      <c r="AE560" s="15"/>
    </row>
    <row r="561" ht="15.0" customHeight="1">
      <c r="A561" s="176"/>
      <c r="G561" s="5"/>
      <c r="H561" s="5"/>
      <c r="I561" s="5"/>
      <c r="M561" s="177"/>
      <c r="O561" s="15"/>
      <c r="P561" s="178"/>
      <c r="Q561" s="15"/>
      <c r="R561" s="15"/>
      <c r="S561" s="15"/>
      <c r="T561" s="161"/>
      <c r="AA561" s="15"/>
      <c r="AB561" s="15"/>
      <c r="AC561" s="15"/>
      <c r="AD561" s="15"/>
      <c r="AE561" s="15"/>
    </row>
    <row r="562" ht="15.0" customHeight="1">
      <c r="A562" s="176"/>
      <c r="G562" s="5"/>
      <c r="H562" s="5"/>
      <c r="I562" s="5"/>
      <c r="M562" s="177"/>
      <c r="O562" s="15"/>
      <c r="P562" s="178"/>
      <c r="Q562" s="15"/>
      <c r="R562" s="15"/>
      <c r="S562" s="15"/>
      <c r="T562" s="161"/>
      <c r="AA562" s="15"/>
      <c r="AB562" s="15"/>
      <c r="AC562" s="15"/>
      <c r="AD562" s="15"/>
      <c r="AE562" s="15"/>
    </row>
    <row r="563" ht="15.0" customHeight="1">
      <c r="A563" s="176"/>
      <c r="G563" s="5"/>
      <c r="H563" s="5"/>
      <c r="I563" s="5"/>
      <c r="M563" s="177"/>
      <c r="O563" s="15"/>
      <c r="P563" s="178"/>
      <c r="Q563" s="15"/>
      <c r="R563" s="15"/>
      <c r="S563" s="15"/>
      <c r="T563" s="161"/>
      <c r="AA563" s="15"/>
      <c r="AB563" s="15"/>
      <c r="AC563" s="15"/>
      <c r="AD563" s="15"/>
      <c r="AE563" s="15"/>
    </row>
    <row r="564" ht="15.0" customHeight="1">
      <c r="A564" s="176"/>
      <c r="G564" s="5"/>
      <c r="H564" s="5"/>
      <c r="I564" s="5"/>
      <c r="M564" s="177"/>
      <c r="O564" s="15"/>
      <c r="P564" s="178"/>
      <c r="Q564" s="15"/>
      <c r="R564" s="15"/>
      <c r="S564" s="15"/>
      <c r="T564" s="161"/>
      <c r="AA564" s="15"/>
      <c r="AB564" s="15"/>
      <c r="AC564" s="15"/>
      <c r="AD564" s="15"/>
      <c r="AE564" s="15"/>
    </row>
    <row r="565" ht="15.0" customHeight="1">
      <c r="A565" s="176"/>
      <c r="G565" s="5"/>
      <c r="H565" s="5"/>
      <c r="I565" s="5"/>
      <c r="M565" s="177"/>
      <c r="O565" s="15"/>
      <c r="P565" s="178"/>
      <c r="Q565" s="15"/>
      <c r="R565" s="15"/>
      <c r="S565" s="15"/>
      <c r="T565" s="161"/>
      <c r="AA565" s="15"/>
      <c r="AB565" s="15"/>
      <c r="AC565" s="15"/>
      <c r="AD565" s="15"/>
      <c r="AE565" s="15"/>
    </row>
    <row r="566" ht="15.0" customHeight="1">
      <c r="A566" s="176"/>
      <c r="G566" s="5"/>
      <c r="H566" s="5"/>
      <c r="I566" s="5"/>
      <c r="M566" s="177"/>
      <c r="O566" s="15"/>
      <c r="P566" s="178"/>
      <c r="Q566" s="15"/>
      <c r="R566" s="15"/>
      <c r="S566" s="15"/>
      <c r="T566" s="161"/>
      <c r="AA566" s="15"/>
      <c r="AB566" s="15"/>
      <c r="AC566" s="15"/>
      <c r="AD566" s="15"/>
      <c r="AE566" s="15"/>
    </row>
    <row r="567" ht="15.0" customHeight="1">
      <c r="A567" s="176"/>
      <c r="G567" s="5"/>
      <c r="H567" s="5"/>
      <c r="I567" s="5"/>
      <c r="M567" s="177"/>
      <c r="O567" s="15"/>
      <c r="P567" s="178"/>
      <c r="Q567" s="15"/>
      <c r="R567" s="15"/>
      <c r="S567" s="15"/>
      <c r="T567" s="161"/>
      <c r="AA567" s="15"/>
      <c r="AB567" s="15"/>
      <c r="AC567" s="15"/>
      <c r="AD567" s="15"/>
      <c r="AE567" s="15"/>
    </row>
    <row r="568" ht="15.0" customHeight="1">
      <c r="A568" s="176"/>
      <c r="G568" s="5"/>
      <c r="H568" s="5"/>
      <c r="I568" s="5"/>
      <c r="M568" s="177"/>
      <c r="O568" s="15"/>
      <c r="P568" s="178"/>
      <c r="Q568" s="15"/>
      <c r="R568" s="15"/>
      <c r="S568" s="15"/>
      <c r="T568" s="161"/>
      <c r="AA568" s="15"/>
      <c r="AB568" s="15"/>
      <c r="AC568" s="15"/>
      <c r="AD568" s="15"/>
      <c r="AE568" s="15"/>
    </row>
    <row r="569" ht="15.0" customHeight="1">
      <c r="A569" s="176"/>
      <c r="G569" s="5"/>
      <c r="H569" s="5"/>
      <c r="I569" s="5"/>
      <c r="M569" s="177"/>
      <c r="O569" s="15"/>
      <c r="P569" s="178"/>
      <c r="Q569" s="15"/>
      <c r="R569" s="15"/>
      <c r="S569" s="15"/>
      <c r="T569" s="161"/>
      <c r="AA569" s="15"/>
      <c r="AB569" s="15"/>
      <c r="AC569" s="15"/>
      <c r="AD569" s="15"/>
      <c r="AE569" s="15"/>
    </row>
    <row r="570" ht="15.0" customHeight="1">
      <c r="A570" s="176"/>
      <c r="G570" s="5"/>
      <c r="H570" s="5"/>
      <c r="I570" s="5"/>
      <c r="M570" s="177"/>
      <c r="O570" s="15"/>
      <c r="P570" s="178"/>
      <c r="Q570" s="15"/>
      <c r="R570" s="15"/>
      <c r="S570" s="15"/>
      <c r="T570" s="161"/>
      <c r="AA570" s="15"/>
      <c r="AB570" s="15"/>
      <c r="AC570" s="15"/>
      <c r="AD570" s="15"/>
      <c r="AE570" s="15"/>
    </row>
    <row r="571" ht="15.0" customHeight="1">
      <c r="A571" s="176"/>
      <c r="G571" s="5"/>
      <c r="H571" s="5"/>
      <c r="I571" s="5"/>
      <c r="M571" s="177"/>
      <c r="O571" s="15"/>
      <c r="P571" s="178"/>
      <c r="Q571" s="15"/>
      <c r="R571" s="15"/>
      <c r="S571" s="15"/>
      <c r="T571" s="161"/>
      <c r="AA571" s="15"/>
      <c r="AB571" s="15"/>
      <c r="AC571" s="15"/>
      <c r="AD571" s="15"/>
      <c r="AE571" s="15"/>
    </row>
    <row r="572" ht="15.0" customHeight="1">
      <c r="A572" s="176"/>
      <c r="G572" s="5"/>
      <c r="H572" s="5"/>
      <c r="I572" s="5"/>
      <c r="M572" s="177"/>
      <c r="O572" s="15"/>
      <c r="P572" s="178"/>
      <c r="Q572" s="15"/>
      <c r="R572" s="15"/>
      <c r="S572" s="15"/>
      <c r="T572" s="161"/>
      <c r="AA572" s="15"/>
      <c r="AB572" s="15"/>
      <c r="AC572" s="15"/>
      <c r="AD572" s="15"/>
      <c r="AE572" s="15"/>
    </row>
    <row r="573" ht="15.0" customHeight="1">
      <c r="A573" s="176"/>
      <c r="G573" s="5"/>
      <c r="H573" s="5"/>
      <c r="I573" s="5"/>
      <c r="M573" s="177"/>
      <c r="O573" s="15"/>
      <c r="P573" s="178"/>
      <c r="Q573" s="15"/>
      <c r="R573" s="15"/>
      <c r="S573" s="15"/>
      <c r="T573" s="161"/>
      <c r="AA573" s="15"/>
      <c r="AB573" s="15"/>
      <c r="AC573" s="15"/>
      <c r="AD573" s="15"/>
      <c r="AE573" s="15"/>
    </row>
    <row r="574" ht="15.0" customHeight="1">
      <c r="A574" s="176"/>
      <c r="G574" s="5"/>
      <c r="H574" s="5"/>
      <c r="I574" s="5"/>
      <c r="M574" s="177"/>
      <c r="O574" s="15"/>
      <c r="P574" s="178"/>
      <c r="Q574" s="15"/>
      <c r="R574" s="15"/>
      <c r="S574" s="15"/>
      <c r="T574" s="161"/>
      <c r="AA574" s="15"/>
      <c r="AB574" s="15"/>
      <c r="AC574" s="15"/>
      <c r="AD574" s="15"/>
      <c r="AE574" s="15"/>
    </row>
    <row r="575" ht="15.0" customHeight="1">
      <c r="A575" s="176"/>
      <c r="G575" s="5"/>
      <c r="H575" s="5"/>
      <c r="I575" s="5"/>
      <c r="M575" s="177"/>
      <c r="O575" s="15"/>
      <c r="P575" s="178"/>
      <c r="Q575" s="15"/>
      <c r="R575" s="15"/>
      <c r="S575" s="15"/>
      <c r="T575" s="161"/>
      <c r="AA575" s="15"/>
      <c r="AB575" s="15"/>
      <c r="AC575" s="15"/>
      <c r="AD575" s="15"/>
      <c r="AE575" s="15"/>
    </row>
    <row r="576" ht="15.0" customHeight="1">
      <c r="A576" s="176"/>
      <c r="G576" s="5"/>
      <c r="H576" s="5"/>
      <c r="I576" s="5"/>
      <c r="M576" s="177"/>
      <c r="O576" s="15"/>
      <c r="P576" s="178"/>
      <c r="Q576" s="15"/>
      <c r="R576" s="15"/>
      <c r="S576" s="15"/>
      <c r="T576" s="161"/>
      <c r="AA576" s="15"/>
      <c r="AB576" s="15"/>
      <c r="AC576" s="15"/>
      <c r="AD576" s="15"/>
      <c r="AE576" s="15"/>
    </row>
    <row r="577" ht="15.0" customHeight="1">
      <c r="A577" s="176"/>
      <c r="G577" s="5"/>
      <c r="H577" s="5"/>
      <c r="I577" s="5"/>
      <c r="M577" s="177"/>
      <c r="O577" s="15"/>
      <c r="P577" s="178"/>
      <c r="Q577" s="15"/>
      <c r="R577" s="15"/>
      <c r="S577" s="15"/>
      <c r="T577" s="161"/>
      <c r="AA577" s="15"/>
      <c r="AB577" s="15"/>
      <c r="AC577" s="15"/>
      <c r="AD577" s="15"/>
      <c r="AE577" s="15"/>
    </row>
    <row r="578" ht="15.0" customHeight="1">
      <c r="A578" s="176"/>
      <c r="G578" s="5"/>
      <c r="H578" s="5"/>
      <c r="I578" s="5"/>
      <c r="M578" s="177"/>
      <c r="O578" s="15"/>
      <c r="P578" s="178"/>
      <c r="Q578" s="15"/>
      <c r="R578" s="15"/>
      <c r="S578" s="15"/>
      <c r="T578" s="161"/>
      <c r="AA578" s="15"/>
      <c r="AB578" s="15"/>
      <c r="AC578" s="15"/>
      <c r="AD578" s="15"/>
      <c r="AE578" s="15"/>
    </row>
    <row r="579" ht="15.0" customHeight="1">
      <c r="A579" s="176"/>
      <c r="G579" s="5"/>
      <c r="H579" s="5"/>
      <c r="I579" s="5"/>
      <c r="M579" s="177"/>
      <c r="O579" s="15"/>
      <c r="P579" s="178"/>
      <c r="Q579" s="15"/>
      <c r="R579" s="15"/>
      <c r="S579" s="15"/>
      <c r="T579" s="161"/>
      <c r="AA579" s="15"/>
      <c r="AB579" s="15"/>
      <c r="AC579" s="15"/>
      <c r="AD579" s="15"/>
      <c r="AE579" s="15"/>
    </row>
    <row r="580" ht="15.0" customHeight="1">
      <c r="A580" s="176"/>
      <c r="G580" s="5"/>
      <c r="H580" s="5"/>
      <c r="I580" s="5"/>
      <c r="M580" s="177"/>
      <c r="O580" s="15"/>
      <c r="P580" s="178"/>
      <c r="Q580" s="15"/>
      <c r="R580" s="15"/>
      <c r="S580" s="15"/>
      <c r="T580" s="161"/>
      <c r="AA580" s="15"/>
      <c r="AB580" s="15"/>
      <c r="AC580" s="15"/>
      <c r="AD580" s="15"/>
      <c r="AE580" s="15"/>
    </row>
    <row r="581" ht="15.0" customHeight="1">
      <c r="A581" s="176"/>
      <c r="G581" s="5"/>
      <c r="H581" s="5"/>
      <c r="I581" s="5"/>
      <c r="M581" s="177"/>
      <c r="O581" s="15"/>
      <c r="P581" s="178"/>
      <c r="Q581" s="15"/>
      <c r="R581" s="15"/>
      <c r="S581" s="15"/>
      <c r="T581" s="161"/>
      <c r="AA581" s="15"/>
      <c r="AB581" s="15"/>
      <c r="AC581" s="15"/>
      <c r="AD581" s="15"/>
      <c r="AE581" s="15"/>
    </row>
  </sheetData>
  <conditionalFormatting sqref="G1:G581 H4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4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P1 R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DF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DF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DF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DF1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:DF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DF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DF1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:DF1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DF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DF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:DF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:DF1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:DF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:DF1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DF1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DF1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:DF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DF1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DF1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DF1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DF1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DF1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:DF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DF1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R2:DF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DF18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2:DF1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2:DF1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:DF1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W1:DF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2:DF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2:DF1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:DF1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2:DF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:DF1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1:DF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2:DF17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:DF1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:DF1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:DF1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:DF1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:DF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:DF17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2:DF1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2:DF1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2:DF1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:DF17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P2:DF1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1:DF1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2:DF1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:DF1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2:DF17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2:DF1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2:DF1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1:DF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2:DF17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:DF1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:DF1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2:DF1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C2:DF1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2:DF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.88"/>
    <col customWidth="1" min="3" max="4" width="7.25"/>
    <col customWidth="1" min="5" max="6" width="5.75"/>
    <col customWidth="1" min="7" max="7" width="7.25"/>
    <col customWidth="1" min="8" max="9" width="6.63"/>
    <col customWidth="1" min="10" max="12" width="5.13"/>
    <col customWidth="1" min="13" max="14" width="4.5"/>
    <col customWidth="1" min="15" max="15" width="4.38"/>
    <col customWidth="1" min="16" max="16" width="5.38"/>
    <col customWidth="1" min="17" max="17" width="9.88"/>
    <col customWidth="1" min="18" max="19" width="9.38"/>
    <col customWidth="1" min="20" max="21" width="7.88"/>
    <col customWidth="1" min="22" max="22" width="8.75"/>
    <col customWidth="1" min="23" max="24" width="8.13"/>
    <col customWidth="1" min="25" max="26" width="6.63"/>
    <col customWidth="1" min="27" max="27" width="9.25"/>
    <col customWidth="1" min="28" max="29" width="8.75"/>
    <col customWidth="1" min="30" max="31" width="7.13"/>
    <col customWidth="1" min="32" max="56" width="10.63"/>
    <col customWidth="1" min="57" max="57" width="6.38"/>
    <col customWidth="1" min="58" max="58" width="7.0"/>
    <col customWidth="1" min="59" max="59" width="6.88"/>
    <col customWidth="1" min="60" max="60" width="6.75"/>
    <col customWidth="1" min="61" max="61" width="5.38"/>
    <col customWidth="1" min="62" max="62" width="7.5"/>
    <col customWidth="1" min="63" max="63" width="5.38"/>
    <col customWidth="1" min="64" max="64" width="7.25"/>
  </cols>
  <sheetData>
    <row r="1" ht="14.25" customHeight="1">
      <c r="A1" s="112">
        <v>23.0</v>
      </c>
      <c r="B1" s="107" t="s">
        <v>288</v>
      </c>
      <c r="C1" s="107" t="s">
        <v>289</v>
      </c>
      <c r="D1" s="107" t="s">
        <v>290</v>
      </c>
      <c r="E1" s="107" t="s">
        <v>291</v>
      </c>
      <c r="F1" s="113" t="s">
        <v>292</v>
      </c>
      <c r="G1" s="107" t="s">
        <v>293</v>
      </c>
      <c r="H1" s="107" t="s">
        <v>294</v>
      </c>
      <c r="I1" s="107" t="s">
        <v>295</v>
      </c>
      <c r="J1" s="107" t="s">
        <v>296</v>
      </c>
      <c r="K1" s="113" t="s">
        <v>297</v>
      </c>
      <c r="L1" s="107" t="s">
        <v>298</v>
      </c>
      <c r="M1" s="107" t="s">
        <v>299</v>
      </c>
      <c r="N1" s="107" t="s">
        <v>300</v>
      </c>
      <c r="O1" s="107" t="s">
        <v>301</v>
      </c>
      <c r="P1" s="113" t="s">
        <v>302</v>
      </c>
      <c r="Q1" s="107" t="s">
        <v>303</v>
      </c>
      <c r="R1" s="107" t="s">
        <v>304</v>
      </c>
      <c r="S1" s="107" t="s">
        <v>305</v>
      </c>
      <c r="T1" s="107" t="s">
        <v>306</v>
      </c>
      <c r="U1" s="113" t="s">
        <v>307</v>
      </c>
      <c r="V1" s="107" t="s">
        <v>308</v>
      </c>
      <c r="W1" s="107" t="s">
        <v>309</v>
      </c>
      <c r="X1" s="107" t="s">
        <v>310</v>
      </c>
      <c r="Y1" s="107" t="s">
        <v>311</v>
      </c>
      <c r="Z1" s="113" t="s">
        <v>312</v>
      </c>
      <c r="AA1" s="107" t="s">
        <v>313</v>
      </c>
      <c r="AB1" s="107" t="s">
        <v>314</v>
      </c>
      <c r="AC1" s="107" t="s">
        <v>315</v>
      </c>
      <c r="AD1" s="107" t="s">
        <v>316</v>
      </c>
      <c r="AE1" s="113" t="s">
        <v>317</v>
      </c>
      <c r="AF1" s="107" t="s">
        <v>318</v>
      </c>
      <c r="AG1" s="107" t="s">
        <v>319</v>
      </c>
      <c r="AH1" s="107" t="s">
        <v>320</v>
      </c>
      <c r="AI1" s="107" t="s">
        <v>321</v>
      </c>
      <c r="AJ1" s="113" t="s">
        <v>322</v>
      </c>
      <c r="AK1" s="107" t="s">
        <v>323</v>
      </c>
      <c r="AL1" s="107" t="s">
        <v>324</v>
      </c>
      <c r="AM1" s="107" t="s">
        <v>325</v>
      </c>
      <c r="AN1" s="107" t="s">
        <v>326</v>
      </c>
      <c r="AO1" s="113" t="s">
        <v>327</v>
      </c>
      <c r="AP1" s="107" t="s">
        <v>328</v>
      </c>
      <c r="AQ1" s="107" t="s">
        <v>329</v>
      </c>
      <c r="AR1" s="107" t="s">
        <v>330</v>
      </c>
      <c r="AS1" s="107" t="s">
        <v>331</v>
      </c>
      <c r="AT1" s="113" t="s">
        <v>332</v>
      </c>
      <c r="AU1" s="107" t="s">
        <v>333</v>
      </c>
      <c r="AV1" s="107" t="s">
        <v>334</v>
      </c>
      <c r="AW1" s="107" t="s">
        <v>335</v>
      </c>
      <c r="AX1" s="107" t="s">
        <v>336</v>
      </c>
      <c r="AY1" s="113" t="s">
        <v>337</v>
      </c>
      <c r="AZ1" s="107" t="s">
        <v>338</v>
      </c>
      <c r="BA1" s="107" t="s">
        <v>339</v>
      </c>
      <c r="BB1" s="107" t="s">
        <v>340</v>
      </c>
      <c r="BC1" s="107" t="s">
        <v>341</v>
      </c>
      <c r="BD1" s="113" t="s">
        <v>342</v>
      </c>
      <c r="BE1" s="112" t="s">
        <v>268</v>
      </c>
      <c r="BF1" s="112" t="s">
        <v>269</v>
      </c>
      <c r="BG1" s="56" t="s">
        <v>270</v>
      </c>
      <c r="BH1" s="181" t="s">
        <v>271</v>
      </c>
      <c r="BI1" s="182" t="s">
        <v>272</v>
      </c>
      <c r="BJ1" s="182" t="s">
        <v>273</v>
      </c>
      <c r="BK1" s="182" t="s">
        <v>274</v>
      </c>
      <c r="BL1" s="182" t="s">
        <v>275</v>
      </c>
    </row>
    <row r="2" ht="14.25" customHeight="1">
      <c r="A2" s="125" t="s">
        <v>241</v>
      </c>
      <c r="B2" s="126">
        <v>15.571335833333334</v>
      </c>
      <c r="C2" s="126">
        <v>7.842628310000001</v>
      </c>
      <c r="D2" s="126">
        <v>6.478969853333332</v>
      </c>
      <c r="E2" s="126">
        <v>10.910903733333333</v>
      </c>
      <c r="F2" s="127">
        <v>11.843015678333332</v>
      </c>
      <c r="G2" s="139">
        <v>0.36500446</v>
      </c>
      <c r="H2" s="139">
        <v>0.12764350666666666</v>
      </c>
      <c r="I2" s="139">
        <v>0.09174230666666666</v>
      </c>
      <c r="J2" s="139">
        <v>0.16932747833333336</v>
      </c>
      <c r="K2" s="139">
        <v>0.25004058833333337</v>
      </c>
      <c r="L2" s="139">
        <v>6.670137071666666</v>
      </c>
      <c r="M2" s="139">
        <v>4.205855715</v>
      </c>
      <c r="N2" s="139">
        <v>2.96270393</v>
      </c>
      <c r="O2" s="139">
        <v>5.280990543333334</v>
      </c>
      <c r="P2" s="139">
        <v>8.161998335</v>
      </c>
      <c r="Q2" s="128">
        <v>42.706852462110184</v>
      </c>
      <c r="R2" s="129">
        <v>62.11819843469857</v>
      </c>
      <c r="S2" s="129">
        <v>33.82366778826381</v>
      </c>
      <c r="T2" s="129">
        <v>67.7375609924382</v>
      </c>
      <c r="U2" s="130">
        <v>44.92539826113191</v>
      </c>
      <c r="V2" s="128">
        <v>-0.2986666666666667</v>
      </c>
      <c r="W2" s="129">
        <v>-0.48733333333333334</v>
      </c>
      <c r="X2" s="129">
        <v>-0.5924999999999999</v>
      </c>
      <c r="Y2" s="129">
        <v>-0.194</v>
      </c>
      <c r="Z2" s="130">
        <v>-0.3793333333333333</v>
      </c>
      <c r="AA2" s="128">
        <v>-0.7358333333333333</v>
      </c>
      <c r="AB2" s="129">
        <v>-1.1588333333333332</v>
      </c>
      <c r="AC2" s="129">
        <v>-1.3966666666666667</v>
      </c>
      <c r="AD2" s="129">
        <v>-0.7018333333333334</v>
      </c>
      <c r="AE2" s="130">
        <v>-0.7836666666666666</v>
      </c>
      <c r="AF2" s="128">
        <v>0.368666666666667</v>
      </c>
      <c r="AG2" s="129">
        <v>0.7503333333333333</v>
      </c>
      <c r="AH2" s="129">
        <v>0.8041666666666667</v>
      </c>
      <c r="AI2" s="129">
        <v>0.51325</v>
      </c>
      <c r="AJ2" s="129">
        <v>0.4043333333333334</v>
      </c>
      <c r="AK2" s="128">
        <v>15.836099021379743</v>
      </c>
      <c r="AL2" s="129">
        <v>6.4177442247471115</v>
      </c>
      <c r="AM2" s="129">
        <v>3.4761137907670823</v>
      </c>
      <c r="AN2" s="129">
        <v>10.497725185149742</v>
      </c>
      <c r="AO2" s="130">
        <v>21.063389192184466</v>
      </c>
      <c r="AP2" s="128">
        <v>8.89446451081191</v>
      </c>
      <c r="AQ2" s="129">
        <v>5.68931394356757</v>
      </c>
      <c r="AR2" s="129">
        <v>3.1215012138486986</v>
      </c>
      <c r="AS2" s="129">
        <v>9.641008907717383</v>
      </c>
      <c r="AT2" s="129">
        <v>21.389038479302645</v>
      </c>
      <c r="AU2" s="128">
        <v>38.666666666666664</v>
      </c>
      <c r="AV2" s="129">
        <v>60.166666666666664</v>
      </c>
      <c r="AW2" s="129">
        <v>63.5</v>
      </c>
      <c r="AX2" s="129">
        <v>63.5</v>
      </c>
      <c r="AY2" s="130">
        <v>67.66666666666667</v>
      </c>
      <c r="AZ2" s="128">
        <v>0.5650998000000002</v>
      </c>
      <c r="BA2" s="129">
        <v>0.8793147750000002</v>
      </c>
      <c r="BB2" s="129">
        <v>0.9280302750000002</v>
      </c>
      <c r="BC2" s="129">
        <v>0.9280302750000002</v>
      </c>
      <c r="BD2" s="129">
        <v>0.9889246500000004</v>
      </c>
      <c r="BE2" s="132">
        <v>131.80848867186864</v>
      </c>
      <c r="BF2" s="133">
        <v>17.71666666666667</v>
      </c>
      <c r="BG2" s="184">
        <v>408.9748</v>
      </c>
      <c r="BH2" s="185">
        <v>266.47</v>
      </c>
      <c r="BI2" s="120">
        <v>32.60134995709346</v>
      </c>
      <c r="BJ2" s="186">
        <v>95.44184076279976</v>
      </c>
      <c r="BK2" s="120">
        <v>95.4409593981462</v>
      </c>
      <c r="BL2" s="186">
        <v>29.35407211923135</v>
      </c>
    </row>
    <row r="3" ht="14.25" customHeight="1">
      <c r="A3" s="32" t="s">
        <v>30</v>
      </c>
      <c r="B3" s="120">
        <v>14.452369783333333</v>
      </c>
      <c r="C3" s="120">
        <v>9.469301988333333</v>
      </c>
      <c r="D3" s="120">
        <v>6.50143057</v>
      </c>
      <c r="E3" s="120">
        <v>13.467891583333332</v>
      </c>
      <c r="F3" s="124">
        <v>15.237173633333335</v>
      </c>
      <c r="G3" s="139">
        <v>0.27391063833333334</v>
      </c>
      <c r="H3" s="139">
        <v>0.15884367833333332</v>
      </c>
      <c r="I3" s="139">
        <v>0.091094735</v>
      </c>
      <c r="J3" s="139">
        <v>0.22980509333333335</v>
      </c>
      <c r="K3" s="139">
        <v>0.29984436500000006</v>
      </c>
      <c r="L3" s="139">
        <v>5.416136551666667</v>
      </c>
      <c r="M3" s="139">
        <v>5.045128265</v>
      </c>
      <c r="N3" s="139">
        <v>3.1246548116666673</v>
      </c>
      <c r="O3" s="139">
        <v>6.597966291666668</v>
      </c>
      <c r="P3" s="139">
        <v>9.68592238</v>
      </c>
      <c r="Q3" s="138">
        <v>58.41999522841824</v>
      </c>
      <c r="R3" s="139">
        <v>62.169782797427615</v>
      </c>
      <c r="S3" s="139">
        <v>72.41277106534847</v>
      </c>
      <c r="T3" s="139">
        <v>59.90950202451018</v>
      </c>
      <c r="U3" s="140">
        <v>50.98061435579607</v>
      </c>
      <c r="V3" s="138">
        <v>-0.32233333333333336</v>
      </c>
      <c r="W3" s="139">
        <v>-0.42933333333333334</v>
      </c>
      <c r="X3" s="139">
        <v>-0.5373333333333333</v>
      </c>
      <c r="Y3" s="139">
        <v>-0.13774999999999998</v>
      </c>
      <c r="Z3" s="140">
        <v>-0.3455</v>
      </c>
      <c r="AA3" s="138">
        <v>-0.7983333333333332</v>
      </c>
      <c r="AB3" s="139">
        <v>-1.1689999999999998</v>
      </c>
      <c r="AC3" s="139">
        <v>-1.4469999999999998</v>
      </c>
      <c r="AD3" s="139">
        <v>-0.6393333333333334</v>
      </c>
      <c r="AE3" s="140">
        <v>-0.7611666666666667</v>
      </c>
      <c r="AF3" s="138">
        <v>0.49833333333333335</v>
      </c>
      <c r="AG3" s="139">
        <v>0.773</v>
      </c>
      <c r="AH3" s="139">
        <v>0.9096666666666667</v>
      </c>
      <c r="AI3" s="139">
        <v>0.47950000000000004</v>
      </c>
      <c r="AJ3" s="139">
        <v>0.41566666666666663</v>
      </c>
      <c r="AK3" s="138">
        <v>11.95646951462008</v>
      </c>
      <c r="AL3" s="139">
        <v>6.940338730747062</v>
      </c>
      <c r="AM3" s="139">
        <v>3.4502459110189982</v>
      </c>
      <c r="AN3" s="139">
        <v>13.665751834553928</v>
      </c>
      <c r="AO3" s="140">
        <v>24.171879211186504</v>
      </c>
      <c r="AP3" s="138">
        <v>7.257638282503166</v>
      </c>
      <c r="AQ3" s="139">
        <v>6.348202126114038</v>
      </c>
      <c r="AR3" s="139">
        <v>3.3357732255064163</v>
      </c>
      <c r="AS3" s="139">
        <v>13.109317973013303</v>
      </c>
      <c r="AT3" s="139">
        <v>25.04492436149721</v>
      </c>
      <c r="AU3" s="138">
        <v>41.5</v>
      </c>
      <c r="AV3" s="139">
        <v>63.333333333333336</v>
      </c>
      <c r="AW3" s="139">
        <v>66.0</v>
      </c>
      <c r="AX3" s="139">
        <v>66.0</v>
      </c>
      <c r="AY3" s="140">
        <v>71.5</v>
      </c>
      <c r="AZ3" s="138">
        <v>0.6065079750000001</v>
      </c>
      <c r="BA3" s="139">
        <v>0.9255945000000002</v>
      </c>
      <c r="BB3" s="139">
        <v>0.9645669000000003</v>
      </c>
      <c r="BC3" s="139">
        <v>0.9645669000000003</v>
      </c>
      <c r="BD3" s="139">
        <v>1.044947475</v>
      </c>
      <c r="BE3" s="142">
        <v>156.9652663318473</v>
      </c>
      <c r="BF3" s="143">
        <v>17.7</v>
      </c>
      <c r="BG3" s="187">
        <v>395.726</v>
      </c>
      <c r="BH3" s="188">
        <v>266.162</v>
      </c>
      <c r="BI3" s="120">
        <v>37.33829393205801</v>
      </c>
      <c r="BJ3" s="186">
        <v>102.05723696739823</v>
      </c>
      <c r="BK3" s="120">
        <v>77.61635801824599</v>
      </c>
      <c r="BL3" s="186">
        <v>37.268056879973905</v>
      </c>
    </row>
    <row r="4" ht="14.25" customHeight="1">
      <c r="A4" s="32" t="s">
        <v>42</v>
      </c>
      <c r="B4" s="120">
        <v>16.407686916666666</v>
      </c>
      <c r="C4" s="120">
        <v>8.177696001666666</v>
      </c>
      <c r="D4" s="120">
        <v>4.3716061716666665</v>
      </c>
      <c r="E4" s="120">
        <v>12.008771445</v>
      </c>
      <c r="F4" s="124">
        <v>14.559260166666666</v>
      </c>
      <c r="G4" s="139">
        <v>0.43187147833333334</v>
      </c>
      <c r="H4" s="139">
        <v>0.12669709333333332</v>
      </c>
      <c r="I4" s="139">
        <v>0.05693632333333334</v>
      </c>
      <c r="J4" s="139">
        <v>0.18760008666666664</v>
      </c>
      <c r="K4" s="139">
        <v>0.2887530466666667</v>
      </c>
      <c r="L4" s="139">
        <v>7.3252646666666665</v>
      </c>
      <c r="M4" s="139">
        <v>4.406109265</v>
      </c>
      <c r="N4" s="139">
        <v>2.169672701666667</v>
      </c>
      <c r="O4" s="139">
        <v>5.7652692866666655</v>
      </c>
      <c r="P4" s="139">
        <v>9.294137368333333</v>
      </c>
      <c r="Q4" s="138">
        <v>38.62017286728414</v>
      </c>
      <c r="R4" s="139">
        <v>66.02807927202747</v>
      </c>
      <c r="S4" s="139">
        <v>74.81112621544433</v>
      </c>
      <c r="T4" s="139">
        <v>64.30831168222066</v>
      </c>
      <c r="U4" s="140">
        <v>50.375726737410446</v>
      </c>
      <c r="V4" s="138">
        <v>-0.18733333333333335</v>
      </c>
      <c r="W4" s="139">
        <v>-0.35000000000000003</v>
      </c>
      <c r="X4" s="139">
        <v>-0.38866666666666666</v>
      </c>
      <c r="Y4" s="139">
        <v>-0.13449999999999998</v>
      </c>
      <c r="Z4" s="140">
        <v>-0.27216666666666667</v>
      </c>
      <c r="AA4" s="138">
        <v>-0.7111666666666667</v>
      </c>
      <c r="AB4" s="139">
        <v>-1.0588333333333333</v>
      </c>
      <c r="AC4" s="139">
        <v>-1.3938333333333333</v>
      </c>
      <c r="AD4" s="139">
        <v>-0.64</v>
      </c>
      <c r="AE4" s="140">
        <v>-0.7061666666666667</v>
      </c>
      <c r="AF4" s="138">
        <v>0.4326666666666667</v>
      </c>
      <c r="AG4" s="139">
        <v>0.747</v>
      </c>
      <c r="AH4" s="139">
        <v>1.0051666666666665</v>
      </c>
      <c r="AI4" s="139">
        <v>0.50875</v>
      </c>
      <c r="AJ4" s="139">
        <v>0.434</v>
      </c>
      <c r="AK4" s="138">
        <v>14.350381192472474</v>
      </c>
      <c r="AL4" s="139">
        <v>6.268441918082078</v>
      </c>
      <c r="AM4" s="139">
        <v>2.1521169481459284</v>
      </c>
      <c r="AN4" s="139">
        <v>11.648226091129928</v>
      </c>
      <c r="AO4" s="140">
        <v>22.545750995938672</v>
      </c>
      <c r="AP4" s="138">
        <v>7.440450014459121</v>
      </c>
      <c r="AQ4" s="139">
        <v>6.758398490131778</v>
      </c>
      <c r="AR4" s="139">
        <v>2.4086970787000355</v>
      </c>
      <c r="AS4" s="139">
        <v>13.053108528165874</v>
      </c>
      <c r="AT4" s="139">
        <v>27.05525796708176</v>
      </c>
      <c r="AU4" s="138">
        <v>43.333333333333336</v>
      </c>
      <c r="AV4" s="139">
        <v>73.0</v>
      </c>
      <c r="AW4" s="139">
        <v>76.33333333333333</v>
      </c>
      <c r="AX4" s="139">
        <v>76.33333333333333</v>
      </c>
      <c r="AY4" s="140">
        <v>82.16666666666667</v>
      </c>
      <c r="AZ4" s="138">
        <v>0.5176418541666669</v>
      </c>
      <c r="BA4" s="139">
        <v>1.0668694500000002</v>
      </c>
      <c r="BB4" s="139">
        <v>1.1155849500000004</v>
      </c>
      <c r="BC4" s="139">
        <v>1.1155849500000004</v>
      </c>
      <c r="BD4" s="139">
        <v>1.2008370750000001</v>
      </c>
      <c r="BE4" s="142">
        <v>180.4330470363799</v>
      </c>
      <c r="BF4" s="143">
        <v>32.68333333333333</v>
      </c>
      <c r="BG4" s="187">
        <v>395.7026</v>
      </c>
      <c r="BH4" s="188">
        <v>279.1229</v>
      </c>
      <c r="BI4" s="120">
        <v>27.97240521204083</v>
      </c>
      <c r="BJ4" s="186">
        <v>165.1139674357024</v>
      </c>
      <c r="BK4" s="120">
        <v>95.7190686165829</v>
      </c>
      <c r="BL4" s="186">
        <v>35.834670076897986</v>
      </c>
    </row>
    <row r="5" ht="14.25" customHeight="1">
      <c r="A5" s="32" t="s">
        <v>242</v>
      </c>
      <c r="B5" s="120">
        <v>15.540609949999999</v>
      </c>
      <c r="C5" s="120">
        <v>9.455476135</v>
      </c>
      <c r="D5" s="120">
        <v>7.254412426666666</v>
      </c>
      <c r="E5" s="120">
        <v>11.080868773333334</v>
      </c>
      <c r="F5" s="124">
        <v>13.055032931666666</v>
      </c>
      <c r="G5" s="139">
        <v>0.24892486166666664</v>
      </c>
      <c r="H5" s="139">
        <v>0.1743334466666667</v>
      </c>
      <c r="I5" s="139">
        <v>0.08940557333333332</v>
      </c>
      <c r="J5" s="139">
        <v>0.17281733666666665</v>
      </c>
      <c r="K5" s="139">
        <v>0.21593368666666668</v>
      </c>
      <c r="L5" s="139">
        <v>5.237203283333334</v>
      </c>
      <c r="M5" s="139">
        <v>5.639232866666666</v>
      </c>
      <c r="N5" s="139">
        <v>3.116809096666666</v>
      </c>
      <c r="O5" s="139">
        <v>5.793438678333334</v>
      </c>
      <c r="P5" s="139">
        <v>7.7111924216666665</v>
      </c>
      <c r="Q5" s="138">
        <v>63.99680215956937</v>
      </c>
      <c r="R5" s="139">
        <v>55.05411875475564</v>
      </c>
      <c r="S5" s="139">
        <v>78.53477608004273</v>
      </c>
      <c r="T5" s="139">
        <v>64.12140325054311</v>
      </c>
      <c r="U5" s="140">
        <v>63.12525200321457</v>
      </c>
      <c r="V5" s="138">
        <v>-0.33</v>
      </c>
      <c r="W5" s="139">
        <v>-0.4283333333333334</v>
      </c>
      <c r="X5" s="139">
        <v>-0.4950000000000001</v>
      </c>
      <c r="Y5" s="139">
        <v>-0.18125</v>
      </c>
      <c r="Z5" s="140">
        <v>-0.3505</v>
      </c>
      <c r="AA5" s="138">
        <v>-0.7718333333333334</v>
      </c>
      <c r="AB5" s="139">
        <v>-1.0953333333333333</v>
      </c>
      <c r="AC5" s="139">
        <v>-1.341333333333333</v>
      </c>
      <c r="AD5" s="139">
        <v>-0.6243333333333334</v>
      </c>
      <c r="AE5" s="140">
        <v>-0.6856666666666666</v>
      </c>
      <c r="AF5" s="138">
        <v>0.4646666666666666</v>
      </c>
      <c r="AG5" s="139">
        <v>0.7216666666666667</v>
      </c>
      <c r="AH5" s="139">
        <v>0.8463333333333334</v>
      </c>
      <c r="AI5" s="139">
        <v>0.48999999999999994</v>
      </c>
      <c r="AJ5" s="139">
        <v>0.33516666666666667</v>
      </c>
      <c r="AK5" s="138">
        <v>12.469443619530097</v>
      </c>
      <c r="AL5" s="139">
        <v>8.586686040870712</v>
      </c>
      <c r="AM5" s="139">
        <v>3.9652445650862496</v>
      </c>
      <c r="AN5" s="139">
        <v>13.091686557275521</v>
      </c>
      <c r="AO5" s="140">
        <v>24.334737935131926</v>
      </c>
      <c r="AP5" s="138">
        <v>7.921448295038232</v>
      </c>
      <c r="AQ5" s="139">
        <v>8.260040011646153</v>
      </c>
      <c r="AR5" s="139">
        <v>4.025217314169548</v>
      </c>
      <c r="AS5" s="139">
        <v>13.11404644036641</v>
      </c>
      <c r="AT5" s="139">
        <v>25.935166036675067</v>
      </c>
      <c r="AU5" s="138">
        <v>43.833333333333336</v>
      </c>
      <c r="AV5" s="139">
        <v>65.83333333333333</v>
      </c>
      <c r="AW5" s="139">
        <v>68.33333333333333</v>
      </c>
      <c r="AX5" s="139">
        <v>68.33333333333333</v>
      </c>
      <c r="AY5" s="140">
        <v>73.33333333333333</v>
      </c>
      <c r="AZ5" s="138">
        <v>0.6279212666666667</v>
      </c>
      <c r="BA5" s="139">
        <v>0.9621311250000003</v>
      </c>
      <c r="BB5" s="139">
        <v>0.9986677500000002</v>
      </c>
      <c r="BC5" s="139">
        <v>0.9986677500000002</v>
      </c>
      <c r="BD5" s="139">
        <v>1.0717410000000003</v>
      </c>
      <c r="BE5" s="142">
        <v>160.00950313783792</v>
      </c>
      <c r="BF5" s="143">
        <v>28.03333333333333</v>
      </c>
      <c r="BG5" s="189">
        <v>390.943</v>
      </c>
      <c r="BH5" s="188">
        <v>328.004</v>
      </c>
      <c r="BI5" s="120">
        <v>31.221961499314595</v>
      </c>
      <c r="BJ5" s="186">
        <v>92.760585203018</v>
      </c>
      <c r="BK5" s="120">
        <v>77.74347558274532</v>
      </c>
      <c r="BL5" s="186">
        <v>45.58170033781423</v>
      </c>
    </row>
    <row r="6" ht="14.25" customHeight="1">
      <c r="A6" s="32" t="s">
        <v>65</v>
      </c>
      <c r="B6" s="120">
        <v>16.603521933333333</v>
      </c>
      <c r="C6" s="120">
        <v>8.020362618333333</v>
      </c>
      <c r="D6" s="120">
        <v>5.393164783333333</v>
      </c>
      <c r="E6" s="120">
        <v>13.043185966666668</v>
      </c>
      <c r="F6" s="124">
        <v>15.257074366666666</v>
      </c>
      <c r="G6" s="139">
        <v>0.40177581333333334</v>
      </c>
      <c r="H6" s="139">
        <v>0.14565877666666663</v>
      </c>
      <c r="I6" s="139">
        <v>0.06439272166666667</v>
      </c>
      <c r="J6" s="139">
        <v>0.20891447333333332</v>
      </c>
      <c r="K6" s="139">
        <v>0.30219800333333335</v>
      </c>
      <c r="L6" s="139">
        <v>6.998658043333333</v>
      </c>
      <c r="M6" s="139">
        <v>4.97926367</v>
      </c>
      <c r="N6" s="139">
        <v>2.5061759633333334</v>
      </c>
      <c r="O6" s="139">
        <v>6.310217290000001</v>
      </c>
      <c r="P6" s="139">
        <v>9.567662431666665</v>
      </c>
      <c r="Q6" s="138">
        <v>45.692072109316086</v>
      </c>
      <c r="R6" s="139">
        <v>56.25489766366058</v>
      </c>
      <c r="S6" s="139">
        <v>80.24704889226122</v>
      </c>
      <c r="T6" s="139">
        <v>62.86711629747864</v>
      </c>
      <c r="U6" s="140">
        <v>52.66017015029308</v>
      </c>
      <c r="V6" s="138">
        <v>-0.23866666666666667</v>
      </c>
      <c r="W6" s="139">
        <v>-0.4526666666666667</v>
      </c>
      <c r="X6" s="139">
        <v>-0.5105</v>
      </c>
      <c r="Y6" s="139">
        <v>-0.13285</v>
      </c>
      <c r="Z6" s="140">
        <v>-0.2816666666666667</v>
      </c>
      <c r="AA6" s="138">
        <v>-0.7679999999999999</v>
      </c>
      <c r="AB6" s="139">
        <v>-1.094</v>
      </c>
      <c r="AC6" s="139">
        <v>-1.4569999999999999</v>
      </c>
      <c r="AD6" s="139">
        <v>-0.6285000000000001</v>
      </c>
      <c r="AE6" s="140">
        <v>-0.711</v>
      </c>
      <c r="AF6" s="138">
        <v>0.531</v>
      </c>
      <c r="AG6" s="139">
        <v>0.6693333333333333</v>
      </c>
      <c r="AH6" s="139">
        <v>0.9465</v>
      </c>
      <c r="AI6" s="139">
        <v>0.4844</v>
      </c>
      <c r="AJ6" s="139">
        <v>0.42933333333333334</v>
      </c>
      <c r="AK6" s="138">
        <v>13.46673653964381</v>
      </c>
      <c r="AL6" s="139">
        <v>7.86591600396694</v>
      </c>
      <c r="AM6" s="139">
        <v>2.6581207480192037</v>
      </c>
      <c r="AN6" s="139">
        <v>13.119641384790105</v>
      </c>
      <c r="AO6" s="140">
        <v>23.976196770040957</v>
      </c>
      <c r="AP6" s="138">
        <v>7.16710906492722</v>
      </c>
      <c r="AQ6" s="139">
        <v>8.56190651192521</v>
      </c>
      <c r="AR6" s="139">
        <v>3.0430004586012678</v>
      </c>
      <c r="AS6" s="139">
        <v>14.970352401664478</v>
      </c>
      <c r="AT6" s="139">
        <v>29.11558151730556</v>
      </c>
      <c r="AU6" s="138">
        <v>45.666666666666664</v>
      </c>
      <c r="AV6" s="139">
        <v>74.16666666666667</v>
      </c>
      <c r="AW6" s="139">
        <v>77.66666666666667</v>
      </c>
      <c r="AX6" s="139">
        <v>77.66666666666667</v>
      </c>
      <c r="AY6" s="140">
        <v>84.16666666666667</v>
      </c>
      <c r="AZ6" s="138">
        <v>0.5331777416666666</v>
      </c>
      <c r="BA6" s="139">
        <v>1.0839198750000003</v>
      </c>
      <c r="BB6" s="139">
        <v>1.1350711500000001</v>
      </c>
      <c r="BC6" s="139">
        <v>1.1350711500000001</v>
      </c>
      <c r="BD6" s="139">
        <v>1.2300663750000003</v>
      </c>
      <c r="BE6" s="142">
        <v>182.60952905285214</v>
      </c>
      <c r="BF6" s="143">
        <v>35.13333333333333</v>
      </c>
      <c r="BG6" s="190">
        <v>507.6794</v>
      </c>
      <c r="BH6" s="188">
        <v>236.613</v>
      </c>
      <c r="BI6" s="120">
        <v>28.876748868111925</v>
      </c>
      <c r="BJ6" s="186">
        <v>146.59279048018672</v>
      </c>
      <c r="BK6" s="120">
        <v>98.44381039879211</v>
      </c>
      <c r="BL6" s="186">
        <v>33.11123515105374</v>
      </c>
    </row>
    <row r="7" ht="14.25" customHeight="1">
      <c r="A7" s="32" t="s">
        <v>243</v>
      </c>
      <c r="B7" s="120">
        <v>14.294121566666666</v>
      </c>
      <c r="C7" s="120">
        <v>8.669874678333334</v>
      </c>
      <c r="D7" s="120">
        <v>6.104553508333333</v>
      </c>
      <c r="E7" s="120">
        <v>12.993591799999999</v>
      </c>
      <c r="F7" s="124">
        <v>13.609096266666667</v>
      </c>
      <c r="G7" s="139">
        <v>0.23623690166666667</v>
      </c>
      <c r="H7" s="139">
        <v>0.153055825</v>
      </c>
      <c r="I7" s="139">
        <v>0.08662921166666669</v>
      </c>
      <c r="J7" s="139">
        <v>0.1899807716666667</v>
      </c>
      <c r="K7" s="139">
        <v>0.24804214333333333</v>
      </c>
      <c r="L7" s="139">
        <v>5.1007310766666665</v>
      </c>
      <c r="M7" s="139">
        <v>5.148995616666667</v>
      </c>
      <c r="N7" s="139">
        <v>3.0893828083333337</v>
      </c>
      <c r="O7" s="139">
        <v>6.270386605</v>
      </c>
      <c r="P7" s="139">
        <v>8.679198523333334</v>
      </c>
      <c r="Q7" s="138">
        <v>61.04388245110395</v>
      </c>
      <c r="R7" s="139">
        <v>60.059388729835376</v>
      </c>
      <c r="S7" s="139">
        <v>71.31805919205132</v>
      </c>
      <c r="T7" s="139">
        <v>68.40377923521127</v>
      </c>
      <c r="U7" s="140">
        <v>55.668933194777765</v>
      </c>
      <c r="V7" s="138">
        <v>-0.2483333333333333</v>
      </c>
      <c r="W7" s="139">
        <v>-0.5066666666666667</v>
      </c>
      <c r="X7" s="139">
        <v>-0.5055</v>
      </c>
      <c r="Y7" s="139">
        <v>-0.16125</v>
      </c>
      <c r="Z7" s="140">
        <v>-0.36066666666666664</v>
      </c>
      <c r="AA7" s="138">
        <v>-0.703</v>
      </c>
      <c r="AB7" s="139">
        <v>-1.1026666666666667</v>
      </c>
      <c r="AC7" s="139">
        <v>-1.3903333333333334</v>
      </c>
      <c r="AD7" s="139">
        <v>-0.6373333333333333</v>
      </c>
      <c r="AE7" s="140">
        <v>-0.7226666666666666</v>
      </c>
      <c r="AF7" s="138">
        <v>0.4106666666666667</v>
      </c>
      <c r="AG7" s="139">
        <v>0.604</v>
      </c>
      <c r="AH7" s="139">
        <v>0.8848333333333334</v>
      </c>
      <c r="AI7" s="139">
        <v>0.467</v>
      </c>
      <c r="AJ7" s="139">
        <v>0.36200000000000004</v>
      </c>
      <c r="AK7" s="138">
        <v>11.561181669011956</v>
      </c>
      <c r="AL7" s="139">
        <v>9.45270492675028</v>
      </c>
      <c r="AM7" s="139">
        <v>3.510458359787721</v>
      </c>
      <c r="AN7" s="139">
        <v>13.225187180478239</v>
      </c>
      <c r="AO7" s="140">
        <v>26.10135165110212</v>
      </c>
      <c r="AP7" s="138">
        <v>7.547097136700077</v>
      </c>
      <c r="AQ7" s="139">
        <v>9.382019889031328</v>
      </c>
      <c r="AR7" s="139">
        <v>3.6837998085718393</v>
      </c>
      <c r="AS7" s="139">
        <v>13.833630926423465</v>
      </c>
      <c r="AT7" s="139">
        <v>28.98505940455382</v>
      </c>
      <c r="AU7" s="138">
        <v>44.833333333333336</v>
      </c>
      <c r="AV7" s="139">
        <v>69.83333333333333</v>
      </c>
      <c r="AW7" s="139">
        <v>71.66666666666667</v>
      </c>
      <c r="AX7" s="139">
        <v>71.66666666666667</v>
      </c>
      <c r="AY7" s="140">
        <v>76.0</v>
      </c>
      <c r="AZ7" s="138">
        <v>0.6552234750000001</v>
      </c>
      <c r="BA7" s="139">
        <v>1.0205897250000002</v>
      </c>
      <c r="BB7" s="139">
        <v>1.04738325</v>
      </c>
      <c r="BC7" s="139">
        <v>1.04738325</v>
      </c>
      <c r="BD7" s="139">
        <v>1.1107134</v>
      </c>
      <c r="BE7" s="142">
        <v>161.3272805499883</v>
      </c>
      <c r="BF7" s="143">
        <v>15.649999999999997</v>
      </c>
      <c r="BG7" s="189">
        <v>337.5888</v>
      </c>
      <c r="BH7" s="188">
        <v>241.11</v>
      </c>
      <c r="BI7" s="120">
        <v>32.49189733532385</v>
      </c>
      <c r="BJ7" s="186">
        <v>155.41809356697368</v>
      </c>
      <c r="BK7" s="120">
        <v>79.26247432064031</v>
      </c>
      <c r="BL7" s="186">
        <v>30.961154946439862</v>
      </c>
    </row>
    <row r="8" ht="14.25" customHeight="1">
      <c r="A8" s="32" t="s">
        <v>245</v>
      </c>
      <c r="B8" s="120">
        <v>15.769097066666665</v>
      </c>
      <c r="C8" s="120">
        <v>10.67370762</v>
      </c>
      <c r="D8" s="120">
        <v>4.452558033333333</v>
      </c>
      <c r="E8" s="120">
        <v>11.644815016666668</v>
      </c>
      <c r="F8" s="124">
        <v>16.547339233333332</v>
      </c>
      <c r="G8" s="139">
        <v>0.3648070766666667</v>
      </c>
      <c r="H8" s="139">
        <v>0.18457210333333332</v>
      </c>
      <c r="I8" s="139">
        <v>0.06609931</v>
      </c>
      <c r="J8" s="139">
        <v>0.18668238666666667</v>
      </c>
      <c r="K8" s="139">
        <v>0.3081707</v>
      </c>
      <c r="L8" s="139">
        <v>7.349163721666667</v>
      </c>
      <c r="M8" s="139">
        <v>5.815173401666667</v>
      </c>
      <c r="N8" s="139">
        <v>2.34165182</v>
      </c>
      <c r="O8" s="139">
        <v>5.854301768333333</v>
      </c>
      <c r="P8" s="139">
        <v>9.95575277</v>
      </c>
      <c r="Q8" s="138">
        <v>43.403649404693844</v>
      </c>
      <c r="R8" s="139">
        <v>60.01034018233718</v>
      </c>
      <c r="S8" s="139">
        <v>66.51236281912163</v>
      </c>
      <c r="T8" s="139">
        <v>65.13741515557481</v>
      </c>
      <c r="U8" s="140">
        <v>53.295963450640265</v>
      </c>
      <c r="V8" s="138">
        <v>-0.23933333333333331</v>
      </c>
      <c r="W8" s="139">
        <v>-0.377</v>
      </c>
      <c r="X8" s="139">
        <v>-0.5138333333333334</v>
      </c>
      <c r="Y8" s="139">
        <v>-0.15675000000000003</v>
      </c>
      <c r="Z8" s="140">
        <v>-0.3233333333333333</v>
      </c>
      <c r="AA8" s="138">
        <v>-0.6946666666666667</v>
      </c>
      <c r="AB8" s="139">
        <v>-1.1218333333333332</v>
      </c>
      <c r="AC8" s="139">
        <v>-1.4091666666666667</v>
      </c>
      <c r="AD8" s="139">
        <v>-0.6603333333333333</v>
      </c>
      <c r="AE8" s="140">
        <v>-0.7111666666666666</v>
      </c>
      <c r="AF8" s="138">
        <v>0.39999999999999997</v>
      </c>
      <c r="AG8" s="139">
        <v>0.7896666666666666</v>
      </c>
      <c r="AH8" s="139">
        <v>0.8953333333333333</v>
      </c>
      <c r="AI8" s="139">
        <v>0.49275</v>
      </c>
      <c r="AJ8" s="139">
        <v>0.3878333333333333</v>
      </c>
      <c r="AK8" s="138">
        <v>16.33631897411522</v>
      </c>
      <c r="AL8" s="139">
        <v>7.718178530662651</v>
      </c>
      <c r="AM8" s="139">
        <v>2.639969733684849</v>
      </c>
      <c r="AN8" s="139">
        <v>11.722560120552552</v>
      </c>
      <c r="AO8" s="140">
        <v>30.583556535197236</v>
      </c>
      <c r="AP8" s="138">
        <v>8.52773316199122</v>
      </c>
      <c r="AQ8" s="139">
        <v>8.209919149037583</v>
      </c>
      <c r="AR8" s="139">
        <v>2.932418080927091</v>
      </c>
      <c r="AS8" s="139">
        <v>12.898761227207205</v>
      </c>
      <c r="AT8" s="139">
        <v>37.687206126513345</v>
      </c>
      <c r="AU8" s="138">
        <v>44.0</v>
      </c>
      <c r="AV8" s="139">
        <v>72.66666666666667</v>
      </c>
      <c r="AW8" s="139">
        <v>75.5</v>
      </c>
      <c r="AX8" s="139">
        <v>75.5</v>
      </c>
      <c r="AY8" s="140">
        <v>81.5</v>
      </c>
      <c r="AZ8" s="138">
        <v>0.5137187</v>
      </c>
      <c r="BA8" s="139">
        <v>1.0619979000000004</v>
      </c>
      <c r="BB8" s="139">
        <v>1.1034060750000003</v>
      </c>
      <c r="BC8" s="139">
        <v>1.1034060750000003</v>
      </c>
      <c r="BD8" s="139">
        <v>1.1910939750000002</v>
      </c>
      <c r="BE8" s="142">
        <v>182.06873026674623</v>
      </c>
      <c r="BF8" s="143">
        <v>16.916666666666668</v>
      </c>
      <c r="BG8" s="192">
        <v>598.0497</v>
      </c>
      <c r="BH8" s="188">
        <v>264.975</v>
      </c>
      <c r="BI8" s="120">
        <v>36.05218677355141</v>
      </c>
      <c r="BJ8" s="186">
        <v>78.47981944969116</v>
      </c>
      <c r="BK8" s="120">
        <v>86.32481949921988</v>
      </c>
      <c r="BL8" s="186">
        <v>41.281539928586476</v>
      </c>
    </row>
    <row r="9" ht="14.25" customHeight="1">
      <c r="A9" s="32" t="s">
        <v>94</v>
      </c>
      <c r="B9" s="120">
        <v>14.210587533333333</v>
      </c>
      <c r="C9" s="120">
        <v>6.207475023333333</v>
      </c>
      <c r="D9" s="120">
        <v>5.239131226666667</v>
      </c>
      <c r="E9" s="120">
        <v>11.286514544999998</v>
      </c>
      <c r="F9" s="124">
        <v>15.066995533333332</v>
      </c>
      <c r="G9" s="139">
        <v>0.30857166166666666</v>
      </c>
      <c r="H9" s="139">
        <v>0.08760205</v>
      </c>
      <c r="I9" s="139">
        <v>0.07761877499999999</v>
      </c>
      <c r="J9" s="139">
        <v>0.17275003333333336</v>
      </c>
      <c r="K9" s="139">
        <v>0.24347105</v>
      </c>
      <c r="L9" s="139">
        <v>6.694307079999999</v>
      </c>
      <c r="M9" s="139">
        <v>3.5222536349999998</v>
      </c>
      <c r="N9" s="139">
        <v>2.8114411999999995</v>
      </c>
      <c r="O9" s="139">
        <v>5.841786345</v>
      </c>
      <c r="P9" s="139">
        <v>8.695648785</v>
      </c>
      <c r="Q9" s="138">
        <v>54.592544824812784</v>
      </c>
      <c r="R9" s="139">
        <v>72.18411710058001</v>
      </c>
      <c r="S9" s="139">
        <v>68.93078344563192</v>
      </c>
      <c r="T9" s="139">
        <v>67.39024120884523</v>
      </c>
      <c r="U9" s="140">
        <v>62.42710754070632</v>
      </c>
      <c r="V9" s="138">
        <v>-0.265</v>
      </c>
      <c r="W9" s="139">
        <v>-0.38066666666666665</v>
      </c>
      <c r="X9" s="139">
        <v>-0.36366666666666664</v>
      </c>
      <c r="Y9" s="139">
        <v>-0.12575</v>
      </c>
      <c r="Z9" s="140">
        <v>-0.307</v>
      </c>
      <c r="AA9" s="138">
        <v>-0.6891666666666666</v>
      </c>
      <c r="AB9" s="139">
        <v>-1.0093333333333332</v>
      </c>
      <c r="AC9" s="139">
        <v>-1.316</v>
      </c>
      <c r="AD9" s="139">
        <v>-0.5691666666666667</v>
      </c>
      <c r="AE9" s="140">
        <v>-0.6815000000000001</v>
      </c>
      <c r="AF9" s="138">
        <v>0.3666666666666667</v>
      </c>
      <c r="AG9" s="139">
        <v>0.626</v>
      </c>
      <c r="AH9" s="139">
        <v>0.9523333333333334</v>
      </c>
      <c r="AI9" s="139">
        <v>0.463</v>
      </c>
      <c r="AJ9" s="139">
        <v>0.3745</v>
      </c>
      <c r="AK9" s="138">
        <v>17.321990009066116</v>
      </c>
      <c r="AL9" s="139">
        <v>5.638750641173686</v>
      </c>
      <c r="AM9" s="139">
        <v>3.090218322851</v>
      </c>
      <c r="AN9" s="139">
        <v>13.248687661647756</v>
      </c>
      <c r="AO9" s="140">
        <v>23.47315362446878</v>
      </c>
      <c r="AP9" s="138">
        <v>8.749537237450637</v>
      </c>
      <c r="AQ9" s="139">
        <v>5.533715897764993</v>
      </c>
      <c r="AR9" s="139">
        <v>3.21710086398407</v>
      </c>
      <c r="AS9" s="139">
        <v>13.814738769753715</v>
      </c>
      <c r="AT9" s="139">
        <v>26.12831261535609</v>
      </c>
      <c r="AU9" s="138">
        <v>42.0</v>
      </c>
      <c r="AV9" s="139">
        <v>67.83333333333333</v>
      </c>
      <c r="AW9" s="139">
        <v>71.16666666666667</v>
      </c>
      <c r="AX9" s="139">
        <v>71.16666666666667</v>
      </c>
      <c r="AY9" s="140">
        <v>76.5</v>
      </c>
      <c r="AZ9" s="138">
        <v>0.5017144125</v>
      </c>
      <c r="BA9" s="139">
        <v>0.9913604250000002</v>
      </c>
      <c r="BB9" s="139">
        <v>1.0400759250000002</v>
      </c>
      <c r="BC9" s="139">
        <v>1.0400759250000002</v>
      </c>
      <c r="BD9" s="139">
        <v>1.1180207250000003</v>
      </c>
      <c r="BE9" s="142">
        <v>217.74807852512967</v>
      </c>
      <c r="BF9" s="143">
        <v>20.016666666666662</v>
      </c>
      <c r="BG9" s="193">
        <v>497.8161</v>
      </c>
      <c r="BH9" s="188">
        <v>277.5811</v>
      </c>
      <c r="BI9" s="120">
        <v>31.96915798742622</v>
      </c>
      <c r="BJ9" s="186">
        <v>72.1530993831218</v>
      </c>
      <c r="BK9" s="120">
        <v>94.28894333772215</v>
      </c>
      <c r="BL9" s="186">
        <v>59.342213647343065</v>
      </c>
    </row>
    <row r="10" ht="14.25" customHeight="1">
      <c r="A10" s="32" t="s">
        <v>101</v>
      </c>
      <c r="B10" s="120">
        <v>14.493218316666665</v>
      </c>
      <c r="C10" s="120">
        <v>7.638815021666666</v>
      </c>
      <c r="D10" s="120">
        <v>4.270595535</v>
      </c>
      <c r="E10" s="120">
        <v>11.013721513333332</v>
      </c>
      <c r="F10" s="124">
        <v>14.22860478</v>
      </c>
      <c r="G10" s="139">
        <v>0.27248072500000003</v>
      </c>
      <c r="H10" s="139">
        <v>0.11071944666666667</v>
      </c>
      <c r="I10" s="139">
        <v>0.06715667666666666</v>
      </c>
      <c r="J10" s="139">
        <v>0.18360696166666665</v>
      </c>
      <c r="K10" s="139">
        <v>0.28516298</v>
      </c>
      <c r="L10" s="139">
        <v>6.164538149999999</v>
      </c>
      <c r="M10" s="139">
        <v>4.197424861666667</v>
      </c>
      <c r="N10" s="139">
        <v>2.5193613716666667</v>
      </c>
      <c r="O10" s="139">
        <v>6.167728031666666</v>
      </c>
      <c r="P10" s="139">
        <v>9.645482225000002</v>
      </c>
      <c r="Q10" s="138">
        <v>53.760860544609216</v>
      </c>
      <c r="R10" s="139">
        <v>71.2762224989728</v>
      </c>
      <c r="S10" s="139">
        <v>68.73435276621167</v>
      </c>
      <c r="T10" s="139">
        <v>62.59131307057911</v>
      </c>
      <c r="U10" s="140">
        <v>50.026484603041716</v>
      </c>
      <c r="V10" s="138">
        <v>-0.295</v>
      </c>
      <c r="W10" s="139">
        <v>-0.41933333333333334</v>
      </c>
      <c r="X10" s="139">
        <v>-0.474</v>
      </c>
      <c r="Y10" s="139">
        <v>-0.1655</v>
      </c>
      <c r="Z10" s="140">
        <v>-0.2971666666666667</v>
      </c>
      <c r="AA10" s="138">
        <v>-0.7001666666666667</v>
      </c>
      <c r="AB10" s="139">
        <v>-1.2389999999999999</v>
      </c>
      <c r="AC10" s="139">
        <v>-1.4446666666666668</v>
      </c>
      <c r="AD10" s="139">
        <v>-0.6738333333333334</v>
      </c>
      <c r="AE10" s="140">
        <v>-0.6518333333333334</v>
      </c>
      <c r="AF10" s="138">
        <v>0.3176666666666666</v>
      </c>
      <c r="AG10" s="139">
        <v>0.6836666666666668</v>
      </c>
      <c r="AH10" s="139">
        <v>0.9706666666666667</v>
      </c>
      <c r="AI10" s="139">
        <v>0.51325</v>
      </c>
      <c r="AJ10" s="139">
        <v>0.35466666666666663</v>
      </c>
      <c r="AK10" s="138">
        <v>16.354305604432664</v>
      </c>
      <c r="AL10" s="139">
        <v>6.158160699530691</v>
      </c>
      <c r="AM10" s="139">
        <v>2.5782190156620355</v>
      </c>
      <c r="AN10" s="139">
        <v>12.111548272268726</v>
      </c>
      <c r="AO10" s="140">
        <v>29.261568898960988</v>
      </c>
      <c r="AP10" s="138">
        <v>10.747855917124634</v>
      </c>
      <c r="AQ10" s="139">
        <v>5.743933460326255</v>
      </c>
      <c r="AR10" s="139">
        <v>2.504305553691458</v>
      </c>
      <c r="AS10" s="139">
        <v>12.094735638320367</v>
      </c>
      <c r="AT10" s="139">
        <v>32.16902125086824</v>
      </c>
      <c r="AU10" s="138">
        <v>44.0</v>
      </c>
      <c r="AV10" s="139">
        <v>67.0</v>
      </c>
      <c r="AW10" s="139">
        <v>68.83333333333333</v>
      </c>
      <c r="AX10" s="139">
        <v>68.83333333333333</v>
      </c>
      <c r="AY10" s="140">
        <v>74.83333333333333</v>
      </c>
      <c r="AZ10" s="138">
        <v>0.6430446000000001</v>
      </c>
      <c r="BA10" s="139">
        <v>0.9791815500000003</v>
      </c>
      <c r="BB10" s="139">
        <v>1.005975075</v>
      </c>
      <c r="BC10" s="139">
        <v>1.005975075</v>
      </c>
      <c r="BD10" s="139">
        <v>1.0936629750000002</v>
      </c>
      <c r="BE10" s="142">
        <v>135.91804537137997</v>
      </c>
      <c r="BF10" s="143">
        <v>28.650000000000002</v>
      </c>
      <c r="BG10" s="187">
        <v>414.0352</v>
      </c>
      <c r="BH10" s="188">
        <v>301.5467</v>
      </c>
      <c r="BI10" s="120">
        <v>35.99919681827157</v>
      </c>
      <c r="BJ10" s="186">
        <v>144.13223774074368</v>
      </c>
      <c r="BK10" s="120">
        <v>74.74042711172505</v>
      </c>
      <c r="BL10" s="186">
        <v>50.168538107657184</v>
      </c>
    </row>
    <row r="11" ht="14.25" customHeight="1">
      <c r="A11" s="32" t="s">
        <v>246</v>
      </c>
      <c r="B11" s="120">
        <v>13.791896216666666</v>
      </c>
      <c r="C11" s="120">
        <v>6.153720951666667</v>
      </c>
      <c r="D11" s="120">
        <v>3.8869799216666667</v>
      </c>
      <c r="E11" s="120">
        <v>11.788433568333332</v>
      </c>
      <c r="F11" s="124">
        <v>16.049031216666666</v>
      </c>
      <c r="G11" s="139">
        <v>0.3878108683333334</v>
      </c>
      <c r="H11" s="139">
        <v>0.081750805</v>
      </c>
      <c r="I11" s="139">
        <v>0.06314102833333333</v>
      </c>
      <c r="J11" s="139">
        <v>0.19859659833333335</v>
      </c>
      <c r="K11" s="139">
        <v>0.2889197866666667</v>
      </c>
      <c r="L11" s="139">
        <v>7.332410658333334</v>
      </c>
      <c r="M11" s="139">
        <v>3.3733974750000004</v>
      </c>
      <c r="N11" s="139">
        <v>2.3709365116666663</v>
      </c>
      <c r="O11" s="139">
        <v>6.429289628333333</v>
      </c>
      <c r="P11" s="139">
        <v>9.83049529</v>
      </c>
      <c r="Q11" s="138">
        <v>37.56797345524196</v>
      </c>
      <c r="R11" s="139">
        <v>74.49104226893355</v>
      </c>
      <c r="S11" s="139">
        <v>64.41020442937379</v>
      </c>
      <c r="T11" s="139">
        <v>61.03508792879285</v>
      </c>
      <c r="U11" s="140">
        <v>56.1329221454003</v>
      </c>
      <c r="V11" s="138">
        <v>-0.23700000000000002</v>
      </c>
      <c r="W11" s="139">
        <v>-0.36733333333333335</v>
      </c>
      <c r="X11" s="139">
        <v>-0.4091666666666667</v>
      </c>
      <c r="Y11" s="139">
        <v>-0.1345</v>
      </c>
      <c r="Z11" s="140">
        <v>-0.24750000000000003</v>
      </c>
      <c r="AA11" s="138">
        <v>-0.7111666666666666</v>
      </c>
      <c r="AB11" s="139">
        <v>-1.0641666666666667</v>
      </c>
      <c r="AC11" s="139">
        <v>-1.3803333333333334</v>
      </c>
      <c r="AD11" s="139">
        <v>-0.608</v>
      </c>
      <c r="AE11" s="140">
        <v>-0.6606666666666667</v>
      </c>
      <c r="AF11" s="138">
        <v>0.4096666666666667</v>
      </c>
      <c r="AG11" s="139">
        <v>0.7526666666666667</v>
      </c>
      <c r="AH11" s="139">
        <v>0.9711666666666666</v>
      </c>
      <c r="AI11" s="139">
        <v>0.47175000000000006</v>
      </c>
      <c r="AJ11" s="139">
        <v>0.41316666666666674</v>
      </c>
      <c r="AK11" s="138">
        <v>16.94136919854458</v>
      </c>
      <c r="AL11" s="139">
        <v>4.914032065808578</v>
      </c>
      <c r="AM11" s="139">
        <v>2.4502780033599163</v>
      </c>
      <c r="AN11" s="139">
        <v>14.151174888484576</v>
      </c>
      <c r="AO11" s="140">
        <v>24.893383586843033</v>
      </c>
      <c r="AP11" s="138">
        <v>7.9408508633917805</v>
      </c>
      <c r="AQ11" s="139">
        <v>4.909126635095373</v>
      </c>
      <c r="AR11" s="139">
        <v>2.6727591186905517</v>
      </c>
      <c r="AS11" s="139">
        <v>14.877626935069882</v>
      </c>
      <c r="AT11" s="139">
        <v>28.912614347875955</v>
      </c>
      <c r="AU11" s="138">
        <v>41.333333333333336</v>
      </c>
      <c r="AV11" s="139">
        <v>69.33333333333333</v>
      </c>
      <c r="AW11" s="139">
        <v>73.66666666666667</v>
      </c>
      <c r="AX11" s="139">
        <v>73.66666666666667</v>
      </c>
      <c r="AY11" s="140">
        <v>80.16666666666667</v>
      </c>
      <c r="AZ11" s="138">
        <v>0.4825842333333332</v>
      </c>
      <c r="BA11" s="139">
        <v>1.0132824000000002</v>
      </c>
      <c r="BB11" s="139">
        <v>1.0766125500000003</v>
      </c>
      <c r="BC11" s="139">
        <v>1.0766125500000003</v>
      </c>
      <c r="BD11" s="139">
        <v>1.1716077750000002</v>
      </c>
      <c r="BE11" s="142">
        <v>191.6516342466385</v>
      </c>
      <c r="BF11" s="143">
        <v>20.900000000000002</v>
      </c>
      <c r="BG11" s="194">
        <v>458.0374</v>
      </c>
      <c r="BH11" s="188">
        <v>261.445</v>
      </c>
      <c r="BI11" s="120">
        <v>33.90510194880072</v>
      </c>
      <c r="BJ11" s="186">
        <v>147.98220890062223</v>
      </c>
      <c r="BK11" s="120">
        <v>90.85200167415447</v>
      </c>
      <c r="BL11" s="186">
        <v>34.97463799505243</v>
      </c>
    </row>
    <row r="12" ht="14.25" customHeight="1">
      <c r="A12" s="32" t="s">
        <v>247</v>
      </c>
      <c r="B12" s="120">
        <v>13.48911211</v>
      </c>
      <c r="C12" s="120">
        <v>9.083351691666666</v>
      </c>
      <c r="D12" s="120">
        <v>5.3250986566666665</v>
      </c>
      <c r="E12" s="120">
        <v>11.762423366666667</v>
      </c>
      <c r="F12" s="124">
        <v>13.561538733333334</v>
      </c>
      <c r="G12" s="139">
        <v>0.31026133333333333</v>
      </c>
      <c r="H12" s="139">
        <v>0.14521921666666668</v>
      </c>
      <c r="I12" s="139">
        <v>0.08229495166666667</v>
      </c>
      <c r="J12" s="139">
        <v>0.175817365</v>
      </c>
      <c r="K12" s="139">
        <v>0.27341508000000003</v>
      </c>
      <c r="L12" s="139">
        <v>6.464375605000001</v>
      </c>
      <c r="M12" s="139">
        <v>5.146853456666666</v>
      </c>
      <c r="N12" s="139">
        <v>3.11947615</v>
      </c>
      <c r="O12" s="139">
        <v>5.951763026666666</v>
      </c>
      <c r="P12" s="139">
        <v>9.42430166</v>
      </c>
      <c r="Q12" s="138">
        <v>47.28020815475281</v>
      </c>
      <c r="R12" s="139">
        <v>66.42751608543686</v>
      </c>
      <c r="S12" s="139">
        <v>59.649156329053</v>
      </c>
      <c r="T12" s="139">
        <v>67.87134970568066</v>
      </c>
      <c r="U12" s="140">
        <v>50.3127061481845</v>
      </c>
      <c r="V12" s="138">
        <v>-0.263</v>
      </c>
      <c r="W12" s="139">
        <v>-0.37833333333333335</v>
      </c>
      <c r="X12" s="139">
        <v>-0.5251666666666667</v>
      </c>
      <c r="Y12" s="139">
        <v>-0.14300000000000002</v>
      </c>
      <c r="Z12" s="140">
        <v>-0.351</v>
      </c>
      <c r="AA12" s="138">
        <v>-0.6166666666666667</v>
      </c>
      <c r="AB12" s="139">
        <v>-1.1544999999999999</v>
      </c>
      <c r="AC12" s="139">
        <v>-1.4906666666666668</v>
      </c>
      <c r="AD12" s="139">
        <v>-0.6226666666666666</v>
      </c>
      <c r="AE12" s="140">
        <v>-0.6955</v>
      </c>
      <c r="AF12" s="138">
        <v>0.2843333333333333</v>
      </c>
      <c r="AG12" s="139">
        <v>0.8106666666666666</v>
      </c>
      <c r="AH12" s="139">
        <v>0.9655</v>
      </c>
      <c r="AI12" s="139">
        <v>0.4635</v>
      </c>
      <c r="AJ12" s="139">
        <v>0.34450000000000003</v>
      </c>
      <c r="AK12" s="138">
        <v>19.310474346075566</v>
      </c>
      <c r="AL12" s="139">
        <v>6.657006309714736</v>
      </c>
      <c r="AM12" s="139">
        <v>3.325636451539289</v>
      </c>
      <c r="AN12" s="139">
        <v>12.617260067993323</v>
      </c>
      <c r="AO12" s="140">
        <v>29.513456311565907</v>
      </c>
      <c r="AP12" s="138">
        <v>11.085979740428124</v>
      </c>
      <c r="AQ12" s="139">
        <v>6.189134686128259</v>
      </c>
      <c r="AR12" s="139">
        <v>3.4047826748224104</v>
      </c>
      <c r="AS12" s="139">
        <v>12.39654381126597</v>
      </c>
      <c r="AT12" s="139">
        <v>32.870901360768926</v>
      </c>
      <c r="AU12" s="138">
        <v>40.0</v>
      </c>
      <c r="AV12" s="139">
        <v>64.33333333333333</v>
      </c>
      <c r="AW12" s="139">
        <v>68.0</v>
      </c>
      <c r="AX12" s="139">
        <v>68.0</v>
      </c>
      <c r="AY12" s="140">
        <v>74.83333333333333</v>
      </c>
      <c r="AZ12" s="138">
        <v>0.5730080000000001</v>
      </c>
      <c r="BA12" s="139">
        <v>0.9402091500000002</v>
      </c>
      <c r="BB12" s="139">
        <v>0.9937962000000002</v>
      </c>
      <c r="BC12" s="139">
        <v>0.9937962000000002</v>
      </c>
      <c r="BD12" s="139">
        <v>1.103406075</v>
      </c>
      <c r="BE12" s="142">
        <v>124.40311840120664</v>
      </c>
      <c r="BF12" s="143">
        <v>16.450000000000003</v>
      </c>
      <c r="BG12" s="190">
        <v>501.1584</v>
      </c>
      <c r="BH12" s="188">
        <v>265.8375</v>
      </c>
      <c r="BI12" s="120">
        <v>34.922040105314935</v>
      </c>
      <c r="BJ12" s="186">
        <v>118.48418737781209</v>
      </c>
      <c r="BK12" s="120">
        <v>60.4666115433447</v>
      </c>
      <c r="BL12" s="186">
        <v>73.96275903871745</v>
      </c>
    </row>
    <row r="13" ht="14.25" customHeight="1">
      <c r="A13" s="32" t="s">
        <v>248</v>
      </c>
      <c r="B13" s="120">
        <v>12.361580626666665</v>
      </c>
      <c r="C13" s="120">
        <v>7.402965108333334</v>
      </c>
      <c r="D13" s="120">
        <v>4.959942495</v>
      </c>
      <c r="E13" s="120">
        <v>11.321209341666666</v>
      </c>
      <c r="F13" s="124">
        <v>12.923693081666665</v>
      </c>
      <c r="G13" s="139">
        <v>0.3692152766666667</v>
      </c>
      <c r="H13" s="139">
        <v>0.13512672666666667</v>
      </c>
      <c r="I13" s="139">
        <v>0.08031181333333332</v>
      </c>
      <c r="J13" s="139">
        <v>0.16318399000000003</v>
      </c>
      <c r="K13" s="139">
        <v>0.23376879500000003</v>
      </c>
      <c r="L13" s="139">
        <v>6.9697398066666665</v>
      </c>
      <c r="M13" s="139">
        <v>4.810090491666666</v>
      </c>
      <c r="N13" s="139">
        <v>3.1205276666666664</v>
      </c>
      <c r="O13" s="139">
        <v>5.6947503416666665</v>
      </c>
      <c r="P13" s="139">
        <v>8.372269808333334</v>
      </c>
      <c r="Q13" s="138">
        <v>38.63732631397585</v>
      </c>
      <c r="R13" s="139">
        <v>62.74919383720792</v>
      </c>
      <c r="S13" s="139">
        <v>59.907706900510824</v>
      </c>
      <c r="T13" s="139">
        <v>71.0665849283612</v>
      </c>
      <c r="U13" s="140">
        <v>59.768578442017485</v>
      </c>
      <c r="V13" s="138">
        <v>-0.23900000000000002</v>
      </c>
      <c r="W13" s="139">
        <v>-0.4666666666666666</v>
      </c>
      <c r="X13" s="139">
        <v>-0.3891666666666667</v>
      </c>
      <c r="Y13" s="139">
        <v>-0.1635</v>
      </c>
      <c r="Z13" s="140">
        <v>-0.29883333333333334</v>
      </c>
      <c r="AA13" s="138">
        <v>-0.6483333333333333</v>
      </c>
      <c r="AB13" s="139">
        <v>-1.0739999999999998</v>
      </c>
      <c r="AC13" s="139">
        <v>-1.3596666666666666</v>
      </c>
      <c r="AD13" s="139">
        <v>-0.6811666666666666</v>
      </c>
      <c r="AE13" s="140">
        <v>-0.7091666666666666</v>
      </c>
      <c r="AF13" s="138">
        <v>0.3093333333333333</v>
      </c>
      <c r="AG13" s="139">
        <v>0.638</v>
      </c>
      <c r="AH13" s="139">
        <v>0.9705</v>
      </c>
      <c r="AI13" s="139">
        <v>0.5187499999999999</v>
      </c>
      <c r="AJ13" s="139">
        <v>0.4103333333333334</v>
      </c>
      <c r="AK13" s="138">
        <v>19.06224110385095</v>
      </c>
      <c r="AL13" s="139">
        <v>7.967679604832284</v>
      </c>
      <c r="AM13" s="139">
        <v>3.3212430323073754</v>
      </c>
      <c r="AN13" s="139">
        <v>11.680834401505798</v>
      </c>
      <c r="AO13" s="140">
        <v>20.36751088878017</v>
      </c>
      <c r="AP13" s="138">
        <v>9.131142204103927</v>
      </c>
      <c r="AQ13" s="139">
        <v>7.964549684579162</v>
      </c>
      <c r="AR13" s="139">
        <v>3.3456673617885535</v>
      </c>
      <c r="AS13" s="139">
        <v>12.473317614920655</v>
      </c>
      <c r="AT13" s="139">
        <v>22.452621660856703</v>
      </c>
      <c r="AU13" s="138">
        <v>38.5</v>
      </c>
      <c r="AV13" s="139">
        <v>68.16666666666667</v>
      </c>
      <c r="AW13" s="139">
        <v>71.0</v>
      </c>
      <c r="AX13" s="139">
        <v>71.0</v>
      </c>
      <c r="AY13" s="140">
        <v>75.16666666666667</v>
      </c>
      <c r="AZ13" s="138">
        <v>0.45990487812500014</v>
      </c>
      <c r="BA13" s="139">
        <v>0.9962319750000002</v>
      </c>
      <c r="BB13" s="139">
        <v>1.0376401500000003</v>
      </c>
      <c r="BC13" s="139">
        <v>1.0376401500000003</v>
      </c>
      <c r="BD13" s="139">
        <v>1.0717410000000003</v>
      </c>
      <c r="BE13" s="142">
        <v>132.37421944272003</v>
      </c>
      <c r="BF13" s="143">
        <v>14.300000000000002</v>
      </c>
      <c r="BG13" s="192">
        <v>540.1646</v>
      </c>
      <c r="BH13" s="188">
        <v>200.99</v>
      </c>
      <c r="BI13" s="120">
        <v>34.63010746561465</v>
      </c>
      <c r="BJ13" s="186">
        <v>92.07278679481712</v>
      </c>
      <c r="BK13" s="195">
        <v>75.0</v>
      </c>
      <c r="BL13" s="195">
        <v>41.0</v>
      </c>
    </row>
    <row r="14" ht="14.25" customHeight="1">
      <c r="A14" s="32" t="s">
        <v>252</v>
      </c>
      <c r="B14" s="120">
        <v>14.673568333333334</v>
      </c>
      <c r="C14" s="120">
        <v>8.460708848333333</v>
      </c>
      <c r="D14" s="120">
        <v>4.7519089716666665</v>
      </c>
      <c r="E14" s="120">
        <v>11.907822383333334</v>
      </c>
      <c r="F14" s="124">
        <v>13.242864681666667</v>
      </c>
      <c r="G14" s="139">
        <v>0.3467341216666667</v>
      </c>
      <c r="H14" s="139">
        <v>0.141356935</v>
      </c>
      <c r="I14" s="139">
        <v>0.07016475833333334</v>
      </c>
      <c r="J14" s="139">
        <v>0.200786735</v>
      </c>
      <c r="K14" s="139">
        <v>0.27592811166666664</v>
      </c>
      <c r="L14" s="139">
        <v>6.957379996666667</v>
      </c>
      <c r="M14" s="139">
        <v>5.4385800233333335</v>
      </c>
      <c r="N14" s="139">
        <v>2.7652230566666667</v>
      </c>
      <c r="O14" s="139">
        <v>6.728061568333332</v>
      </c>
      <c r="P14" s="139">
        <v>9.117828693333333</v>
      </c>
      <c r="Q14" s="138">
        <v>42.985158154836476</v>
      </c>
      <c r="R14" s="139">
        <v>61.19643350709389</v>
      </c>
      <c r="S14" s="139">
        <v>66.35927604620656</v>
      </c>
      <c r="T14" s="139">
        <v>60.01799950884904</v>
      </c>
      <c r="U14" s="140">
        <v>49.165155531429086</v>
      </c>
      <c r="V14" s="138">
        <v>-0.29600000000000004</v>
      </c>
      <c r="W14" s="139">
        <v>-0.4683333333333333</v>
      </c>
      <c r="X14" s="139">
        <v>-0.6285</v>
      </c>
      <c r="Y14" s="139">
        <v>-0.203</v>
      </c>
      <c r="Z14" s="140">
        <v>-0.355</v>
      </c>
      <c r="AA14" s="138">
        <v>-0.7051666666666666</v>
      </c>
      <c r="AB14" s="139">
        <v>-1.1041666666666665</v>
      </c>
      <c r="AC14" s="139">
        <v>-1.4611666666666665</v>
      </c>
      <c r="AD14" s="139">
        <v>-0.7631666666666667</v>
      </c>
      <c r="AE14" s="140">
        <v>-0.797</v>
      </c>
      <c r="AF14" s="138">
        <v>0.35366666666666663</v>
      </c>
      <c r="AG14" s="139">
        <v>0.662</v>
      </c>
      <c r="AH14" s="139">
        <v>0.8326666666666668</v>
      </c>
      <c r="AI14" s="139">
        <v>0.5542499999999999</v>
      </c>
      <c r="AJ14" s="139">
        <v>0.442</v>
      </c>
      <c r="AK14" s="138">
        <v>18.366102359874336</v>
      </c>
      <c r="AL14" s="139">
        <v>8.621572264810652</v>
      </c>
      <c r="AM14" s="139">
        <v>3.304081888396747</v>
      </c>
      <c r="AN14" s="139">
        <v>13.38068637059235</v>
      </c>
      <c r="AO14" s="140">
        <v>21.278015166606618</v>
      </c>
      <c r="AP14" s="138">
        <v>10.453391508736404</v>
      </c>
      <c r="AQ14" s="139">
        <v>8.40836704280258</v>
      </c>
      <c r="AR14" s="139">
        <v>3.306294684784282</v>
      </c>
      <c r="AS14" s="139">
        <v>13.117699081587142</v>
      </c>
      <c r="AT14" s="139">
        <v>22.590047170463365</v>
      </c>
      <c r="AU14" s="138">
        <v>39.833333333333336</v>
      </c>
      <c r="AV14" s="139">
        <v>65.83333333333333</v>
      </c>
      <c r="AW14" s="139">
        <v>68.5</v>
      </c>
      <c r="AX14" s="139">
        <v>68.5</v>
      </c>
      <c r="AY14" s="140">
        <v>74.83333333333333</v>
      </c>
      <c r="AZ14" s="138">
        <v>0.5706204666666667</v>
      </c>
      <c r="BA14" s="139">
        <v>0.9621311250000003</v>
      </c>
      <c r="BB14" s="139">
        <v>1.0011035250000002</v>
      </c>
      <c r="BC14" s="139">
        <v>1.0011035250000002</v>
      </c>
      <c r="BD14" s="139">
        <v>1.0912272000000003</v>
      </c>
      <c r="BE14" s="142">
        <v>120.61046206994324</v>
      </c>
      <c r="BF14" s="143">
        <v>16.01666666666667</v>
      </c>
      <c r="BG14" s="194">
        <v>464.7208</v>
      </c>
      <c r="BH14" s="188">
        <v>263.1656</v>
      </c>
      <c r="BI14" s="120">
        <v>29.960050148241486</v>
      </c>
      <c r="BJ14" s="186">
        <v>94.20766938032591</v>
      </c>
      <c r="BK14" s="120">
        <v>69.55767531230957</v>
      </c>
      <c r="BL14" s="186">
        <v>62.49566461411009</v>
      </c>
    </row>
    <row r="15" ht="14.25" customHeight="1">
      <c r="A15" s="32" t="s">
        <v>253</v>
      </c>
      <c r="B15" s="120">
        <v>13.771098649999999</v>
      </c>
      <c r="C15" s="120">
        <v>7.154679855</v>
      </c>
      <c r="D15" s="120">
        <v>4.58986952</v>
      </c>
      <c r="E15" s="120">
        <v>12.267759323333332</v>
      </c>
      <c r="F15" s="124">
        <v>16.45451835</v>
      </c>
      <c r="G15" s="139">
        <v>0.37257939833333337</v>
      </c>
      <c r="H15" s="139">
        <v>0.116584795</v>
      </c>
      <c r="I15" s="139">
        <v>0.05801748166666667</v>
      </c>
      <c r="J15" s="139">
        <v>0.20147635333333333</v>
      </c>
      <c r="K15" s="139">
        <v>0.32204091</v>
      </c>
      <c r="L15" s="139">
        <v>7.16962246</v>
      </c>
      <c r="M15" s="139">
        <v>4.591114976666666</v>
      </c>
      <c r="N15" s="139">
        <v>2.269833671666667</v>
      </c>
      <c r="O15" s="139">
        <v>6.424897225</v>
      </c>
      <c r="P15" s="139">
        <v>10.35498694</v>
      </c>
      <c r="Q15" s="138">
        <v>38.51696631978863</v>
      </c>
      <c r="R15" s="139">
        <v>64.35034342553644</v>
      </c>
      <c r="S15" s="139">
        <v>81.26768543288102</v>
      </c>
      <c r="T15" s="139">
        <v>62.36473825251931</v>
      </c>
      <c r="U15" s="140">
        <v>51.318364479832475</v>
      </c>
      <c r="V15" s="138">
        <v>-0.19766666666666666</v>
      </c>
      <c r="W15" s="139">
        <v>-0.44166666666666665</v>
      </c>
      <c r="X15" s="139">
        <v>-0.5419999999999999</v>
      </c>
      <c r="Y15" s="139">
        <v>-0.171</v>
      </c>
      <c r="Z15" s="140">
        <v>-0.31183333333333335</v>
      </c>
      <c r="AA15" s="138">
        <v>-0.6913333333333332</v>
      </c>
      <c r="AB15" s="139">
        <v>-1.0881666666666667</v>
      </c>
      <c r="AC15" s="139">
        <v>-1.3218666666666667</v>
      </c>
      <c r="AD15" s="139">
        <v>-0.6213333333333333</v>
      </c>
      <c r="AE15" s="140">
        <v>-0.774</v>
      </c>
      <c r="AF15" s="138">
        <v>0.4043333333333334</v>
      </c>
      <c r="AG15" s="139">
        <v>0.6473333333333333</v>
      </c>
      <c r="AH15" s="139">
        <v>0.7798666666666666</v>
      </c>
      <c r="AI15" s="139">
        <v>0.47950000000000004</v>
      </c>
      <c r="AJ15" s="139">
        <v>0.4621666666666668</v>
      </c>
      <c r="AK15" s="138">
        <v>14.933656209583278</v>
      </c>
      <c r="AL15" s="139">
        <v>7.180122104977108</v>
      </c>
      <c r="AM15" s="139">
        <v>3.4217213477002026</v>
      </c>
      <c r="AN15" s="139">
        <v>14.26770468387726</v>
      </c>
      <c r="AO15" s="140">
        <v>23.02159693702187</v>
      </c>
      <c r="AP15" s="138">
        <v>7.051620293821291</v>
      </c>
      <c r="AQ15" s="139">
        <v>6.868406682201027</v>
      </c>
      <c r="AR15" s="139">
        <v>3.2117707819209635</v>
      </c>
      <c r="AS15" s="139">
        <v>14.07312197056392</v>
      </c>
      <c r="AT15" s="139">
        <v>25.0972116293882</v>
      </c>
      <c r="AU15" s="138">
        <v>40.5</v>
      </c>
      <c r="AV15" s="139">
        <v>65.33333333333333</v>
      </c>
      <c r="AW15" s="139">
        <v>67.5</v>
      </c>
      <c r="AX15" s="139">
        <v>67.5</v>
      </c>
      <c r="AY15" s="140">
        <v>73.83333333333333</v>
      </c>
      <c r="AZ15" s="138">
        <v>0.47285471249999994</v>
      </c>
      <c r="BA15" s="139">
        <v>0.9548238000000002</v>
      </c>
      <c r="BB15" s="139">
        <v>0.9864888750000002</v>
      </c>
      <c r="BC15" s="139">
        <v>0.9864888750000002</v>
      </c>
      <c r="BD15" s="139">
        <v>1.0839198750000003</v>
      </c>
      <c r="BE15" s="142">
        <v>163.28264451408978</v>
      </c>
      <c r="BF15" s="143">
        <v>28.049999999999997</v>
      </c>
      <c r="BG15" s="196">
        <v>515.2347</v>
      </c>
      <c r="BH15" s="188">
        <v>243.318</v>
      </c>
      <c r="BI15" s="120">
        <v>32.568443742778925</v>
      </c>
      <c r="BJ15" s="186">
        <v>118.86466502783156</v>
      </c>
      <c r="BK15" s="120">
        <v>80.91098687358597</v>
      </c>
      <c r="BL15" s="186">
        <v>54.468698516884935</v>
      </c>
    </row>
    <row r="16" ht="14.25" customHeight="1">
      <c r="A16" s="32" t="s">
        <v>254</v>
      </c>
      <c r="B16" s="120">
        <v>16.438416816666667</v>
      </c>
      <c r="C16" s="120">
        <v>9.081446923333333</v>
      </c>
      <c r="D16" s="120">
        <v>3.7807878733333333</v>
      </c>
      <c r="E16" s="120">
        <v>13.226849016666668</v>
      </c>
      <c r="F16" s="124">
        <v>17.54741458333333</v>
      </c>
      <c r="G16" s="139">
        <v>0.41046153166666666</v>
      </c>
      <c r="H16" s="139">
        <v>0.16467182333333333</v>
      </c>
      <c r="I16" s="139">
        <v>0.06165862999999999</v>
      </c>
      <c r="J16" s="139">
        <v>0.229625965</v>
      </c>
      <c r="K16" s="139">
        <v>0.356781475</v>
      </c>
      <c r="L16" s="139">
        <v>7.170763715</v>
      </c>
      <c r="M16" s="139">
        <v>5.588357966666667</v>
      </c>
      <c r="N16" s="139">
        <v>2.361250175</v>
      </c>
      <c r="O16" s="139">
        <v>7.091093843333334</v>
      </c>
      <c r="P16" s="139">
        <v>11.178260956666668</v>
      </c>
      <c r="Q16" s="138">
        <v>42.48462911286514</v>
      </c>
      <c r="R16" s="139">
        <v>60.200933113723984</v>
      </c>
      <c r="S16" s="139">
        <v>61.364956780800604</v>
      </c>
      <c r="T16" s="139">
        <v>58.75241208394903</v>
      </c>
      <c r="U16" s="140">
        <v>49.48712699749992</v>
      </c>
      <c r="V16" s="138">
        <v>-0.2786666666666667</v>
      </c>
      <c r="W16" s="139">
        <v>-0.4333333333333333</v>
      </c>
      <c r="X16" s="139">
        <v>-0.5288333333333334</v>
      </c>
      <c r="Y16" s="139">
        <v>-0.171</v>
      </c>
      <c r="Z16" s="140">
        <v>-0.3105</v>
      </c>
      <c r="AA16" s="138">
        <v>-0.7453333333333333</v>
      </c>
      <c r="AB16" s="139">
        <v>-1.1146666666666667</v>
      </c>
      <c r="AC16" s="139">
        <v>-1.4696666666666667</v>
      </c>
      <c r="AD16" s="139">
        <v>-0.6565</v>
      </c>
      <c r="AE16" s="140">
        <v>-0.6821666666666667</v>
      </c>
      <c r="AF16" s="138">
        <v>0.4163333333333333</v>
      </c>
      <c r="AG16" s="139">
        <v>0.6903333333333334</v>
      </c>
      <c r="AH16" s="139">
        <v>0.9408333333333335</v>
      </c>
      <c r="AI16" s="139">
        <v>0.50725</v>
      </c>
      <c r="AJ16" s="139">
        <v>0.37166666666666665</v>
      </c>
      <c r="AK16" s="138">
        <v>15.687006823531227</v>
      </c>
      <c r="AL16" s="139">
        <v>8.369295964166193</v>
      </c>
      <c r="AM16" s="139">
        <v>2.535119952793355</v>
      </c>
      <c r="AN16" s="139">
        <v>14.582099216874548</v>
      </c>
      <c r="AO16" s="140">
        <v>31.036250797538766</v>
      </c>
      <c r="AP16" s="138">
        <v>9.454922402905948</v>
      </c>
      <c r="AQ16" s="139">
        <v>7.908888774631638</v>
      </c>
      <c r="AR16" s="139">
        <v>2.5017141867805264</v>
      </c>
      <c r="AS16" s="139">
        <v>14.557599825422423</v>
      </c>
      <c r="AT16" s="139">
        <v>33.42397795510569</v>
      </c>
      <c r="AU16" s="138">
        <v>42.166666666666664</v>
      </c>
      <c r="AV16" s="139">
        <v>65.33333333333333</v>
      </c>
      <c r="AW16" s="139">
        <v>67.66666666666667</v>
      </c>
      <c r="AX16" s="139">
        <v>67.66666666666667</v>
      </c>
      <c r="AY16" s="140">
        <v>73.66666666666667</v>
      </c>
      <c r="AZ16" s="138">
        <v>0.6040459333333333</v>
      </c>
      <c r="BA16" s="139">
        <v>0.9548238000000002</v>
      </c>
      <c r="BB16" s="139">
        <v>0.9889246500000001</v>
      </c>
      <c r="BC16" s="139">
        <v>0.9889246500000001</v>
      </c>
      <c r="BD16" s="139">
        <v>1.0766125500000003</v>
      </c>
      <c r="BE16" s="142">
        <v>98.23143226127274</v>
      </c>
      <c r="BF16" s="143">
        <v>7.416666666666667</v>
      </c>
      <c r="BG16" s="184">
        <v>425.5497</v>
      </c>
      <c r="BH16" s="188">
        <v>317.6043</v>
      </c>
      <c r="BI16" s="120">
        <v>27.53573363432208</v>
      </c>
      <c r="BJ16" s="186">
        <v>108.15228803802836</v>
      </c>
      <c r="BK16" s="120">
        <v>71.986912114804</v>
      </c>
      <c r="BL16" s="186">
        <v>55.47206927903808</v>
      </c>
    </row>
    <row r="17" ht="14.25" customHeight="1">
      <c r="A17" s="144" t="s">
        <v>255</v>
      </c>
      <c r="B17" s="145">
        <v>17.521104583333333</v>
      </c>
      <c r="C17" s="145">
        <v>8.106088205</v>
      </c>
      <c r="D17" s="145">
        <v>5.147956665</v>
      </c>
      <c r="E17" s="145">
        <v>12.870690349999999</v>
      </c>
      <c r="F17" s="146">
        <v>16.529179983333332</v>
      </c>
      <c r="G17" s="139">
        <v>0.48752886833333337</v>
      </c>
      <c r="H17" s="139">
        <v>0.14085575833333333</v>
      </c>
      <c r="I17" s="139">
        <v>0.06640658166666667</v>
      </c>
      <c r="J17" s="139">
        <v>0.2202893416666666</v>
      </c>
      <c r="K17" s="139">
        <v>0.31803733500000003</v>
      </c>
      <c r="L17" s="139">
        <v>8.468228343333333</v>
      </c>
      <c r="M17" s="139">
        <v>5.217044343333333</v>
      </c>
      <c r="N17" s="139">
        <v>2.61808209</v>
      </c>
      <c r="O17" s="139">
        <v>6.8167340350000005</v>
      </c>
      <c r="P17" s="139">
        <v>10.434227333333332</v>
      </c>
      <c r="Q17" s="147">
        <v>37.789197643555504</v>
      </c>
      <c r="R17" s="148">
        <v>63.145416418929955</v>
      </c>
      <c r="S17" s="148">
        <v>75.33311355398762</v>
      </c>
      <c r="T17" s="148">
        <v>58.3741152396236</v>
      </c>
      <c r="U17" s="149">
        <v>52.794252716746</v>
      </c>
      <c r="V17" s="147">
        <v>-0.26566666666666666</v>
      </c>
      <c r="W17" s="148">
        <v>-0.36766666666666664</v>
      </c>
      <c r="X17" s="148">
        <v>-0.403</v>
      </c>
      <c r="Y17" s="148">
        <v>-0.12325</v>
      </c>
      <c r="Z17" s="149">
        <v>-0.3206666666666667</v>
      </c>
      <c r="AA17" s="147">
        <v>-0.7113333333333333</v>
      </c>
      <c r="AB17" s="148">
        <v>-1.0876666666666668</v>
      </c>
      <c r="AC17" s="148">
        <v>-1.4763333333333335</v>
      </c>
      <c r="AD17" s="148">
        <v>-0.6448333333333334</v>
      </c>
      <c r="AE17" s="149">
        <v>-0.7183333333333334</v>
      </c>
      <c r="AF17" s="147">
        <v>0.3633333333333333</v>
      </c>
      <c r="AG17" s="148">
        <v>0.7146666666666667</v>
      </c>
      <c r="AH17" s="148">
        <v>1.0733333333333333</v>
      </c>
      <c r="AI17" s="148">
        <v>0.502</v>
      </c>
      <c r="AJ17" s="148">
        <v>0.3976666666666666</v>
      </c>
      <c r="AK17" s="147">
        <v>19.52253151719359</v>
      </c>
      <c r="AL17" s="148">
        <v>7.2463639546674345</v>
      </c>
      <c r="AM17" s="148">
        <v>2.4758766657455453</v>
      </c>
      <c r="AN17" s="148">
        <v>15.19218760076402</v>
      </c>
      <c r="AO17" s="149">
        <v>28.574064842899816</v>
      </c>
      <c r="AP17" s="147">
        <v>9.272279761374675</v>
      </c>
      <c r="AQ17" s="148">
        <v>6.982446056236253</v>
      </c>
      <c r="AR17" s="148">
        <v>2.534640013977332</v>
      </c>
      <c r="AS17" s="148">
        <v>15.709240075845857</v>
      </c>
      <c r="AT17" s="148">
        <v>32.463403207763555</v>
      </c>
      <c r="AU17" s="147">
        <v>39.833333333333336</v>
      </c>
      <c r="AV17" s="148">
        <v>67.0</v>
      </c>
      <c r="AW17" s="148">
        <v>70.5</v>
      </c>
      <c r="AX17" s="148">
        <v>70.5</v>
      </c>
      <c r="AY17" s="149">
        <v>78.83333333333333</v>
      </c>
      <c r="AZ17" s="147">
        <v>0.4758323197916668</v>
      </c>
      <c r="BA17" s="148">
        <v>0.9791815500000002</v>
      </c>
      <c r="BB17" s="148">
        <v>1.0303328250000003</v>
      </c>
      <c r="BC17" s="148">
        <v>1.0303328250000003</v>
      </c>
      <c r="BD17" s="148">
        <v>1.1521215750000002</v>
      </c>
      <c r="BE17" s="151">
        <v>163.34111650356354</v>
      </c>
      <c r="BF17" s="152">
        <v>18.083333333333332</v>
      </c>
      <c r="BG17" s="192">
        <v>531.6306</v>
      </c>
      <c r="BH17" s="197">
        <v>219.8433</v>
      </c>
      <c r="BI17" s="145">
        <v>27.351028086212448</v>
      </c>
      <c r="BJ17" s="198">
        <v>170.32085474970688</v>
      </c>
      <c r="BK17" s="145">
        <v>92.38296818341968</v>
      </c>
      <c r="BL17" s="198">
        <v>39.13054539137438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:AG1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:AG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1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:AI1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:AJ1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:AK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1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1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:AQ1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:AQ1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1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:AS1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:AT1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2:AU1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AV1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AW1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:AX1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AY1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AZ1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:BA1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:BA1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:BB1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:BC1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2:BD1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:BE1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2:BF1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2:BK12 BK14:BK1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2025-10-08T11:03:53Z</dcterms:created>
  <dc:creator>Luis Flor Chacón</dc:creator>
</cp:coreProperties>
</file>