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\Desktop\Tesis INAGEA\Artículos Científicos\Articulo Embolismo 2025\"/>
    </mc:Choice>
  </mc:AlternateContent>
  <xr:revisionPtr revIDLastSave="0" documentId="13_ncr:1_{D95F6C0A-2962-42BC-87BB-EEFE8007AEB1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Plano" sheetId="1" r:id="rId1"/>
    <sheet name="Tareas" sheetId="3" r:id="rId2"/>
    <sheet name="Completo" sheetId="11" r:id="rId3"/>
    <sheet name="Biomasa" sheetId="9" r:id="rId4"/>
    <sheet name="Li-6400" sheetId="2" r:id="rId5"/>
    <sheet name="Li-600" sheetId="5" r:id="rId6"/>
    <sheet name="Ymd" sheetId="6" r:id="rId7"/>
    <sheet name="Ypd" sheetId="7" r:id="rId8"/>
    <sheet name="Nº Hojas" sheetId="8" r:id="rId9"/>
    <sheet name="Peso sec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1" l="1"/>
  <c r="S25" i="11" s="1"/>
  <c r="Q24" i="11"/>
  <c r="S24" i="11" s="1"/>
  <c r="Q23" i="11"/>
  <c r="S23" i="11" s="1"/>
  <c r="S22" i="11"/>
  <c r="Q22" i="11"/>
  <c r="Q21" i="11"/>
  <c r="S21" i="11" s="1"/>
  <c r="Q20" i="11"/>
  <c r="S20" i="11" s="1"/>
  <c r="S19" i="11"/>
  <c r="Q19" i="11"/>
  <c r="S18" i="11"/>
  <c r="Q18" i="11"/>
  <c r="Q17" i="11"/>
  <c r="S17" i="11" s="1"/>
  <c r="Q16" i="11"/>
  <c r="S16" i="11" s="1"/>
  <c r="S15" i="11"/>
  <c r="Q15" i="11"/>
  <c r="S14" i="11"/>
  <c r="Q14" i="11"/>
  <c r="Q13" i="11"/>
  <c r="S13" i="11" s="1"/>
  <c r="Q12" i="11"/>
  <c r="S12" i="11" s="1"/>
  <c r="S11" i="11"/>
  <c r="Q11" i="11"/>
  <c r="S10" i="11"/>
  <c r="Q10" i="11"/>
  <c r="Q9" i="11"/>
  <c r="S9" i="11" s="1"/>
  <c r="Q8" i="11"/>
  <c r="S8" i="11" s="1"/>
  <c r="S7" i="11"/>
  <c r="Q7" i="11"/>
  <c r="S6" i="11"/>
  <c r="Q6" i="11"/>
  <c r="Q5" i="11"/>
  <c r="S5" i="11" s="1"/>
  <c r="Q4" i="11"/>
  <c r="S4" i="11" s="1"/>
  <c r="S3" i="11"/>
  <c r="Q3" i="11"/>
  <c r="S2" i="11"/>
  <c r="Q2" i="11"/>
  <c r="P61" i="11" l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P16" i="11" s="1"/>
  <c r="O17" i="11"/>
  <c r="P17" i="11" s="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2" i="11"/>
  <c r="L97" i="11"/>
  <c r="K97" i="11"/>
  <c r="L96" i="11"/>
  <c r="K96" i="11"/>
  <c r="L95" i="11"/>
  <c r="K95" i="11"/>
  <c r="L94" i="11"/>
  <c r="K94" i="11"/>
  <c r="L93" i="11"/>
  <c r="K93" i="11"/>
  <c r="L92" i="11"/>
  <c r="K92" i="11"/>
  <c r="L91" i="11"/>
  <c r="K91" i="11"/>
  <c r="L90" i="11"/>
  <c r="K90" i="11"/>
  <c r="L89" i="11"/>
  <c r="K89" i="11"/>
  <c r="L88" i="11"/>
  <c r="K88" i="11"/>
  <c r="L87" i="11"/>
  <c r="K87" i="11"/>
  <c r="L86" i="11"/>
  <c r="K86" i="11"/>
  <c r="L85" i="11"/>
  <c r="K85" i="11"/>
  <c r="L84" i="11"/>
  <c r="K84" i="11"/>
  <c r="L83" i="11"/>
  <c r="K83" i="11"/>
  <c r="L82" i="11"/>
  <c r="K82" i="11"/>
  <c r="L81" i="11"/>
  <c r="K81" i="11"/>
  <c r="L80" i="11"/>
  <c r="K80" i="11"/>
  <c r="L79" i="11"/>
  <c r="K79" i="11"/>
  <c r="L78" i="11"/>
  <c r="K78" i="11"/>
  <c r="L77" i="11"/>
  <c r="K77" i="11"/>
  <c r="L76" i="11"/>
  <c r="K76" i="11"/>
  <c r="L75" i="11"/>
  <c r="K75" i="11"/>
  <c r="L74" i="11"/>
  <c r="K74" i="11"/>
  <c r="L73" i="11"/>
  <c r="K73" i="11"/>
  <c r="L72" i="11"/>
  <c r="K72" i="11"/>
  <c r="L71" i="11"/>
  <c r="K71" i="11"/>
  <c r="L70" i="11"/>
  <c r="K70" i="11"/>
  <c r="L69" i="11"/>
  <c r="K69" i="11"/>
  <c r="L68" i="11"/>
  <c r="K68" i="11"/>
  <c r="L67" i="11"/>
  <c r="K67" i="11"/>
  <c r="L66" i="11"/>
  <c r="K66" i="11"/>
  <c r="L65" i="11"/>
  <c r="K65" i="11"/>
  <c r="L64" i="11"/>
  <c r="K64" i="11"/>
  <c r="L63" i="11"/>
  <c r="K63" i="11"/>
  <c r="L62" i="11"/>
  <c r="K62" i="11"/>
  <c r="L61" i="11"/>
  <c r="K61" i="11"/>
  <c r="L60" i="11"/>
  <c r="K60" i="11"/>
  <c r="L59" i="11"/>
  <c r="K59" i="11"/>
  <c r="L58" i="11"/>
  <c r="K58" i="11"/>
  <c r="L57" i="11"/>
  <c r="K57" i="11"/>
  <c r="L56" i="11"/>
  <c r="K56" i="11"/>
  <c r="L55" i="11"/>
  <c r="K55" i="11"/>
  <c r="L54" i="11"/>
  <c r="K54" i="11"/>
  <c r="L53" i="11"/>
  <c r="K53" i="11"/>
  <c r="L52" i="11"/>
  <c r="K52" i="11"/>
  <c r="L51" i="11"/>
  <c r="K51" i="11"/>
  <c r="L50" i="11"/>
  <c r="K50" i="11"/>
  <c r="L49" i="11"/>
  <c r="K49" i="11"/>
  <c r="L48" i="11"/>
  <c r="K48" i="11"/>
  <c r="L47" i="11"/>
  <c r="K47" i="11"/>
  <c r="L46" i="11"/>
  <c r="K46" i="11"/>
  <c r="L45" i="11"/>
  <c r="K45" i="11"/>
  <c r="L44" i="11"/>
  <c r="K44" i="11"/>
  <c r="L43" i="11"/>
  <c r="K43" i="11"/>
  <c r="L42" i="11"/>
  <c r="K42" i="11"/>
  <c r="L41" i="11"/>
  <c r="K41" i="11"/>
  <c r="L40" i="11"/>
  <c r="K40" i="11"/>
  <c r="L39" i="11"/>
  <c r="K39" i="11"/>
  <c r="L38" i="11"/>
  <c r="K38" i="11"/>
  <c r="L37" i="11"/>
  <c r="K37" i="11"/>
  <c r="L36" i="11"/>
  <c r="K36" i="11"/>
  <c r="L35" i="11"/>
  <c r="K35" i="11"/>
  <c r="L34" i="11"/>
  <c r="K34" i="11"/>
  <c r="L33" i="11"/>
  <c r="K33" i="11"/>
  <c r="L32" i="11"/>
  <c r="K32" i="11"/>
  <c r="L31" i="11"/>
  <c r="K31" i="11"/>
  <c r="L30" i="11"/>
  <c r="K30" i="11"/>
  <c r="L29" i="11"/>
  <c r="K29" i="11"/>
  <c r="L28" i="11"/>
  <c r="K28" i="11"/>
  <c r="L27" i="11"/>
  <c r="K27" i="11"/>
  <c r="L26" i="11"/>
  <c r="K26" i="11"/>
  <c r="L25" i="11"/>
  <c r="K25" i="11"/>
  <c r="L24" i="11"/>
  <c r="K24" i="11"/>
  <c r="L23" i="11"/>
  <c r="K23" i="11"/>
  <c r="L22" i="11"/>
  <c r="K22" i="11"/>
  <c r="L21" i="11"/>
  <c r="K21" i="11"/>
  <c r="L20" i="11"/>
  <c r="K20" i="11"/>
  <c r="L19" i="11"/>
  <c r="K19" i="11"/>
  <c r="L18" i="11"/>
  <c r="K18" i="11"/>
  <c r="L17" i="11"/>
  <c r="K17" i="11"/>
  <c r="L16" i="11"/>
  <c r="K16" i="11"/>
  <c r="L15" i="11"/>
  <c r="K15" i="11"/>
  <c r="L14" i="11"/>
  <c r="K14" i="11"/>
  <c r="L13" i="11"/>
  <c r="K13" i="11"/>
  <c r="L12" i="11"/>
  <c r="K12" i="11"/>
  <c r="L11" i="11"/>
  <c r="K11" i="11"/>
  <c r="L10" i="11"/>
  <c r="K10" i="11"/>
  <c r="L9" i="11"/>
  <c r="K9" i="11"/>
  <c r="L8" i="11"/>
  <c r="K8" i="11"/>
  <c r="L7" i="11"/>
  <c r="K7" i="11"/>
  <c r="L6" i="11"/>
  <c r="K6" i="11"/>
  <c r="L5" i="11"/>
  <c r="K5" i="11"/>
  <c r="L4" i="11"/>
  <c r="K4" i="11"/>
  <c r="L3" i="11"/>
  <c r="K3" i="11"/>
  <c r="L2" i="11"/>
  <c r="K2" i="1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" i="9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M3" i="10"/>
  <c r="N3" i="10"/>
  <c r="O3" i="10"/>
  <c r="M4" i="10"/>
  <c r="N4" i="10"/>
  <c r="O4" i="10"/>
  <c r="M5" i="10"/>
  <c r="N5" i="10"/>
  <c r="O5" i="10"/>
  <c r="M6" i="10"/>
  <c r="N6" i="10"/>
  <c r="O6" i="10"/>
  <c r="M7" i="10"/>
  <c r="N7" i="10"/>
  <c r="O7" i="10"/>
  <c r="M8" i="10"/>
  <c r="N8" i="10"/>
  <c r="O8" i="10"/>
  <c r="M9" i="10"/>
  <c r="N9" i="10"/>
  <c r="O9" i="10"/>
  <c r="M10" i="10"/>
  <c r="N10" i="10"/>
  <c r="O10" i="10"/>
  <c r="M11" i="10"/>
  <c r="N11" i="10"/>
  <c r="O11" i="10"/>
  <c r="M12" i="10"/>
  <c r="N12" i="10"/>
  <c r="O12" i="10"/>
  <c r="M13" i="10"/>
  <c r="N13" i="10"/>
  <c r="O13" i="10"/>
  <c r="M14" i="10"/>
  <c r="N14" i="10"/>
  <c r="O14" i="10"/>
  <c r="M15" i="10"/>
  <c r="N15" i="10"/>
  <c r="O15" i="10"/>
  <c r="M16" i="10"/>
  <c r="N16" i="10"/>
  <c r="O16" i="10"/>
  <c r="M17" i="10"/>
  <c r="N17" i="10"/>
  <c r="O17" i="10"/>
  <c r="M18" i="10"/>
  <c r="N18" i="10"/>
  <c r="O18" i="10"/>
  <c r="M19" i="10"/>
  <c r="N19" i="10"/>
  <c r="O19" i="10"/>
  <c r="M20" i="10"/>
  <c r="N20" i="10"/>
  <c r="O20" i="10"/>
  <c r="M21" i="10"/>
  <c r="N21" i="10"/>
  <c r="O21" i="10"/>
  <c r="M22" i="10"/>
  <c r="N22" i="10"/>
  <c r="O22" i="10"/>
  <c r="M23" i="10"/>
  <c r="N23" i="10"/>
  <c r="O23" i="10"/>
  <c r="M24" i="10"/>
  <c r="N24" i="10"/>
  <c r="O24" i="10"/>
  <c r="M25" i="10"/>
  <c r="N25" i="10"/>
  <c r="O25" i="10"/>
  <c r="O2" i="10"/>
  <c r="N2" i="10"/>
  <c r="M2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E6" i="9"/>
  <c r="E2" i="9"/>
  <c r="G2" i="9"/>
  <c r="D39" i="6"/>
  <c r="O21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Q36" i="8"/>
  <c r="P25" i="8"/>
  <c r="P24" i="8"/>
  <c r="P23" i="8"/>
  <c r="P22" i="8"/>
  <c r="P21" i="8"/>
  <c r="P20" i="8"/>
  <c r="P19" i="8"/>
  <c r="Q34" i="8" s="1"/>
  <c r="P18" i="8"/>
  <c r="Q33" i="8" s="1"/>
  <c r="P17" i="8"/>
  <c r="P16" i="8"/>
  <c r="P15" i="8"/>
  <c r="P14" i="8"/>
  <c r="P13" i="8"/>
  <c r="P12" i="8"/>
  <c r="P11" i="8"/>
  <c r="P10" i="8"/>
  <c r="P9" i="8"/>
  <c r="P37" i="8" s="1"/>
  <c r="P8" i="8"/>
  <c r="P7" i="8"/>
  <c r="P34" i="8" s="1"/>
  <c r="P6" i="8"/>
  <c r="P33" i="8" s="1"/>
  <c r="P5" i="8"/>
  <c r="P4" i="8"/>
  <c r="P3" i="8"/>
  <c r="P30" i="8" s="1"/>
  <c r="P2" i="8"/>
  <c r="P29" i="8" s="1"/>
  <c r="E37" i="7"/>
  <c r="H29" i="7"/>
  <c r="H30" i="7"/>
  <c r="G29" i="6"/>
  <c r="H29" i="6"/>
  <c r="G30" i="6"/>
  <c r="H30" i="6"/>
  <c r="D38" i="6"/>
  <c r="AE2" i="2"/>
  <c r="AJ12" i="2"/>
  <c r="AI12" i="2"/>
  <c r="AH12" i="2"/>
  <c r="AG12" i="2"/>
  <c r="AF12" i="2"/>
  <c r="AE12" i="2"/>
  <c r="AJ11" i="2"/>
  <c r="AI11" i="2"/>
  <c r="AH11" i="2"/>
  <c r="AG11" i="2"/>
  <c r="AF11" i="2"/>
  <c r="AE11" i="2"/>
  <c r="AJ9" i="2"/>
  <c r="AI9" i="2"/>
  <c r="AH9" i="2"/>
  <c r="AG9" i="2"/>
  <c r="AF9" i="2"/>
  <c r="AE9" i="2"/>
  <c r="AJ8" i="2"/>
  <c r="AI8" i="2"/>
  <c r="AH8" i="2"/>
  <c r="AG8" i="2"/>
  <c r="AF8" i="2"/>
  <c r="AE8" i="2"/>
  <c r="AJ6" i="2"/>
  <c r="AI6" i="2"/>
  <c r="AH6" i="2"/>
  <c r="AG6" i="2"/>
  <c r="AF6" i="2"/>
  <c r="AE6" i="2"/>
  <c r="AJ5" i="2"/>
  <c r="AI5" i="2"/>
  <c r="AH5" i="2"/>
  <c r="AG5" i="2"/>
  <c r="AF5" i="2"/>
  <c r="AE5" i="2"/>
  <c r="AJ3" i="2"/>
  <c r="AI3" i="2"/>
  <c r="AH3" i="2"/>
  <c r="AG3" i="2"/>
  <c r="AF3" i="2"/>
  <c r="AE3" i="2"/>
  <c r="AJ2" i="2"/>
  <c r="AI2" i="2"/>
  <c r="AH2" i="2"/>
  <c r="AG2" i="2"/>
  <c r="AF2" i="2"/>
  <c r="O20" i="2"/>
  <c r="K50" i="2"/>
  <c r="L69" i="2"/>
  <c r="L68" i="2"/>
  <c r="L67" i="2"/>
  <c r="L66" i="2"/>
  <c r="L61" i="2"/>
  <c r="L60" i="2"/>
  <c r="L59" i="2"/>
  <c r="L58" i="2"/>
  <c r="L53" i="2"/>
  <c r="L52" i="2"/>
  <c r="L51" i="2"/>
  <c r="L50" i="2"/>
  <c r="L73" i="2"/>
  <c r="K73" i="2"/>
  <c r="L72" i="2"/>
  <c r="K72" i="2"/>
  <c r="L71" i="2"/>
  <c r="K71" i="2"/>
  <c r="L70" i="2"/>
  <c r="K70" i="2"/>
  <c r="K69" i="2"/>
  <c r="K68" i="2"/>
  <c r="K67" i="2"/>
  <c r="K66" i="2"/>
  <c r="L65" i="2"/>
  <c r="K65" i="2"/>
  <c r="L64" i="2"/>
  <c r="K64" i="2"/>
  <c r="L63" i="2"/>
  <c r="K63" i="2"/>
  <c r="L62" i="2"/>
  <c r="K62" i="2"/>
  <c r="K61" i="2"/>
  <c r="K60" i="2"/>
  <c r="K59" i="2"/>
  <c r="K58" i="2"/>
  <c r="L57" i="2"/>
  <c r="K57" i="2"/>
  <c r="L56" i="2"/>
  <c r="K56" i="2"/>
  <c r="L55" i="2"/>
  <c r="K55" i="2"/>
  <c r="L54" i="2"/>
  <c r="K54" i="2"/>
  <c r="K53" i="2"/>
  <c r="K52" i="2"/>
  <c r="K51" i="2"/>
  <c r="D37" i="6"/>
  <c r="D36" i="6"/>
  <c r="D35" i="6"/>
  <c r="D34" i="6"/>
  <c r="M25" i="8"/>
  <c r="M24" i="8"/>
  <c r="N36" i="8" s="1"/>
  <c r="M23" i="8"/>
  <c r="M22" i="8"/>
  <c r="M21" i="8"/>
  <c r="M20" i="8"/>
  <c r="M19" i="8"/>
  <c r="N37" i="8" s="1"/>
  <c r="M18" i="8"/>
  <c r="N33" i="8" s="1"/>
  <c r="M17" i="8"/>
  <c r="M16" i="8"/>
  <c r="M15" i="8"/>
  <c r="M14" i="8"/>
  <c r="M13" i="8"/>
  <c r="M12" i="8"/>
  <c r="M11" i="8"/>
  <c r="M10" i="8"/>
  <c r="M9" i="8"/>
  <c r="M8" i="8"/>
  <c r="M36" i="8" s="1"/>
  <c r="M7" i="8"/>
  <c r="M34" i="8" s="1"/>
  <c r="M6" i="8"/>
  <c r="M33" i="8" s="1"/>
  <c r="M5" i="8"/>
  <c r="M4" i="8"/>
  <c r="M3" i="8"/>
  <c r="M30" i="8" s="1"/>
  <c r="M2" i="8"/>
  <c r="M29" i="8" s="1"/>
  <c r="E35" i="7"/>
  <c r="E36" i="7"/>
  <c r="G29" i="7"/>
  <c r="G30" i="7"/>
  <c r="R6" i="2"/>
  <c r="R11" i="2"/>
  <c r="X11" i="2"/>
  <c r="Y11" i="2"/>
  <c r="Z11" i="2"/>
  <c r="AA11" i="2"/>
  <c r="X12" i="2"/>
  <c r="Y12" i="2"/>
  <c r="Z12" i="2"/>
  <c r="AA12" i="2"/>
  <c r="W12" i="2"/>
  <c r="W9" i="2"/>
  <c r="W11" i="2"/>
  <c r="W8" i="2"/>
  <c r="P11" i="2"/>
  <c r="Q11" i="2"/>
  <c r="S11" i="2"/>
  <c r="P12" i="2"/>
  <c r="Q12" i="2"/>
  <c r="R12" i="2"/>
  <c r="S12" i="2"/>
  <c r="O12" i="2"/>
  <c r="O9" i="2"/>
  <c r="O11" i="2"/>
  <c r="O8" i="2"/>
  <c r="X5" i="2"/>
  <c r="Y5" i="2"/>
  <c r="Z5" i="2"/>
  <c r="AA5" i="2"/>
  <c r="X6" i="2"/>
  <c r="Y6" i="2"/>
  <c r="Z6" i="2"/>
  <c r="AA6" i="2"/>
  <c r="AB6" i="2"/>
  <c r="W6" i="2"/>
  <c r="W3" i="2"/>
  <c r="W5" i="2"/>
  <c r="W2" i="2"/>
  <c r="P5" i="2"/>
  <c r="Q5" i="2"/>
  <c r="S5" i="2"/>
  <c r="P6" i="2"/>
  <c r="Q6" i="2"/>
  <c r="S6" i="2"/>
  <c r="O6" i="2"/>
  <c r="O3" i="2"/>
  <c r="O5" i="2"/>
  <c r="O2" i="2"/>
  <c r="X8" i="2"/>
  <c r="Y8" i="2"/>
  <c r="Z8" i="2"/>
  <c r="AA8" i="2"/>
  <c r="X9" i="2"/>
  <c r="Y9" i="2"/>
  <c r="Z9" i="2"/>
  <c r="AA9" i="2"/>
  <c r="P8" i="2"/>
  <c r="Q8" i="2"/>
  <c r="S8" i="2"/>
  <c r="P9" i="2"/>
  <c r="Q9" i="2"/>
  <c r="R9" i="2"/>
  <c r="S9" i="2"/>
  <c r="X3" i="2"/>
  <c r="Y3" i="2"/>
  <c r="Z3" i="2"/>
  <c r="AA3" i="2"/>
  <c r="X2" i="2"/>
  <c r="Y2" i="2"/>
  <c r="Z2" i="2"/>
  <c r="AA2" i="2"/>
  <c r="O19" i="2"/>
  <c r="F29" i="7"/>
  <c r="F30" i="7"/>
  <c r="J3" i="8"/>
  <c r="J4" i="8"/>
  <c r="J5" i="8"/>
  <c r="J6" i="8"/>
  <c r="J36" i="8" s="1"/>
  <c r="J7" i="8"/>
  <c r="J34" i="8" s="1"/>
  <c r="J8" i="8"/>
  <c r="J9" i="8"/>
  <c r="J10" i="8"/>
  <c r="J11" i="8"/>
  <c r="J12" i="8"/>
  <c r="J13" i="8"/>
  <c r="J14" i="8"/>
  <c r="J15" i="8"/>
  <c r="J16" i="8"/>
  <c r="J17" i="8"/>
  <c r="J18" i="8"/>
  <c r="J19" i="8"/>
  <c r="K37" i="8" s="1"/>
  <c r="J20" i="8"/>
  <c r="J21" i="8"/>
  <c r="J22" i="8"/>
  <c r="K33" i="8" s="1"/>
  <c r="J23" i="8"/>
  <c r="J24" i="8"/>
  <c r="J25" i="8"/>
  <c r="J2" i="8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2" i="2"/>
  <c r="K3" i="2"/>
  <c r="K4" i="2"/>
  <c r="K5" i="2"/>
  <c r="K6" i="2"/>
  <c r="K7" i="2"/>
  <c r="T6" i="2" s="1"/>
  <c r="K8" i="2"/>
  <c r="K9" i="2"/>
  <c r="K10" i="2"/>
  <c r="K11" i="2"/>
  <c r="K12" i="2"/>
  <c r="K13" i="2"/>
  <c r="K14" i="2"/>
  <c r="T12" i="2" s="1"/>
  <c r="K15" i="2"/>
  <c r="K16" i="2"/>
  <c r="K17" i="2"/>
  <c r="K18" i="2"/>
  <c r="K19" i="2"/>
  <c r="K20" i="2"/>
  <c r="K21" i="2"/>
  <c r="K22" i="2"/>
  <c r="K23" i="2"/>
  <c r="K24" i="2"/>
  <c r="K25" i="2"/>
  <c r="K26" i="2"/>
  <c r="AB2" i="2" s="1"/>
  <c r="K27" i="2"/>
  <c r="AB3" i="2" s="1"/>
  <c r="K28" i="2"/>
  <c r="K29" i="2"/>
  <c r="K30" i="2"/>
  <c r="K31" i="2"/>
  <c r="K32" i="2"/>
  <c r="K33" i="2"/>
  <c r="K34" i="2"/>
  <c r="K35" i="2"/>
  <c r="K36" i="2"/>
  <c r="K37" i="2"/>
  <c r="K38" i="2"/>
  <c r="AB9" i="2" s="1"/>
  <c r="K39" i="2"/>
  <c r="AB12" i="2" s="1"/>
  <c r="K40" i="2"/>
  <c r="K41" i="2"/>
  <c r="K42" i="2"/>
  <c r="K43" i="2"/>
  <c r="K44" i="2"/>
  <c r="K45" i="2"/>
  <c r="K46" i="2"/>
  <c r="K47" i="2"/>
  <c r="K48" i="2"/>
  <c r="K49" i="2"/>
  <c r="K2" i="2"/>
  <c r="T11" i="2" s="1"/>
  <c r="Q2" i="2"/>
  <c r="P2" i="2"/>
  <c r="F29" i="6"/>
  <c r="F30" i="6"/>
  <c r="O18" i="2"/>
  <c r="P3" i="2"/>
  <c r="Q3" i="2"/>
  <c r="G3" i="8"/>
  <c r="G4" i="8"/>
  <c r="G5" i="8"/>
  <c r="G6" i="8"/>
  <c r="G36" i="8" s="1"/>
  <c r="G7" i="8"/>
  <c r="G3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" i="8"/>
  <c r="E34" i="7"/>
  <c r="E30" i="7"/>
  <c r="E29" i="7"/>
  <c r="E29" i="6"/>
  <c r="E30" i="6"/>
  <c r="E35" i="5"/>
  <c r="E34" i="5"/>
  <c r="F29" i="5"/>
  <c r="F30" i="5"/>
  <c r="D30" i="6"/>
  <c r="D29" i="6"/>
  <c r="E30" i="5"/>
  <c r="E29" i="5"/>
  <c r="K36" i="8" l="1"/>
  <c r="G29" i="8"/>
  <c r="J37" i="8"/>
  <c r="N34" i="8"/>
  <c r="P36" i="8"/>
  <c r="K34" i="8"/>
  <c r="M37" i="8"/>
  <c r="Q37" i="8"/>
  <c r="G33" i="8"/>
  <c r="J30" i="8"/>
  <c r="G30" i="8"/>
  <c r="J29" i="8"/>
  <c r="J33" i="8"/>
  <c r="H37" i="8"/>
  <c r="H33" i="8"/>
  <c r="AB11" i="2"/>
  <c r="T5" i="2"/>
  <c r="T8" i="2"/>
  <c r="AB5" i="2"/>
  <c r="AB8" i="2"/>
  <c r="T9" i="2"/>
  <c r="R8" i="2"/>
  <c r="R5" i="2"/>
  <c r="R3" i="2"/>
  <c r="R2" i="2"/>
  <c r="S2" i="2"/>
  <c r="T2" i="2"/>
  <c r="T3" i="2"/>
  <c r="S3" i="2"/>
  <c r="H36" i="8"/>
  <c r="H34" i="8"/>
  <c r="G3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tc={65AD956F-3F4F-418C-9DBD-B6D09C25EAA9}</author>
    <author>tc={5AA15BD8-8C95-4774-81F9-8B52BF7D8B70}</author>
    <author>tc={D9DC2B61-777A-4951-BBF4-59298B702910}</author>
    <author>tc={9019FA35-9F6C-4FEF-864D-4B3D10B293D5}</author>
    <author>tc={026A5EBB-5F9F-4B29-A091-794520DE7332}</author>
    <author>tc={2516C51C-FBD6-45C7-A5DA-FE0F56AD0BD8}</author>
    <author>tc={7C4D756C-82B0-4D19-A290-5E82F2FA72DC}</author>
    <author>IB</author>
  </authors>
  <commentList>
    <comment ref="E29" authorId="0" shapeId="0" xr:uid="{DB825AE4-F7B8-44E5-A547-86BDD3411ACE}">
      <text>
        <r>
          <rPr>
            <sz val="11"/>
            <color theme="1"/>
            <rFont val="Arial"/>
            <family val="2"/>
          </rPr>
          <t>======
ID#AAAAN3g_yg8
BP    (2021-08-13 11:07:25)
seguimos con 1 riego de 30'/dia</t>
        </r>
      </text>
    </comment>
    <comment ref="E33" authorId="0" shapeId="0" xr:uid="{2FAC8C7D-B73F-4E8A-AC5B-534DFA0C5F78}">
      <text>
        <r>
          <rPr>
            <sz val="11"/>
            <color theme="1"/>
            <rFont val="Arial"/>
            <family val="2"/>
          </rPr>
          <t>======
ID#AAAAN3g_ygs
BP    (2021-08-13 11:07:25)
Defoliaciones basales
Inicio de envero generalizado?</t>
        </r>
      </text>
    </comment>
    <comment ref="E38" authorId="0" shapeId="0" xr:uid="{FA69469E-C939-4B60-B424-5D0AAD4C124A}">
      <text>
        <r>
          <rPr>
            <sz val="11"/>
            <color theme="1"/>
            <rFont val="Arial"/>
            <family val="2"/>
          </rPr>
          <t>======
BP    (2021-08-13 11:07:25)
Hacemos dos pases con el LICOR (el primero a fotosíntesis máxima y el segundo cuando están ajustando gs)</t>
        </r>
      </text>
    </comment>
    <comment ref="E42" authorId="0" shapeId="0" xr:uid="{1C42047B-D2A2-4AC7-9AA0-E024D0FFB253}">
      <text>
        <r>
          <rPr>
            <sz val="11"/>
            <color theme="1"/>
            <rFont val="Arial"/>
            <family val="2"/>
          </rPr>
          <t>======
ID#AAAAN3g_ygs
BP    (2021-08-13 11:07:25)
Defoliaciones basales
Inicio de envero generalizado?</t>
        </r>
      </text>
    </comment>
    <comment ref="C44" authorId="1" shapeId="0" xr:uid="{65AD956F-3F4F-418C-9DBD-B6D09C25EA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Quizás 3 personas
Respuesta:
    Gabriela está el 21, necesito alguien para 22. Análisis en Campo el 23</t>
      </text>
    </comment>
    <comment ref="C45" authorId="2" shapeId="0" xr:uid="{5AA15BD8-8C95-4774-81F9-8B52BF7D8B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Quizás 3 personas
Respuesta:
    Gabriela está el 21, necesito alguien para 22. Análisis en Campo el 23</t>
      </text>
    </comment>
    <comment ref="E45" authorId="0" shapeId="0" xr:uid="{DFA771A8-22A2-41F7-984C-86BB2363B4B5}">
      <text>
        <r>
          <rPr>
            <sz val="11"/>
            <color theme="1"/>
            <rFont val="Arial"/>
            <family val="2"/>
          </rPr>
          <t>======
ID#AAAAN3g_ygs
BP    (2021-08-13 11:07:25)
Defoliaciones basales
Inicio de envero generalizado?</t>
        </r>
      </text>
    </comment>
    <comment ref="C51" authorId="3" shapeId="0" xr:uid="{D9DC2B61-777A-4951-BBF4-59298B702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Quizás 3 personas
Respuesta:
    Gabriela está el 21, necesito alguien para 22. Análisis en Campo el 23</t>
      </text>
    </comment>
    <comment ref="C52" authorId="4" shapeId="0" xr:uid="{9019FA35-9F6C-4FEF-864D-4B3D10B293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Quizás 3 personas
Respuesta:
    Gabriela está el 21, necesito alguien para 22. Análisis en Campo el 23</t>
      </text>
    </comment>
    <comment ref="E52" authorId="0" shapeId="0" xr:uid="{8BB24F76-582E-466F-8820-0401F4498030}">
      <text>
        <r>
          <rPr>
            <sz val="11"/>
            <color theme="1"/>
            <rFont val="Arial"/>
            <family val="2"/>
          </rPr>
          <t>======
ID#AAAAN3g_yhc
BP    (2021-08-13 11:07:25)
Aplicamos 4h de riego manual y programamos 2h/día</t>
        </r>
      </text>
    </comment>
    <comment ref="C56" authorId="5" shapeId="0" xr:uid="{026A5EBB-5F9F-4B29-A091-794520DE73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Cassandra No esta 29 ni 30</t>
      </text>
    </comment>
    <comment ref="C63" authorId="6" shapeId="0" xr:uid="{2516C51C-FBD6-45C7-A5DA-FE0F56AD0B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Cassandra No esta 29 ni 30</t>
      </text>
    </comment>
    <comment ref="E63" authorId="0" shapeId="0" xr:uid="{55AC9651-A0DF-4F13-87B3-18FC99B1F58B}">
      <text>
        <r>
          <rPr>
            <sz val="11"/>
            <color theme="1"/>
            <rFont val="Arial"/>
            <family val="2"/>
          </rPr>
          <t>Confirmar con Guillem que las muestras de las cepas (%humedad) eran de la producción total: efectivamente! Habría que descontar el peso fresco de la muestra de bayas para d13C</t>
        </r>
      </text>
    </comment>
    <comment ref="C75" authorId="7" shapeId="0" xr:uid="{7C4D756C-82B0-4D19-A290-5E82F2FA72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Lluvia de tormenta No se pudo medir</t>
      </text>
    </comment>
    <comment ref="C179" authorId="8" shapeId="0" xr:uid="{185B90E9-F6B4-42ED-928C-95DA4D300023}">
      <text>
        <r>
          <rPr>
            <b/>
            <sz val="9"/>
            <color indexed="81"/>
            <rFont val="Tahoma"/>
            <family val="2"/>
          </rPr>
          <t>IB:</t>
        </r>
        <r>
          <rPr>
            <sz val="9"/>
            <color indexed="81"/>
            <rFont val="Tahoma"/>
            <family val="2"/>
          </rPr>
          <t xml:space="preserve">
¿Sólo dos días es suficiente?</t>
        </r>
      </text>
    </comment>
    <comment ref="E186" authorId="8" shapeId="0" xr:uid="{DD3A7C81-D464-4E7C-8EA1-E104729EE070}">
      <text>
        <r>
          <rPr>
            <b/>
            <sz val="9"/>
            <color indexed="81"/>
            <rFont val="Tahoma"/>
            <family val="2"/>
          </rPr>
          <t>IB:</t>
        </r>
        <r>
          <rPr>
            <sz val="9"/>
            <color indexed="81"/>
            <rFont val="Tahoma"/>
            <family val="2"/>
          </rPr>
          <t xml:space="preserve">
160-160¿?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tc={13428301-2AAC-4337-B5F3-7F83939C203C}</author>
  </authors>
  <commentList>
    <comment ref="A22" authorId="0" shapeId="0" xr:uid="{13428301-2AAC-4337-B5F3-7F83939C20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linea no vale pero no se elimina para no joder lo demas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tc={50A7EBB0-930A-4F41-8B4F-CCABAD17407F}</author>
  </authors>
  <commentList>
    <comment ref="E1" authorId="0" shapeId="0" xr:uid="{50A7EBB0-930A-4F41-8B4F-CCABAD1740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+ las hojas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tc={0E08C0C7-2E59-46FA-89A7-1980499931F7}</author>
  </authors>
  <commentList>
    <comment ref="A22" authorId="0" shapeId="0" xr:uid="{0E08C0C7-2E59-46FA-89A7-1980499931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linea no vale pero no se elimina para no joder lo demas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tc={65AEBD28-16F8-4BF4-8177-31E1F1AC4658}</author>
  </authors>
  <commentList>
    <comment ref="E23" authorId="0" shapeId="0" xr:uid="{65AEBD28-16F8-4BF4-8177-31E1F1AC465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estaba medio muerta pero tenia agua en el sustrato como las otras.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tc={2443AD5D-99F5-4F80-869C-808E01A48071}</author>
    <author>tc={FE20B6FE-22F5-41EE-991A-AEFEF30D5A68}</author>
  </authors>
  <commentList>
    <comment ref="E9" authorId="0" shapeId="0" xr:uid="{2443AD5D-99F5-4F80-869C-808E01A480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hoja estaba colgando rota</t>
      </text>
    </comment>
    <comment ref="E23" authorId="1" shapeId="0" xr:uid="{FE20B6FE-22F5-41EE-991A-AEFEF30D5A6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estaba medio muerta pero tenia agua en el sustrato como las otras.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tc={EA91D744-0A9B-4698-9A3E-88B9518F7A27}</author>
    <author>tc={242CA790-82C2-4322-ACAF-5991E7065FD8}</author>
  </authors>
  <commentList>
    <comment ref="M1" authorId="0" shapeId="0" xr:uid="{EA91D744-0A9B-4698-9A3E-88B9518F7A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CRECIERON DESDE WS3 a R1</t>
      </text>
    </comment>
    <comment ref="P1" authorId="1" shapeId="0" xr:uid="{242CA790-82C2-4322-ACAF-5991E7065FD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CRECIERON DESDE WS3 a R2
</t>
      </text>
    </comment>
  </commentList>
</comments>
</file>

<file path=xl/sharedStrings.xml><?xml version="1.0" encoding="utf-8"?>
<sst xmlns="http://schemas.openxmlformats.org/spreadsheetml/2006/main" count="2045" uniqueCount="272">
  <si>
    <t>T-110R 20.1</t>
  </si>
  <si>
    <t>G-110R 20.1</t>
  </si>
  <si>
    <t>T-110R 19.1</t>
  </si>
  <si>
    <t>G-110R 19.1</t>
  </si>
  <si>
    <t>T-110R 18.1</t>
  </si>
  <si>
    <t>G-110R 18.1</t>
  </si>
  <si>
    <t>T-110R 17.1</t>
  </si>
  <si>
    <t>G-110R 17.1</t>
  </si>
  <si>
    <t>T-110R 16.1</t>
  </si>
  <si>
    <t>G-110R 16.1</t>
  </si>
  <si>
    <t>T-110R 15.1</t>
  </si>
  <si>
    <t>G-110R 15.1</t>
  </si>
  <si>
    <t>T-110R 14.1</t>
  </si>
  <si>
    <t>G-110R 14.1</t>
  </si>
  <si>
    <t>T-110R 13.1</t>
  </si>
  <si>
    <t>G-110R 13.1</t>
  </si>
  <si>
    <t>T-110R 12.1</t>
  </si>
  <si>
    <t>G-110R 12.1</t>
  </si>
  <si>
    <t>T-110R 11.1</t>
  </si>
  <si>
    <t>G-110R 11.1</t>
  </si>
  <si>
    <t>T-110R 10.1</t>
  </si>
  <si>
    <t>G-110R 10.1</t>
  </si>
  <si>
    <t>T-110R 9.1</t>
  </si>
  <si>
    <t>G-110R 9.1</t>
  </si>
  <si>
    <t>T-110R 8.1</t>
  </si>
  <si>
    <t>G-110R 8.1</t>
  </si>
  <si>
    <t>T-110R 7.1</t>
  </si>
  <si>
    <t>G-110R 7.1</t>
  </si>
  <si>
    <t>T-110R 6.1</t>
  </si>
  <si>
    <t>G-110R 6.1</t>
  </si>
  <si>
    <t>T-110R 5.1</t>
  </si>
  <si>
    <t>G-110R 5.1</t>
  </si>
  <si>
    <t>T-110R 4.1</t>
  </si>
  <si>
    <t>G-110R 4.1</t>
  </si>
  <si>
    <t>T-110R 3.1</t>
  </si>
  <si>
    <t>G-110R 3.1</t>
  </si>
  <si>
    <t>T-110R 2.1</t>
  </si>
  <si>
    <t>G-110R 2.1</t>
  </si>
  <si>
    <t>T-110R 1.1</t>
  </si>
  <si>
    <t>G-110R 1.1</t>
  </si>
  <si>
    <t>T-110R 20.2</t>
  </si>
  <si>
    <t>G-110R 20.2</t>
  </si>
  <si>
    <t>T-110R 19.2</t>
  </si>
  <si>
    <t>G-110R 19.2</t>
  </si>
  <si>
    <t>T-110R 18.2</t>
  </si>
  <si>
    <t>G-110R 18.2</t>
  </si>
  <si>
    <t>T-110R 17.2</t>
  </si>
  <si>
    <t>G-110R 17.2</t>
  </si>
  <si>
    <t>T-110R 16.2</t>
  </si>
  <si>
    <t>G-110R 16.2</t>
  </si>
  <si>
    <t>T-110R 15.2</t>
  </si>
  <si>
    <t>G-110R 15.2</t>
  </si>
  <si>
    <t>T-110R 14.2</t>
  </si>
  <si>
    <t>G-110R 14.2</t>
  </si>
  <si>
    <t>T-110R 13.2</t>
  </si>
  <si>
    <t>G-110R 13.2</t>
  </si>
  <si>
    <t>T-110R 12.2</t>
  </si>
  <si>
    <t>G-110R 12.2</t>
  </si>
  <si>
    <t>T-110R 11.2</t>
  </si>
  <si>
    <t>G-110R 11.2</t>
  </si>
  <si>
    <t>T-110R 10.2</t>
  </si>
  <si>
    <t>G-110R 10.2</t>
  </si>
  <si>
    <t>T-110R 9.2</t>
  </si>
  <si>
    <t>G-110R 9.2</t>
  </si>
  <si>
    <t>T-110R 8.2</t>
  </si>
  <si>
    <t>G-110R 8.2</t>
  </si>
  <si>
    <t>T-110R 7.2</t>
  </si>
  <si>
    <t>G-110R 7.2</t>
  </si>
  <si>
    <t>T-110R 6.2</t>
  </si>
  <si>
    <t>G-110R 6.2</t>
  </si>
  <si>
    <t>T-110R 5.2</t>
  </si>
  <si>
    <t>G-110R 5.2</t>
  </si>
  <si>
    <t>T-110R 4.2</t>
  </si>
  <si>
    <t>G-110R 4.2</t>
  </si>
  <si>
    <t>T-110R 3.2</t>
  </si>
  <si>
    <t>G-110R 3.2</t>
  </si>
  <si>
    <t>T-110R 2.2</t>
  </si>
  <si>
    <t>G-110R 2.2</t>
  </si>
  <si>
    <t>T-110R 1.2</t>
  </si>
  <si>
    <t>G-110R 1.2</t>
  </si>
  <si>
    <t>EDIFICIO MÁSTER</t>
  </si>
  <si>
    <t>RIEGOS</t>
  </si>
  <si>
    <t>B</t>
  </si>
  <si>
    <t>O</t>
  </si>
  <si>
    <t>A</t>
  </si>
  <si>
    <t>L</t>
  </si>
  <si>
    <t>E</t>
  </si>
  <si>
    <t>S</t>
  </si>
  <si>
    <t>N</t>
  </si>
  <si>
    <t>D</t>
  </si>
  <si>
    <t>R</t>
  </si>
  <si>
    <t>U</t>
  </si>
  <si>
    <t>Fondo</t>
  </si>
  <si>
    <t>Campo Early WS</t>
  </si>
  <si>
    <t>Campo WW</t>
  </si>
  <si>
    <t>Laboratorio Early WS</t>
  </si>
  <si>
    <t>Laboratorio WW</t>
  </si>
  <si>
    <t>Fecha</t>
  </si>
  <si>
    <t>Otros Articulos</t>
  </si>
  <si>
    <t>Embolismo campo</t>
  </si>
  <si>
    <t>Embolismo lab</t>
  </si>
  <si>
    <t>Congresos</t>
  </si>
  <si>
    <t>Hecho</t>
  </si>
  <si>
    <t>Almidón Leaves WW2 Weight (Cass) + Medida + Revisión Almidón + Mail a Ana Jimenez (UCA) (Material y Método)</t>
  </si>
  <si>
    <t xml:space="preserve">Preparación Cronograma + Psicrómetros + Hipólito a las 09:00 Invernadero </t>
  </si>
  <si>
    <t>Revisión Almidón</t>
  </si>
  <si>
    <t>Psicrómetros + Puesta a punto Cavicams nuevas</t>
  </si>
  <si>
    <t>Revisión Datos Almidón | Almidón Leaves WW2 (Cass)</t>
  </si>
  <si>
    <t>Marcar en Campo las que NO se miden (Fila Par)</t>
  </si>
  <si>
    <t>Revisión Datos Almidón</t>
  </si>
  <si>
    <t>Viaje a Valencia</t>
  </si>
  <si>
    <t>Termografía (fotos) + Portainjertos 21-22</t>
  </si>
  <si>
    <t>Memoria Estancia Breve + Facturas</t>
  </si>
  <si>
    <t>Vuelta de Valencia</t>
  </si>
  <si>
    <t>Finalizar Portainjertos 21-22? NO  pero apuntar todo bien y dejarlo explicado cuando lo retome</t>
  </si>
  <si>
    <t>Puesta Psicrómetros de nuevo + Potencial</t>
  </si>
  <si>
    <t>Entutorar?</t>
  </si>
  <si>
    <t>Viaje a Jerez</t>
  </si>
  <si>
    <t>Vuelta de Jerez</t>
  </si>
  <si>
    <t xml:space="preserve"> </t>
  </si>
  <si>
    <t>Preparación Presentación Valencia (Garnachas &amp; Monastrelles)</t>
  </si>
  <si>
    <t>Coger las hojas para Gmin (6G y 6T) + Watering</t>
  </si>
  <si>
    <t>Curvas P-V (n=12 con Cassandra) + Gmin (n=12)? Need Gabriela + Coger nuevas hojas Gmin (6Ty 6G)</t>
  </si>
  <si>
    <t>Curvas P-V (n=12 con Cassandra) + Gmin (n=12)? Need Gabriela</t>
  </si>
  <si>
    <t>Estrés Moderado (50% de riego)</t>
  </si>
  <si>
    <t>Medidas de Potencial (1 cada hora)</t>
  </si>
  <si>
    <t>Second Cavicams (n=4) Todas WW</t>
  </si>
  <si>
    <t>Riego 100%</t>
  </si>
  <si>
    <t>Third Cavicams (n=4) 3 WS 1 WW</t>
  </si>
  <si>
    <t>Medición WS3</t>
  </si>
  <si>
    <t>Medir R1 (tras 3 días)</t>
  </si>
  <si>
    <t>Sixth Cavicams (n=4) Mitad 3 WS y 1 WW</t>
  </si>
  <si>
    <t>Viaje a Geissenheim</t>
  </si>
  <si>
    <t>Vuelta de Geissenheim</t>
  </si>
  <si>
    <t>Visita Mama y Papa</t>
  </si>
  <si>
    <t>Estrés severo (Quitar el riego y estar encima)</t>
  </si>
  <si>
    <t>Preparación Póster Geissenheim</t>
  </si>
  <si>
    <t>Visita a Rancho de la Merced y UCA Puerto Real y Explicación del Método de la Gmin</t>
  </si>
  <si>
    <t xml:space="preserve">Protocolo Gmin Preparado </t>
  </si>
  <si>
    <t>Repaso preparación Protocolo Gmin Jerez (Previa recogida, Medida, Escáner, Excel, Estomas?)</t>
  </si>
  <si>
    <t>Fertirriego</t>
  </si>
  <si>
    <t>Viaje a Napoles</t>
  </si>
  <si>
    <t>Vuelta de Napoles</t>
  </si>
  <si>
    <t>*Las plantas con el fondo blanco NO se miden</t>
  </si>
  <si>
    <t>Elegir las plantas que vamos a medir (Dejamos macetas "guarda" sin medir) y marcarlas con la cinta de entutorar de colores. Además marcar bien los límites de los diferentes tratamientos</t>
  </si>
  <si>
    <t>Abono a mano y aumento tiempo de Riego a 1 hora (2L) antes estaba a 1L (30mins)</t>
  </si>
  <si>
    <t>Medición WS3 (P12 recogido en embolismo) / Bobales WS3 Ypd, Crec, Nº hojas, Licor-6400, Ystem</t>
  </si>
  <si>
    <t>Medir WS (li-600, Ystem, como seguimiento) /Bobales WS1 Ypd, Crec, Nº hojas, Licor-6400, Ystem</t>
  </si>
  <si>
    <t>Medir WW Li-600 y Ystem / Bobales WW Ypd, Crec, Nº hojas, Licor-6400, Ystem</t>
  </si>
  <si>
    <t>Riego 100% Gmin after WS Curvas P-V</t>
  </si>
  <si>
    <t>Fifth Cavicams (n=4) 01 am Todas WW</t>
  </si>
  <si>
    <t>FirstCavicams (n=4) Todas WW</t>
  </si>
  <si>
    <t xml:space="preserve">Riego 100% </t>
  </si>
  <si>
    <t>Estrés Moderado (50% de riego) Marcar hojas</t>
  </si>
  <si>
    <t>Garnacha</t>
  </si>
  <si>
    <t>Tempranillo</t>
  </si>
  <si>
    <t>G-110R</t>
  </si>
  <si>
    <t>T-110R</t>
  </si>
  <si>
    <t>R-110R</t>
  </si>
  <si>
    <t>Variedad</t>
  </si>
  <si>
    <t>Genotipo</t>
  </si>
  <si>
    <t>Código</t>
  </si>
  <si>
    <t>7.1</t>
  </si>
  <si>
    <t>8.1</t>
  </si>
  <si>
    <t>9.1</t>
  </si>
  <si>
    <t>12.1</t>
  </si>
  <si>
    <t>13.1</t>
  </si>
  <si>
    <t>14.1</t>
  </si>
  <si>
    <t>7.2</t>
  </si>
  <si>
    <t>8.2</t>
  </si>
  <si>
    <t>9.2</t>
  </si>
  <si>
    <t>12.2</t>
  </si>
  <si>
    <t>13.2</t>
  </si>
  <si>
    <t>14.2</t>
  </si>
  <si>
    <t xml:space="preserve">WW1 gs </t>
  </si>
  <si>
    <t>WW1 Ymd</t>
  </si>
  <si>
    <t>WW1 Ymd (Mpa)</t>
  </si>
  <si>
    <t>El 2 de Julio se movieron las plantas de 17.1 a 19.1 a los huecos que dejaron las plantas 2.2 a 4.2 de cavitación ya  que la linea derecha fue la linea de riego con estrés moderado previo</t>
  </si>
  <si>
    <t>AVISO</t>
  </si>
  <si>
    <t>Early WS</t>
  </si>
  <si>
    <t>WW</t>
  </si>
  <si>
    <t>WW gs (Li-600)</t>
  </si>
  <si>
    <t>WS gs (Li-600)</t>
  </si>
  <si>
    <t>WS gs</t>
  </si>
  <si>
    <t>Tiempos</t>
  </si>
  <si>
    <t>WS</t>
  </si>
  <si>
    <t>WS Moderado</t>
  </si>
  <si>
    <t>WS Ymd (Mpa)</t>
  </si>
  <si>
    <t>WS Ymd</t>
  </si>
  <si>
    <t>WW2 Ymd (Mpa)</t>
  </si>
  <si>
    <t>Medir WW2 (li-6400 + Ypd + Ystem)</t>
  </si>
  <si>
    <t>Medir Bobales WS2 Ypd, Crec, Nº hojas, Licor-6400, Ystem</t>
  </si>
  <si>
    <t xml:space="preserve">Medir R2 (tras 10 días) </t>
  </si>
  <si>
    <t>Medir R1 (tras 3 días) / Ypd, Crec, Nº hojas, Licor-6400, Ystem | Bobales R Ypd, Crec, Nº hojas, Licor-6400, Ystem</t>
  </si>
  <si>
    <t>Cuartas Cavicams (n=4) 01 am Todas WW</t>
  </si>
  <si>
    <t>WW2 Ypd (Mpa)</t>
  </si>
  <si>
    <t>WSevero</t>
  </si>
  <si>
    <t>R1</t>
  </si>
  <si>
    <t>R2</t>
  </si>
  <si>
    <t>WW2</t>
  </si>
  <si>
    <t>WW2 Ymd</t>
  </si>
  <si>
    <t>WW2 S1</t>
  </si>
  <si>
    <t>WW2 S2</t>
  </si>
  <si>
    <t>WW2 Total</t>
  </si>
  <si>
    <t>Photo</t>
  </si>
  <si>
    <t>Cond</t>
  </si>
  <si>
    <t>Fo'</t>
  </si>
  <si>
    <t>VpdL</t>
  </si>
  <si>
    <t>Trmmol</t>
  </si>
  <si>
    <t>Momento</t>
  </si>
  <si>
    <t>WUEi</t>
  </si>
  <si>
    <t>WUEs</t>
  </si>
  <si>
    <t>MEDIAS</t>
  </si>
  <si>
    <t>SD ERRORS</t>
  </si>
  <si>
    <t>WS severo</t>
  </si>
  <si>
    <t>WSsevero</t>
  </si>
  <si>
    <t>error</t>
  </si>
  <si>
    <t>Control</t>
  </si>
  <si>
    <t>Early WS + Drought</t>
  </si>
  <si>
    <t>Fv'</t>
  </si>
  <si>
    <t>WS severo Ymd (Mpa)</t>
  </si>
  <si>
    <t>WS3</t>
  </si>
  <si>
    <t>R1 Ypd (Mpa)</t>
  </si>
  <si>
    <t>WS Severo Ypd (Mpa)</t>
  </si>
  <si>
    <t>R1 Total</t>
  </si>
  <si>
    <t>WS severo Total</t>
  </si>
  <si>
    <t>R1 Ypd</t>
  </si>
  <si>
    <t>WS Ypd</t>
  </si>
  <si>
    <t>WW2 Ypd</t>
  </si>
  <si>
    <t>R1 Ymd (Mpa)</t>
  </si>
  <si>
    <t>Eigth Cavicams (n=4) Mitad 3 WW y 1 WS (3T y 1G)</t>
  </si>
  <si>
    <t>Seventh Cavicams (n=4) Mitad 3 WS y 1 WW (3G y 1T)</t>
  </si>
  <si>
    <t>Valeria Fijadores + Eppendorf 2ml Muestreo Biomasa</t>
  </si>
  <si>
    <t>Valeria Deshidratación !!!! Y la semana que viene</t>
  </si>
  <si>
    <t>R2 Ypd (Mpa)</t>
  </si>
  <si>
    <t>R2 Ypd</t>
  </si>
  <si>
    <t>R2 Total</t>
  </si>
  <si>
    <t>Nineth Cavicams sólo Hoja (n=4) Mitad WW y WS (2T y 2G)</t>
  </si>
  <si>
    <t xml:space="preserve">Viaje Serbia </t>
  </si>
  <si>
    <t>Viaje Bosnia</t>
  </si>
  <si>
    <t>R2 Ymd (Mpa)</t>
  </si>
  <si>
    <t>Peso fresco Sarmientos</t>
  </si>
  <si>
    <t>Peso fresco Portainjerto</t>
  </si>
  <si>
    <t>Peso total aéreo</t>
  </si>
  <si>
    <t>Peso fresco Hojas</t>
  </si>
  <si>
    <t>Peso fresco Sarmiento</t>
  </si>
  <si>
    <t>Peso seco Hojas</t>
  </si>
  <si>
    <t>Peso seco Sarmiento</t>
  </si>
  <si>
    <t>Peso seco Portainjertos</t>
  </si>
  <si>
    <t>% reducción Hojas</t>
  </si>
  <si>
    <t>% reducción Sarmiento</t>
  </si>
  <si>
    <t>% reducción Portainjerto</t>
  </si>
  <si>
    <t xml:space="preserve">Biomasa (Cortes Hoja, Peciolo, TalloV, Rootstock) </t>
  </si>
  <si>
    <t>Biomasa (WinRhizo y Raíz (1mm de grosor (fina) y 3mm de grosor (gruesa))</t>
  </si>
  <si>
    <t>Peso fresco raíz</t>
  </si>
  <si>
    <t>Peso fresco Raíz</t>
  </si>
  <si>
    <t>Peso seco Raíz</t>
  </si>
  <si>
    <t>% reducción Raíz</t>
  </si>
  <si>
    <t>Tratamiento</t>
  </si>
  <si>
    <t>Early WW</t>
  </si>
  <si>
    <t>Early Stress</t>
  </si>
  <si>
    <t>Treatment</t>
  </si>
  <si>
    <t>CoBio</t>
  </si>
  <si>
    <t>AN</t>
  </si>
  <si>
    <t>gs</t>
  </si>
  <si>
    <t>Fv</t>
  </si>
  <si>
    <t>Ypd</t>
  </si>
  <si>
    <t>Ymd</t>
  </si>
  <si>
    <t>DifY (Ypd-Ymd)</t>
  </si>
  <si>
    <t>Kroot</t>
  </si>
  <si>
    <t>BioPoda</t>
  </si>
  <si>
    <t>BioRaiz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</si>
</sst>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mbria"/>
      <family val="2"/>
      <scheme val="major"/>
    </font>
    <font>
      <sz val="11"/>
      <color rgb="FF00000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2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8" tint="0.79998168889431442"/>
        <bgColor rgb="FF92D050"/>
      </patternFill>
    </fill>
    <fill>
      <patternFill patternType="solid">
        <fgColor theme="5" tint="0.59999389629810485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rgb="FF92D05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rgb="FF92D050"/>
      </patternFill>
    </fill>
    <fill>
      <patternFill patternType="solid">
        <fgColor theme="6" tint="-0.499984740745262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164" fontId="5" fillId="0" borderId="0" xfId="0" applyNumberFormat="1" applyFont="1"/>
    <xf numFmtId="0" fontId="2" fillId="0" borderId="14" xfId="0" applyFont="1" applyBorder="1"/>
    <xf numFmtId="0" fontId="2" fillId="0" borderId="0" xfId="0" applyFont="1"/>
    <xf numFmtId="0" fontId="0" fillId="0" borderId="14" xfId="0" applyBorder="1"/>
    <xf numFmtId="0" fontId="4" fillId="0" borderId="14" xfId="0" applyFont="1" applyBorder="1"/>
    <xf numFmtId="0" fontId="2" fillId="7" borderId="14" xfId="0" applyFont="1" applyFill="1" applyBorder="1"/>
    <xf numFmtId="0" fontId="2" fillId="3" borderId="14" xfId="0" applyFont="1" applyFill="1" applyBorder="1"/>
    <xf numFmtId="0" fontId="2" fillId="8" borderId="14" xfId="0" applyFont="1" applyFill="1" applyBorder="1"/>
    <xf numFmtId="0" fontId="2" fillId="9" borderId="14" xfId="0" applyFont="1" applyFill="1" applyBorder="1"/>
    <xf numFmtId="0" fontId="2" fillId="10" borderId="14" xfId="0" applyFont="1" applyFill="1" applyBorder="1"/>
    <xf numFmtId="0" fontId="2" fillId="11" borderId="14" xfId="0" applyFont="1" applyFill="1" applyBorder="1"/>
    <xf numFmtId="0" fontId="2" fillId="12" borderId="14" xfId="0" applyFont="1" applyFill="1" applyBorder="1"/>
    <xf numFmtId="0" fontId="6" fillId="13" borderId="14" xfId="0" applyFont="1" applyFill="1" applyBorder="1"/>
    <xf numFmtId="0" fontId="0" fillId="13" borderId="14" xfId="0" applyFill="1" applyBorder="1"/>
    <xf numFmtId="0" fontId="2" fillId="13" borderId="14" xfId="0" applyFont="1" applyFill="1" applyBorder="1"/>
    <xf numFmtId="0" fontId="7" fillId="0" borderId="14" xfId="0" applyFont="1" applyBorder="1"/>
    <xf numFmtId="0" fontId="7" fillId="0" borderId="0" xfId="0" applyFont="1"/>
    <xf numFmtId="0" fontId="8" fillId="0" borderId="14" xfId="0" applyFont="1" applyBorder="1"/>
    <xf numFmtId="14" fontId="5" fillId="0" borderId="0" xfId="0" applyNumberFormat="1" applyFont="1"/>
    <xf numFmtId="0" fontId="5" fillId="0" borderId="0" xfId="0" applyFont="1"/>
    <xf numFmtId="0" fontId="2" fillId="14" borderId="14" xfId="0" applyFont="1" applyFill="1" applyBorder="1"/>
    <xf numFmtId="0" fontId="4" fillId="14" borderId="14" xfId="0" applyFont="1" applyFill="1" applyBorder="1"/>
    <xf numFmtId="164" fontId="5" fillId="15" borderId="0" xfId="0" applyNumberFormat="1" applyFont="1" applyFill="1"/>
    <xf numFmtId="0" fontId="2" fillId="15" borderId="14" xfId="0" applyFont="1" applyFill="1" applyBorder="1"/>
    <xf numFmtId="0" fontId="2" fillId="16" borderId="14" xfId="0" applyFont="1" applyFill="1" applyBorder="1"/>
    <xf numFmtId="0" fontId="0" fillId="15" borderId="0" xfId="0" applyFill="1"/>
    <xf numFmtId="0" fontId="0" fillId="15" borderId="14" xfId="0" applyFill="1" applyBorder="1"/>
    <xf numFmtId="0" fontId="2" fillId="15" borderId="0" xfId="0" applyFont="1" applyFill="1"/>
    <xf numFmtId="0" fontId="2" fillId="17" borderId="0" xfId="0" applyFont="1" applyFill="1"/>
    <xf numFmtId="0" fontId="4" fillId="0" borderId="15" xfId="0" applyFont="1" applyBorder="1" applyAlignment="1">
      <alignment horizontal="center"/>
    </xf>
    <xf numFmtId="0" fontId="2" fillId="0" borderId="16" xfId="0" applyFont="1" applyBorder="1"/>
    <xf numFmtId="0" fontId="2" fillId="14" borderId="16" xfId="0" applyFont="1" applyFill="1" applyBorder="1"/>
    <xf numFmtId="0" fontId="0" fillId="0" borderId="16" xfId="0" applyBorder="1"/>
    <xf numFmtId="0" fontId="2" fillId="15" borderId="16" xfId="0" applyFont="1" applyFill="1" applyBorder="1"/>
    <xf numFmtId="0" fontId="2" fillId="18" borderId="16" xfId="0" applyFont="1" applyFill="1" applyBorder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9" borderId="0" xfId="0" applyFill="1"/>
    <xf numFmtId="0" fontId="0" fillId="23" borderId="14" xfId="0" applyFill="1" applyBorder="1"/>
    <xf numFmtId="0" fontId="0" fillId="0" borderId="17" xfId="0" applyBorder="1"/>
    <xf numFmtId="0" fontId="0" fillId="15" borderId="17" xfId="0" applyFill="1" applyBorder="1"/>
    <xf numFmtId="0" fontId="2" fillId="14" borderId="0" xfId="0" applyFont="1" applyFill="1"/>
    <xf numFmtId="0" fontId="4" fillId="6" borderId="32" xfId="0" applyFont="1" applyFill="1" applyBorder="1" applyAlignment="1">
      <alignment horizontal="center"/>
    </xf>
    <xf numFmtId="0" fontId="2" fillId="0" borderId="17" xfId="0" applyFont="1" applyBorder="1"/>
    <xf numFmtId="0" fontId="2" fillId="15" borderId="17" xfId="0" applyFont="1" applyFill="1" applyBorder="1"/>
    <xf numFmtId="0" fontId="2" fillId="17" borderId="17" xfId="0" applyFont="1" applyFill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15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" fillId="18" borderId="0" xfId="0" applyFont="1" applyFill="1"/>
    <xf numFmtId="0" fontId="0" fillId="0" borderId="0" xfId="0" applyProtection="1">
      <protection locked="0"/>
    </xf>
    <xf numFmtId="2" fontId="0" fillId="0" borderId="0" xfId="0" applyNumberFormat="1" applyAlignment="1">
      <alignment horizontal="center"/>
    </xf>
    <xf numFmtId="0" fontId="0" fillId="24" borderId="0" xfId="0" applyFill="1"/>
    <xf numFmtId="2" fontId="0" fillId="0" borderId="0" xfId="0" applyNumberFormat="1"/>
    <xf numFmtId="0" fontId="0" fillId="0" borderId="15" xfId="0" applyBorder="1"/>
    <xf numFmtId="0" fontId="0" fillId="0" borderId="38" xfId="0" applyBorder="1" applyAlignment="1">
      <alignment horizontal="center"/>
    </xf>
    <xf numFmtId="2" fontId="0" fillId="0" borderId="38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33" xfId="0" applyBorder="1"/>
    <xf numFmtId="0" fontId="0" fillId="0" borderId="39" xfId="0" applyBorder="1" applyAlignment="1">
      <alignment horizontal="center"/>
    </xf>
    <xf numFmtId="2" fontId="0" fillId="0" borderId="39" xfId="0" applyNumberForma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24" borderId="16" xfId="0" applyFill="1" applyBorder="1"/>
    <xf numFmtId="0" fontId="0" fillId="24" borderId="0" xfId="0" applyFill="1" applyAlignment="1">
      <alignment horizontal="center"/>
    </xf>
    <xf numFmtId="2" fontId="0" fillId="24" borderId="0" xfId="0" applyNumberFormat="1" applyFill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25" borderId="37" xfId="0" applyFill="1" applyBorder="1" applyAlignment="1">
      <alignment horizontal="center"/>
    </xf>
    <xf numFmtId="0" fontId="0" fillId="0" borderId="41" xfId="0" applyBorder="1"/>
    <xf numFmtId="0" fontId="0" fillId="0" borderId="14" xfId="0" applyBorder="1" applyAlignment="1">
      <alignment horizont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0" fillId="0" borderId="38" xfId="0" applyBorder="1" applyAlignment="1" applyProtection="1">
      <alignment horizontal="center"/>
      <protection locked="0"/>
    </xf>
    <xf numFmtId="0" fontId="0" fillId="0" borderId="32" xfId="0" applyBorder="1" applyAlignment="1">
      <alignment horizontal="center"/>
    </xf>
    <xf numFmtId="2" fontId="0" fillId="0" borderId="17" xfId="0" applyNumberFormat="1" applyBorder="1"/>
    <xf numFmtId="0" fontId="0" fillId="0" borderId="44" xfId="0" applyBorder="1"/>
    <xf numFmtId="2" fontId="0" fillId="0" borderId="39" xfId="0" applyNumberFormat="1" applyBorder="1"/>
    <xf numFmtId="2" fontId="0" fillId="0" borderId="40" xfId="0" applyNumberFormat="1" applyBorder="1"/>
    <xf numFmtId="0" fontId="0" fillId="0" borderId="39" xfId="0" applyBorder="1"/>
    <xf numFmtId="0" fontId="0" fillId="26" borderId="37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14" borderId="14" xfId="0" applyFill="1" applyBorder="1"/>
    <xf numFmtId="0" fontId="0" fillId="0" borderId="38" xfId="0" applyBorder="1"/>
    <xf numFmtId="2" fontId="0" fillId="0" borderId="32" xfId="0" applyNumberFormat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2" fontId="0" fillId="0" borderId="38" xfId="0" applyNumberFormat="1" applyBorder="1"/>
    <xf numFmtId="0" fontId="0" fillId="27" borderId="0" xfId="0" applyFill="1"/>
    <xf numFmtId="0" fontId="0" fillId="28" borderId="0" xfId="0" applyFill="1"/>
    <xf numFmtId="0" fontId="11" fillId="0" borderId="0" xfId="0" applyFont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19" borderId="28" xfId="0" applyFont="1" applyFill="1" applyBorder="1" applyAlignment="1">
      <alignment horizontal="center"/>
    </xf>
    <xf numFmtId="0" fontId="3" fillId="19" borderId="21" xfId="0" applyFont="1" applyFill="1" applyBorder="1" applyAlignment="1">
      <alignment horizontal="center"/>
    </xf>
    <xf numFmtId="0" fontId="3" fillId="19" borderId="27" xfId="0" applyFont="1" applyFill="1" applyBorder="1" applyAlignment="1">
      <alignment horizontal="center"/>
    </xf>
    <xf numFmtId="0" fontId="3" fillId="19" borderId="12" xfId="0" applyFont="1" applyFill="1" applyBorder="1" applyAlignment="1">
      <alignment horizontal="center"/>
    </xf>
    <xf numFmtId="0" fontId="3" fillId="20" borderId="5" xfId="0" applyFont="1" applyFill="1" applyBorder="1" applyAlignment="1">
      <alignment horizontal="center"/>
    </xf>
    <xf numFmtId="0" fontId="3" fillId="20" borderId="7" xfId="0" applyFont="1" applyFill="1" applyBorder="1" applyAlignment="1">
      <alignment horizontal="center"/>
    </xf>
    <xf numFmtId="0" fontId="3" fillId="20" borderId="8" xfId="0" applyFont="1" applyFill="1" applyBorder="1" applyAlignment="1">
      <alignment horizontal="center"/>
    </xf>
    <xf numFmtId="0" fontId="3" fillId="20" borderId="9" xfId="0" applyFont="1" applyFill="1" applyBorder="1" applyAlignment="1">
      <alignment horizontal="center"/>
    </xf>
    <xf numFmtId="0" fontId="3" fillId="20" borderId="10" xfId="0" applyFont="1" applyFill="1" applyBorder="1" applyAlignment="1">
      <alignment horizontal="center"/>
    </xf>
    <xf numFmtId="0" fontId="3" fillId="20" borderId="12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0" fontId="3" fillId="19" borderId="24" xfId="0" applyFont="1" applyFill="1" applyBorder="1" applyAlignment="1">
      <alignment horizontal="center"/>
    </xf>
    <xf numFmtId="0" fontId="3" fillId="20" borderId="25" xfId="0" applyFont="1" applyFill="1" applyBorder="1" applyAlignment="1">
      <alignment horizontal="center"/>
    </xf>
    <xf numFmtId="0" fontId="3" fillId="20" borderId="26" xfId="0" applyFont="1" applyFill="1" applyBorder="1" applyAlignment="1">
      <alignment horizontal="center"/>
    </xf>
    <xf numFmtId="0" fontId="3" fillId="20" borderId="27" xfId="0" applyFont="1" applyFill="1" applyBorder="1" applyAlignment="1">
      <alignment horizontal="center"/>
    </xf>
    <xf numFmtId="0" fontId="3" fillId="19" borderId="19" xfId="0" applyFont="1" applyFill="1" applyBorder="1" applyAlignment="1">
      <alignment horizontal="center"/>
    </xf>
    <xf numFmtId="0" fontId="3" fillId="19" borderId="20" xfId="0" applyFont="1" applyFill="1" applyBorder="1" applyAlignment="1">
      <alignment horizontal="center"/>
    </xf>
    <xf numFmtId="0" fontId="3" fillId="19" borderId="31" xfId="0" applyFont="1" applyFill="1" applyBorder="1" applyAlignment="1">
      <alignment horizontal="center"/>
    </xf>
    <xf numFmtId="0" fontId="3" fillId="22" borderId="8" xfId="0" applyFont="1" applyFill="1" applyBorder="1" applyAlignment="1">
      <alignment horizontal="center"/>
    </xf>
    <xf numFmtId="0" fontId="3" fillId="22" borderId="18" xfId="0" applyFont="1" applyFill="1" applyBorder="1" applyAlignment="1">
      <alignment horizontal="center"/>
    </xf>
    <xf numFmtId="0" fontId="3" fillId="21" borderId="8" xfId="0" applyFont="1" applyFill="1" applyBorder="1" applyAlignment="1">
      <alignment horizontal="center"/>
    </xf>
    <xf numFmtId="0" fontId="3" fillId="21" borderId="9" xfId="0" applyFont="1" applyFill="1" applyBorder="1" applyAlignment="1">
      <alignment horizontal="center"/>
    </xf>
    <xf numFmtId="0" fontId="3" fillId="22" borderId="10" xfId="0" applyFont="1" applyFill="1" applyBorder="1" applyAlignment="1">
      <alignment horizontal="center"/>
    </xf>
    <xf numFmtId="0" fontId="3" fillId="22" borderId="23" xfId="0" applyFont="1" applyFill="1" applyBorder="1" applyAlignment="1">
      <alignment horizontal="center"/>
    </xf>
    <xf numFmtId="0" fontId="3" fillId="21" borderId="10" xfId="0" applyFont="1" applyFill="1" applyBorder="1" applyAlignment="1">
      <alignment horizontal="center"/>
    </xf>
    <xf numFmtId="0" fontId="3" fillId="21" borderId="12" xfId="0" applyFont="1" applyFill="1" applyBorder="1" applyAlignment="1">
      <alignment horizontal="center"/>
    </xf>
    <xf numFmtId="0" fontId="3" fillId="19" borderId="30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/>
    </xf>
    <xf numFmtId="0" fontId="3" fillId="19" borderId="7" xfId="0" applyFont="1" applyFill="1" applyBorder="1" applyAlignment="1">
      <alignment horizontal="center"/>
    </xf>
    <xf numFmtId="0" fontId="3" fillId="19" borderId="23" xfId="0" applyFont="1" applyFill="1" applyBorder="1" applyAlignment="1">
      <alignment horizontal="center"/>
    </xf>
    <xf numFmtId="0" fontId="3" fillId="19" borderId="22" xfId="0" applyFont="1" applyFill="1" applyBorder="1" applyAlignment="1">
      <alignment horizontal="center"/>
    </xf>
    <xf numFmtId="0" fontId="3" fillId="19" borderId="29" xfId="0" applyFont="1" applyFill="1" applyBorder="1" applyAlignment="1">
      <alignment horizontal="center"/>
    </xf>
    <xf numFmtId="0" fontId="3" fillId="22" borderId="5" xfId="0" applyFont="1" applyFill="1" applyBorder="1" applyAlignment="1">
      <alignment horizontal="center"/>
    </xf>
    <xf numFmtId="0" fontId="3" fillId="22" borderId="22" xfId="0" applyFont="1" applyFill="1" applyBorder="1" applyAlignment="1">
      <alignment horizontal="center"/>
    </xf>
    <xf numFmtId="0" fontId="3" fillId="21" borderId="5" xfId="0" applyFont="1" applyFill="1" applyBorder="1" applyAlignment="1">
      <alignment horizontal="center"/>
    </xf>
    <xf numFmtId="0" fontId="3" fillId="21" borderId="7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0" fillId="0" borderId="0" xfId="0" applyBorder="1"/>
    <xf numFmtId="0" fontId="0" fillId="24" borderId="0" xfId="0" applyFill="1" applyBorder="1"/>
    <xf numFmtId="0" fontId="0" fillId="0" borderId="0" xfId="0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24" borderId="0" xfId="0" applyFill="1" applyBorder="1" applyAlignment="1">
      <alignment horizontal="center"/>
    </xf>
    <xf numFmtId="2" fontId="0" fillId="24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Border="1"/>
    <xf numFmtId="0" fontId="0" fillId="0" borderId="40" xfId="0" applyBorder="1"/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4" borderId="17" xfId="0" applyFill="1" applyBorder="1" applyAlignment="1">
      <alignment horizontal="center"/>
    </xf>
    <xf numFmtId="0" fontId="0" fillId="0" borderId="4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Flor Chacón" id="{AF07E652-8B78-46AA-91EC-C6C63D00B462}" userId="S::lfc094@id.uib.eu::ea0ed3af-f55c-4624-9428-1ae6ff6b345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4" dT="2025-04-28T10:20:04.86" personId="{AF07E652-8B78-46AA-91EC-C6C63D00B462}" id="{65AD956F-3F4F-418C-9DBD-B6D09C25EAA9}">
    <text xml:space="preserve">Quizás 3 personas
</text>
  </threadedComment>
  <threadedComment ref="C44" dT="2025-04-28T10:23:54.07" personId="{AF07E652-8B78-46AA-91EC-C6C63D00B462}" id="{F31E0C6C-9F9C-46DD-9D96-E0992F65A015}" parentId="{65AD956F-3F4F-418C-9DBD-B6D09C25EAA9}">
    <text>Gabriela está el 21, necesito alguien para 22. Análisis en Campo el 23</text>
  </threadedComment>
  <threadedComment ref="C45" dT="2025-04-28T10:20:04.86" personId="{AF07E652-8B78-46AA-91EC-C6C63D00B462}" id="{5AA15BD8-8C95-4774-81F9-8B52BF7D8B70}">
    <text xml:space="preserve">Quizás 3 personas
</text>
  </threadedComment>
  <threadedComment ref="C45" dT="2025-04-28T10:23:54.07" personId="{AF07E652-8B78-46AA-91EC-C6C63D00B462}" id="{123BFA94-43D5-4FEA-9ECE-7F4B26BE9CD4}" parentId="{5AA15BD8-8C95-4774-81F9-8B52BF7D8B70}">
    <text>Gabriela está el 21, necesito alguien para 22. Análisis en Campo el 23</text>
  </threadedComment>
  <threadedComment ref="C51" dT="2025-04-28T10:20:04.86" personId="{AF07E652-8B78-46AA-91EC-C6C63D00B462}" id="{D9DC2B61-777A-4951-BBF4-59298B702910}">
    <text xml:space="preserve">Quizás 3 personas
</text>
  </threadedComment>
  <threadedComment ref="C51" dT="2025-04-28T10:23:54.07" personId="{AF07E652-8B78-46AA-91EC-C6C63D00B462}" id="{43145D86-BF84-4B64-A18B-E8AB67E1712E}" parentId="{D9DC2B61-777A-4951-BBF4-59298B702910}">
    <text>Gabriela está el 21, necesito alguien para 22. Análisis en Campo el 23</text>
  </threadedComment>
  <threadedComment ref="C52" dT="2025-04-28T10:20:04.86" personId="{AF07E652-8B78-46AA-91EC-C6C63D00B462}" id="{9019FA35-9F6C-4FEF-864D-4B3D10B293D5}">
    <text xml:space="preserve">Quizás 3 personas
</text>
  </threadedComment>
  <threadedComment ref="C52" dT="2025-04-28T10:23:54.07" personId="{AF07E652-8B78-46AA-91EC-C6C63D00B462}" id="{97DCC33F-838E-4C2E-9B0A-8CFBE50D1F11}" parentId="{9019FA35-9F6C-4FEF-864D-4B3D10B293D5}">
    <text>Gabriela está el 21, necesito alguien para 22. Análisis en Campo el 23</text>
  </threadedComment>
  <threadedComment ref="C56" dT="2025-04-28T10:24:25.57" personId="{AF07E652-8B78-46AA-91EC-C6C63D00B462}" id="{026A5EBB-5F9F-4B29-A091-794520DE7332}">
    <text>Cassandra No esta 29 ni 30</text>
  </threadedComment>
  <threadedComment ref="C63" dT="2025-04-28T10:24:25.57" personId="{AF07E652-8B78-46AA-91EC-C6C63D00B462}" id="{2516C51C-FBD6-45C7-A5DA-FE0F56AD0BD8}">
    <text>Cassandra No esta 29 ni 30</text>
  </threadedComment>
  <threadedComment ref="C75" dT="2025-07-10T07:26:31.07" personId="{AF07E652-8B78-46AA-91EC-C6C63D00B462}" id="{7C4D756C-82B0-4D19-A290-5E82F2FA72DC}">
    <text>Lluvia de tormenta No se pudo medir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2" dT="2025-07-28T10:22:53.72" personId="{AF07E652-8B78-46AA-91EC-C6C63D00B462}" id="{13428301-2AAC-4337-B5F3-7F83939C203C}">
    <text>Esta linea no vale pero no se elimina para no joder lo demas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5-08-19T10:27:19.94" personId="{AF07E652-8B78-46AA-91EC-C6C63D00B462}" id="{50A7EBB0-930A-4F41-8B4F-CCABAD17407F}">
    <text>+ las hojas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2" dT="2025-07-28T10:22:53.72" personId="{AF07E652-8B78-46AA-91EC-C6C63D00B462}" id="{0E08C0C7-2E59-46FA-89A7-1980499931F7}">
    <text>Esta linea no vale pero no se elimina para no joder lo demas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3" dT="2025-06-25T08:11:58.04" personId="{AF07E652-8B78-46AA-91EC-C6C63D00B462}" id="{65AEBD28-16F8-4BF4-8177-31E1F1AC4658}">
    <text xml:space="preserve">Esta estaba medio muerta pero tenia agua en el sustrato como las otras.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9" dT="2025-06-25T11:35:28.50" personId="{AF07E652-8B78-46AA-91EC-C6C63D00B462}" id="{2443AD5D-99F5-4F80-869C-808E01A48071}">
    <text>La hoja estaba colgando rota</text>
  </threadedComment>
  <threadedComment ref="E23" dT="2025-06-25T08:11:58.04" personId="{AF07E652-8B78-46AA-91EC-C6C63D00B462}" id="{FE20B6FE-22F5-41EE-991A-AEFEF30D5A68}">
    <text xml:space="preserve">Esta estaba medio muerta pero tenia agua en el sustrato como las otras.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M1" dT="2025-08-11T07:11:55.51" personId="{AF07E652-8B78-46AA-91EC-C6C63D00B462}" id="{EA91D744-0A9B-4698-9A3E-88B9518F7A27}">
    <text>NO CRECIERON DESDE WS3 a R1</text>
  </threadedComment>
  <threadedComment ref="P1" dT="2025-08-11T07:11:55.51" personId="{AF07E652-8B78-46AA-91EC-C6C63D00B462}" id="{242CA790-82C2-4322-ACAF-5991E7065FD8}">
    <text xml:space="preserve">NO CRECIERON DESDE WS3 a R2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opLeftCell="A3" zoomScale="69" workbookViewId="0">
      <selection activeCell="J12" sqref="J12"/>
    </sheetView>
  </sheetViews>
  <sheetFormatPr baseColWidth="10" defaultColWidth="8.7265625" defaultRowHeight="14.5" x14ac:dyDescent="0.35"/>
  <cols>
    <col min="2" max="2" width="8.7265625" style="3"/>
    <col min="9" max="9" width="8.7265625" style="5"/>
    <col min="11" max="11" width="21.26953125" bestFit="1" customWidth="1"/>
  </cols>
  <sheetData>
    <row r="1" spans="1:12" ht="15" thickBot="1" x14ac:dyDescent="0.4">
      <c r="A1" s="1"/>
      <c r="B1" s="2" t="s">
        <v>119</v>
      </c>
      <c r="D1" s="159" t="s">
        <v>80</v>
      </c>
      <c r="E1" s="160"/>
      <c r="F1" s="160"/>
      <c r="G1" s="161"/>
    </row>
    <row r="2" spans="1:12" x14ac:dyDescent="0.35">
      <c r="D2" s="144" t="s">
        <v>0</v>
      </c>
      <c r="E2" s="147"/>
      <c r="F2" s="144" t="s">
        <v>40</v>
      </c>
      <c r="G2" s="145"/>
      <c r="J2" s="113" t="s">
        <v>143</v>
      </c>
      <c r="K2" s="113"/>
      <c r="L2" s="113"/>
    </row>
    <row r="3" spans="1:12" ht="15" thickBot="1" x14ac:dyDescent="0.4">
      <c r="D3" s="132" t="s">
        <v>1</v>
      </c>
      <c r="E3" s="148"/>
      <c r="F3" s="132" t="s">
        <v>41</v>
      </c>
      <c r="G3" s="133"/>
    </row>
    <row r="4" spans="1:12" x14ac:dyDescent="0.35">
      <c r="D4" s="162" t="s">
        <v>2</v>
      </c>
      <c r="E4" s="163"/>
      <c r="F4" s="163" t="s">
        <v>42</v>
      </c>
      <c r="G4" s="164"/>
      <c r="J4" s="47" t="s">
        <v>92</v>
      </c>
      <c r="K4" t="s">
        <v>95</v>
      </c>
    </row>
    <row r="5" spans="1:12" x14ac:dyDescent="0.35">
      <c r="D5" s="153" t="s">
        <v>3</v>
      </c>
      <c r="E5" s="154"/>
      <c r="F5" s="154" t="s">
        <v>43</v>
      </c>
      <c r="G5" s="155"/>
      <c r="J5" s="45" t="s">
        <v>92</v>
      </c>
      <c r="K5" t="s">
        <v>93</v>
      </c>
    </row>
    <row r="6" spans="1:12" x14ac:dyDescent="0.35">
      <c r="B6" s="4" t="s">
        <v>82</v>
      </c>
      <c r="D6" s="153" t="s">
        <v>4</v>
      </c>
      <c r="E6" s="154"/>
      <c r="F6" s="154" t="s">
        <v>44</v>
      </c>
      <c r="G6" s="155"/>
      <c r="I6" s="6" t="s">
        <v>84</v>
      </c>
      <c r="J6" s="46" t="s">
        <v>92</v>
      </c>
      <c r="K6" t="s">
        <v>94</v>
      </c>
    </row>
    <row r="7" spans="1:12" x14ac:dyDescent="0.35">
      <c r="B7" s="4" t="s">
        <v>83</v>
      </c>
      <c r="D7" s="153" t="s">
        <v>5</v>
      </c>
      <c r="E7" s="154"/>
      <c r="F7" s="154" t="s">
        <v>45</v>
      </c>
      <c r="G7" s="155"/>
      <c r="I7" s="6" t="s">
        <v>88</v>
      </c>
      <c r="J7" s="44" t="s">
        <v>92</v>
      </c>
      <c r="K7" t="s">
        <v>96</v>
      </c>
    </row>
    <row r="8" spans="1:12" x14ac:dyDescent="0.35">
      <c r="B8" s="4" t="s">
        <v>82</v>
      </c>
      <c r="D8" s="153" t="s">
        <v>6</v>
      </c>
      <c r="E8" s="154"/>
      <c r="F8" s="154" t="s">
        <v>46</v>
      </c>
      <c r="G8" s="155"/>
      <c r="I8" s="6" t="s">
        <v>89</v>
      </c>
    </row>
    <row r="9" spans="1:12" ht="15" thickBot="1" x14ac:dyDescent="0.4">
      <c r="B9" s="4" t="s">
        <v>84</v>
      </c>
      <c r="D9" s="158" t="s">
        <v>7</v>
      </c>
      <c r="E9" s="156"/>
      <c r="F9" s="156" t="s">
        <v>47</v>
      </c>
      <c r="G9" s="157"/>
      <c r="I9" s="6" t="s">
        <v>90</v>
      </c>
      <c r="J9" s="47" t="s">
        <v>178</v>
      </c>
      <c r="K9" t="s">
        <v>177</v>
      </c>
    </row>
    <row r="10" spans="1:12" x14ac:dyDescent="0.35">
      <c r="B10" s="4" t="s">
        <v>85</v>
      </c>
      <c r="D10" s="128" t="s">
        <v>8</v>
      </c>
      <c r="E10" s="143"/>
      <c r="F10" s="128" t="s">
        <v>48</v>
      </c>
      <c r="G10" s="118"/>
      <c r="I10" s="6" t="s">
        <v>86</v>
      </c>
    </row>
    <row r="11" spans="1:12" ht="15" thickBot="1" x14ac:dyDescent="0.4">
      <c r="B11" s="4" t="s">
        <v>86</v>
      </c>
      <c r="D11" s="127" t="s">
        <v>9</v>
      </c>
      <c r="E11" s="146"/>
      <c r="F11" s="127" t="s">
        <v>49</v>
      </c>
      <c r="G11" s="120"/>
      <c r="I11" s="6" t="s">
        <v>91</v>
      </c>
    </row>
    <row r="12" spans="1:12" x14ac:dyDescent="0.35">
      <c r="B12" s="4" t="s">
        <v>87</v>
      </c>
      <c r="D12" s="144" t="s">
        <v>10</v>
      </c>
      <c r="E12" s="147"/>
      <c r="F12" s="144" t="s">
        <v>50</v>
      </c>
      <c r="G12" s="145"/>
    </row>
    <row r="13" spans="1:12" ht="15" thickBot="1" x14ac:dyDescent="0.4">
      <c r="D13" s="132" t="s">
        <v>11</v>
      </c>
      <c r="E13" s="148"/>
      <c r="F13" s="132" t="s">
        <v>51</v>
      </c>
      <c r="G13" s="133"/>
    </row>
    <row r="14" spans="1:12" x14ac:dyDescent="0.35">
      <c r="D14" s="149" t="s">
        <v>12</v>
      </c>
      <c r="E14" s="150"/>
      <c r="F14" s="151" t="s">
        <v>52</v>
      </c>
      <c r="G14" s="152"/>
    </row>
    <row r="15" spans="1:12" x14ac:dyDescent="0.35">
      <c r="D15" s="135" t="s">
        <v>13</v>
      </c>
      <c r="E15" s="136"/>
      <c r="F15" s="137" t="s">
        <v>53</v>
      </c>
      <c r="G15" s="138"/>
    </row>
    <row r="16" spans="1:12" x14ac:dyDescent="0.35">
      <c r="D16" s="135" t="s">
        <v>14</v>
      </c>
      <c r="E16" s="136"/>
      <c r="F16" s="137" t="s">
        <v>54</v>
      </c>
      <c r="G16" s="138"/>
    </row>
    <row r="17" spans="4:7" x14ac:dyDescent="0.35">
      <c r="D17" s="135" t="s">
        <v>15</v>
      </c>
      <c r="E17" s="136"/>
      <c r="F17" s="137" t="s">
        <v>55</v>
      </c>
      <c r="G17" s="138"/>
    </row>
    <row r="18" spans="4:7" x14ac:dyDescent="0.35">
      <c r="D18" s="135" t="s">
        <v>16</v>
      </c>
      <c r="E18" s="136"/>
      <c r="F18" s="137" t="s">
        <v>56</v>
      </c>
      <c r="G18" s="138"/>
    </row>
    <row r="19" spans="4:7" ht="15" thickBot="1" x14ac:dyDescent="0.4">
      <c r="D19" s="139" t="s">
        <v>17</v>
      </c>
      <c r="E19" s="140"/>
      <c r="F19" s="141" t="s">
        <v>57</v>
      </c>
      <c r="G19" s="142"/>
    </row>
    <row r="20" spans="4:7" x14ac:dyDescent="0.35">
      <c r="D20" s="128" t="s">
        <v>18</v>
      </c>
      <c r="E20" s="143"/>
      <c r="F20" s="128" t="s">
        <v>58</v>
      </c>
      <c r="G20" s="118"/>
    </row>
    <row r="21" spans="4:7" ht="15" thickBot="1" x14ac:dyDescent="0.4">
      <c r="D21" s="127" t="s">
        <v>19</v>
      </c>
      <c r="E21" s="146"/>
      <c r="F21" s="127" t="s">
        <v>59</v>
      </c>
      <c r="G21" s="120"/>
    </row>
    <row r="22" spans="4:7" x14ac:dyDescent="0.35">
      <c r="D22" s="144" t="s">
        <v>20</v>
      </c>
      <c r="E22" s="147"/>
      <c r="F22" s="128" t="s">
        <v>60</v>
      </c>
      <c r="G22" s="118"/>
    </row>
    <row r="23" spans="4:7" ht="15" thickBot="1" x14ac:dyDescent="0.4">
      <c r="D23" s="132" t="s">
        <v>21</v>
      </c>
      <c r="E23" s="148"/>
      <c r="F23" s="132" t="s">
        <v>61</v>
      </c>
      <c r="G23" s="133"/>
    </row>
    <row r="24" spans="4:7" x14ac:dyDescent="0.35">
      <c r="D24" s="149" t="s">
        <v>22</v>
      </c>
      <c r="E24" s="150"/>
      <c r="F24" s="151" t="s">
        <v>62</v>
      </c>
      <c r="G24" s="152"/>
    </row>
    <row r="25" spans="4:7" x14ac:dyDescent="0.35">
      <c r="D25" s="135" t="s">
        <v>23</v>
      </c>
      <c r="E25" s="136"/>
      <c r="F25" s="137" t="s">
        <v>63</v>
      </c>
      <c r="G25" s="138"/>
    </row>
    <row r="26" spans="4:7" x14ac:dyDescent="0.35">
      <c r="D26" s="135" t="s">
        <v>24</v>
      </c>
      <c r="E26" s="136"/>
      <c r="F26" s="137" t="s">
        <v>64</v>
      </c>
      <c r="G26" s="138"/>
    </row>
    <row r="27" spans="4:7" x14ac:dyDescent="0.35">
      <c r="D27" s="135" t="s">
        <v>25</v>
      </c>
      <c r="E27" s="136"/>
      <c r="F27" s="137" t="s">
        <v>65</v>
      </c>
      <c r="G27" s="138"/>
    </row>
    <row r="28" spans="4:7" x14ac:dyDescent="0.35">
      <c r="D28" s="135" t="s">
        <v>26</v>
      </c>
      <c r="E28" s="136"/>
      <c r="F28" s="137" t="s">
        <v>66</v>
      </c>
      <c r="G28" s="138"/>
    </row>
    <row r="29" spans="4:7" ht="15" thickBot="1" x14ac:dyDescent="0.4">
      <c r="D29" s="139" t="s">
        <v>27</v>
      </c>
      <c r="E29" s="140"/>
      <c r="F29" s="141" t="s">
        <v>67</v>
      </c>
      <c r="G29" s="142"/>
    </row>
    <row r="30" spans="4:7" x14ac:dyDescent="0.35">
      <c r="D30" s="128" t="s">
        <v>28</v>
      </c>
      <c r="E30" s="143"/>
      <c r="F30" s="128" t="s">
        <v>68</v>
      </c>
      <c r="G30" s="118"/>
    </row>
    <row r="31" spans="4:7" ht="15" thickBot="1" x14ac:dyDescent="0.4">
      <c r="D31" s="127" t="s">
        <v>29</v>
      </c>
      <c r="E31" s="146"/>
      <c r="F31" s="127" t="s">
        <v>69</v>
      </c>
      <c r="G31" s="120"/>
    </row>
    <row r="32" spans="4:7" x14ac:dyDescent="0.35">
      <c r="D32" s="144" t="s">
        <v>30</v>
      </c>
      <c r="E32" s="145"/>
      <c r="F32" s="117" t="s">
        <v>70</v>
      </c>
      <c r="G32" s="118"/>
    </row>
    <row r="33" spans="4:7" ht="15" thickBot="1" x14ac:dyDescent="0.4">
      <c r="D33" s="132" t="s">
        <v>31</v>
      </c>
      <c r="E33" s="133"/>
      <c r="F33" s="134" t="s">
        <v>71</v>
      </c>
      <c r="G33" s="133"/>
    </row>
    <row r="34" spans="4:7" x14ac:dyDescent="0.35">
      <c r="D34" s="121" t="s">
        <v>32</v>
      </c>
      <c r="E34" s="122"/>
      <c r="F34" s="129" t="s">
        <v>72</v>
      </c>
      <c r="G34" s="122"/>
    </row>
    <row r="35" spans="4:7" x14ac:dyDescent="0.35">
      <c r="D35" s="123" t="s">
        <v>33</v>
      </c>
      <c r="E35" s="124"/>
      <c r="F35" s="130" t="s">
        <v>73</v>
      </c>
      <c r="G35" s="124"/>
    </row>
    <row r="36" spans="4:7" x14ac:dyDescent="0.35">
      <c r="D36" s="123" t="s">
        <v>34</v>
      </c>
      <c r="E36" s="124"/>
      <c r="F36" s="130" t="s">
        <v>74</v>
      </c>
      <c r="G36" s="124"/>
    </row>
    <row r="37" spans="4:7" x14ac:dyDescent="0.35">
      <c r="D37" s="123" t="s">
        <v>35</v>
      </c>
      <c r="E37" s="124"/>
      <c r="F37" s="130" t="s">
        <v>75</v>
      </c>
      <c r="G37" s="124"/>
    </row>
    <row r="38" spans="4:7" x14ac:dyDescent="0.35">
      <c r="D38" s="123" t="s">
        <v>36</v>
      </c>
      <c r="E38" s="124"/>
      <c r="F38" s="130" t="s">
        <v>76</v>
      </c>
      <c r="G38" s="124"/>
    </row>
    <row r="39" spans="4:7" ht="15" thickBot="1" x14ac:dyDescent="0.4">
      <c r="D39" s="125" t="s">
        <v>37</v>
      </c>
      <c r="E39" s="126"/>
      <c r="F39" s="131" t="s">
        <v>77</v>
      </c>
      <c r="G39" s="126"/>
    </row>
    <row r="40" spans="4:7" x14ac:dyDescent="0.35">
      <c r="D40" s="128" t="s">
        <v>38</v>
      </c>
      <c r="E40" s="118"/>
      <c r="F40" s="117" t="s">
        <v>78</v>
      </c>
      <c r="G40" s="118"/>
    </row>
    <row r="41" spans="4:7" ht="15" thickBot="1" x14ac:dyDescent="0.4">
      <c r="D41" s="127" t="s">
        <v>39</v>
      </c>
      <c r="E41" s="120"/>
      <c r="F41" s="119" t="s">
        <v>79</v>
      </c>
      <c r="G41" s="120"/>
    </row>
    <row r="42" spans="4:7" ht="15" thickBot="1" x14ac:dyDescent="0.4">
      <c r="D42" s="114" t="s">
        <v>81</v>
      </c>
      <c r="E42" s="115"/>
      <c r="F42" s="115"/>
      <c r="G42" s="116"/>
    </row>
    <row r="43" spans="4:7" ht="15" thickBot="1" x14ac:dyDescent="0.4"/>
    <row r="44" spans="4:7" x14ac:dyDescent="0.35">
      <c r="D44" s="149" t="s">
        <v>180</v>
      </c>
      <c r="E44" s="150"/>
      <c r="F44" s="151" t="s">
        <v>179</v>
      </c>
      <c r="G44" s="152"/>
    </row>
  </sheetData>
  <mergeCells count="85">
    <mergeCell ref="F44:G44"/>
    <mergeCell ref="D44:E44"/>
    <mergeCell ref="D1:G1"/>
    <mergeCell ref="D2:E2"/>
    <mergeCell ref="D3:E3"/>
    <mergeCell ref="D4:E4"/>
    <mergeCell ref="D5:E5"/>
    <mergeCell ref="F2:G2"/>
    <mergeCell ref="F3:G3"/>
    <mergeCell ref="F4:G4"/>
    <mergeCell ref="F5:G5"/>
    <mergeCell ref="D13:E13"/>
    <mergeCell ref="D7:E7"/>
    <mergeCell ref="D14:E14"/>
    <mergeCell ref="D16:E16"/>
    <mergeCell ref="D17:E17"/>
    <mergeCell ref="D6:E6"/>
    <mergeCell ref="F6:G6"/>
    <mergeCell ref="F7:G7"/>
    <mergeCell ref="F8:G8"/>
    <mergeCell ref="F9:G9"/>
    <mergeCell ref="D8:E8"/>
    <mergeCell ref="D9:E9"/>
    <mergeCell ref="F11:G11"/>
    <mergeCell ref="D11:E11"/>
    <mergeCell ref="D10:E10"/>
    <mergeCell ref="F10:G10"/>
    <mergeCell ref="D12:E12"/>
    <mergeCell ref="F12:G12"/>
    <mergeCell ref="F13:G13"/>
    <mergeCell ref="F14:G14"/>
    <mergeCell ref="F15:G15"/>
    <mergeCell ref="F16:G16"/>
    <mergeCell ref="F17:G17"/>
    <mergeCell ref="F18:G18"/>
    <mergeCell ref="D15:E15"/>
    <mergeCell ref="F19:G19"/>
    <mergeCell ref="F20:G20"/>
    <mergeCell ref="F21:G21"/>
    <mergeCell ref="D19:E19"/>
    <mergeCell ref="D18:E18"/>
    <mergeCell ref="F22:G22"/>
    <mergeCell ref="F23:G23"/>
    <mergeCell ref="F25:G25"/>
    <mergeCell ref="F26:G26"/>
    <mergeCell ref="D20:E20"/>
    <mergeCell ref="D21:E21"/>
    <mergeCell ref="D22:E22"/>
    <mergeCell ref="D23:E23"/>
    <mergeCell ref="D24:E24"/>
    <mergeCell ref="D26:E26"/>
    <mergeCell ref="F24:G24"/>
    <mergeCell ref="D25:E25"/>
    <mergeCell ref="F39:G39"/>
    <mergeCell ref="D33:E33"/>
    <mergeCell ref="F33:G33"/>
    <mergeCell ref="D27:E27"/>
    <mergeCell ref="F27:G27"/>
    <mergeCell ref="F28:G28"/>
    <mergeCell ref="D28:E28"/>
    <mergeCell ref="D29:E29"/>
    <mergeCell ref="F29:G29"/>
    <mergeCell ref="F30:G30"/>
    <mergeCell ref="F31:G31"/>
    <mergeCell ref="D30:E30"/>
    <mergeCell ref="D32:E32"/>
    <mergeCell ref="F32:G32"/>
    <mergeCell ref="D37:E37"/>
    <mergeCell ref="D31:E31"/>
    <mergeCell ref="J2:L2"/>
    <mergeCell ref="D42:G42"/>
    <mergeCell ref="F40:G40"/>
    <mergeCell ref="F41:G41"/>
    <mergeCell ref="D34:E34"/>
    <mergeCell ref="D35:E35"/>
    <mergeCell ref="D36:E36"/>
    <mergeCell ref="D38:E38"/>
    <mergeCell ref="D39:E39"/>
    <mergeCell ref="D41:E41"/>
    <mergeCell ref="D40:E40"/>
    <mergeCell ref="F34:G34"/>
    <mergeCell ref="F35:G35"/>
    <mergeCell ref="F36:G36"/>
    <mergeCell ref="F37:G37"/>
    <mergeCell ref="F38:G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7551-FB20-479F-B958-A2163B55077D}">
  <dimension ref="A1:W1001"/>
  <sheetViews>
    <sheetView topLeftCell="A89" zoomScale="56" zoomScaleNormal="35" workbookViewId="0">
      <pane xSplit="1" topLeftCell="B1" activePane="topRight" state="frozen"/>
      <selection pane="topRight" activeCell="B116" sqref="B116"/>
    </sheetView>
  </sheetViews>
  <sheetFormatPr baseColWidth="10" defaultColWidth="13.7265625" defaultRowHeight="14.5" x14ac:dyDescent="0.35"/>
  <cols>
    <col min="2" max="2" width="105" style="41" bestFit="1" customWidth="1"/>
    <col min="3" max="3" width="176.36328125" style="12" bestFit="1" customWidth="1"/>
    <col min="4" max="4" width="68.36328125" bestFit="1" customWidth="1"/>
    <col min="5" max="5" width="60.54296875" style="12" bestFit="1" customWidth="1"/>
    <col min="6" max="6" width="8.81640625" style="49" bestFit="1" customWidth="1"/>
    <col min="7" max="23" width="11" customWidth="1"/>
  </cols>
  <sheetData>
    <row r="1" spans="1:23" ht="14.25" customHeight="1" x14ac:dyDescent="0.35">
      <c r="A1" s="7" t="s">
        <v>97</v>
      </c>
      <c r="B1" s="38" t="s">
        <v>98</v>
      </c>
      <c r="C1" s="8" t="s">
        <v>99</v>
      </c>
      <c r="D1" s="7" t="s">
        <v>100</v>
      </c>
      <c r="E1" s="8" t="s">
        <v>101</v>
      </c>
      <c r="F1" s="52" t="s">
        <v>102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14.25" customHeight="1" x14ac:dyDescent="0.35">
      <c r="A2" s="9">
        <v>45776</v>
      </c>
      <c r="B2" s="39" t="s">
        <v>103</v>
      </c>
      <c r="C2" s="10" t="s">
        <v>104</v>
      </c>
      <c r="D2" s="11"/>
      <c r="E2" s="10"/>
      <c r="F2" s="53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4.25" customHeight="1" x14ac:dyDescent="0.35">
      <c r="A3" s="9">
        <v>45777</v>
      </c>
      <c r="B3" s="39" t="s">
        <v>105</v>
      </c>
      <c r="C3" s="10" t="s">
        <v>106</v>
      </c>
      <c r="D3" s="11"/>
      <c r="E3" s="10"/>
    </row>
    <row r="4" spans="1:23" ht="14.25" customHeight="1" x14ac:dyDescent="0.35">
      <c r="A4" s="9">
        <v>45778</v>
      </c>
      <c r="B4" s="39" t="s">
        <v>107</v>
      </c>
      <c r="C4" s="10" t="s">
        <v>108</v>
      </c>
      <c r="D4" s="11"/>
      <c r="E4" s="10"/>
    </row>
    <row r="5" spans="1:23" ht="14.25" customHeight="1" x14ac:dyDescent="0.35">
      <c r="A5" s="9">
        <v>45779</v>
      </c>
      <c r="B5" s="39" t="s">
        <v>109</v>
      </c>
      <c r="C5" s="10"/>
      <c r="D5" s="11"/>
      <c r="E5" s="10"/>
    </row>
    <row r="6" spans="1:23" ht="14.25" customHeight="1" x14ac:dyDescent="0.35">
      <c r="A6" s="9">
        <v>45780</v>
      </c>
      <c r="B6" s="39" t="s">
        <v>109</v>
      </c>
      <c r="C6" s="10"/>
      <c r="D6" s="11"/>
      <c r="E6" s="10"/>
    </row>
    <row r="7" spans="1:23" ht="14.25" customHeight="1" x14ac:dyDescent="0.35">
      <c r="A7" s="9">
        <v>45781</v>
      </c>
      <c r="B7" s="40"/>
      <c r="C7" s="29"/>
      <c r="D7" s="51"/>
      <c r="E7" s="29" t="s">
        <v>110</v>
      </c>
    </row>
    <row r="8" spans="1:23" ht="14.25" customHeight="1" x14ac:dyDescent="0.35">
      <c r="A8" s="9">
        <v>45782</v>
      </c>
      <c r="B8" s="40" t="s">
        <v>111</v>
      </c>
      <c r="C8" s="29"/>
      <c r="D8" s="51"/>
      <c r="E8" s="29"/>
    </row>
    <row r="9" spans="1:23" ht="14.25" customHeight="1" x14ac:dyDescent="0.35">
      <c r="A9" s="9">
        <v>45783</v>
      </c>
      <c r="B9" s="40" t="s">
        <v>111</v>
      </c>
      <c r="C9" s="29"/>
      <c r="D9" s="51"/>
      <c r="E9" s="29"/>
    </row>
    <row r="10" spans="1:23" ht="14.25" customHeight="1" x14ac:dyDescent="0.35">
      <c r="A10" s="9">
        <v>45784</v>
      </c>
      <c r="B10" s="40" t="s">
        <v>111</v>
      </c>
      <c r="C10" s="29"/>
      <c r="D10" s="51"/>
      <c r="E10" s="29"/>
    </row>
    <row r="11" spans="1:23" ht="14.25" customHeight="1" x14ac:dyDescent="0.35">
      <c r="A11" s="9">
        <v>45785</v>
      </c>
      <c r="B11" s="40" t="s">
        <v>112</v>
      </c>
      <c r="C11" s="29"/>
      <c r="D11" s="51"/>
      <c r="E11" s="29" t="s">
        <v>113</v>
      </c>
    </row>
    <row r="12" spans="1:23" ht="14.25" customHeight="1" x14ac:dyDescent="0.35">
      <c r="A12" s="9">
        <v>45786</v>
      </c>
      <c r="B12" s="39" t="s">
        <v>114</v>
      </c>
      <c r="C12" s="10" t="s">
        <v>115</v>
      </c>
      <c r="D12" s="11"/>
      <c r="E12" s="10"/>
    </row>
    <row r="13" spans="1:23" ht="14.25" customHeight="1" x14ac:dyDescent="0.35">
      <c r="A13" s="9">
        <v>45787</v>
      </c>
      <c r="C13" s="10" t="s">
        <v>116</v>
      </c>
      <c r="D13" s="11"/>
      <c r="E13" s="10"/>
    </row>
    <row r="14" spans="1:23" ht="14.25" customHeight="1" x14ac:dyDescent="0.35">
      <c r="A14" s="9">
        <v>45788</v>
      </c>
      <c r="C14" s="10"/>
      <c r="D14" s="11"/>
      <c r="E14" s="10"/>
    </row>
    <row r="15" spans="1:23" ht="14.25" customHeight="1" x14ac:dyDescent="0.35">
      <c r="A15" s="9">
        <v>45789</v>
      </c>
      <c r="B15" s="43" t="s">
        <v>138</v>
      </c>
      <c r="C15" s="10"/>
      <c r="D15" s="11"/>
      <c r="E15" s="13"/>
    </row>
    <row r="16" spans="1:23" ht="14.25" customHeight="1" x14ac:dyDescent="0.35">
      <c r="A16" s="9">
        <v>45790</v>
      </c>
      <c r="B16" s="39"/>
      <c r="E16" s="10"/>
      <c r="F16" s="5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4.25" customHeight="1" x14ac:dyDescent="0.35">
      <c r="A17" s="9">
        <v>45791</v>
      </c>
      <c r="B17" s="39"/>
      <c r="E17" s="10"/>
      <c r="F17" s="53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4.25" customHeight="1" x14ac:dyDescent="0.35">
      <c r="A18" s="9">
        <v>45792</v>
      </c>
      <c r="B18" s="39" t="s">
        <v>139</v>
      </c>
      <c r="E18" s="10"/>
      <c r="F18" s="53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4.25" customHeight="1" x14ac:dyDescent="0.35">
      <c r="A19" s="9">
        <v>45793</v>
      </c>
      <c r="B19" s="39"/>
      <c r="E19" s="10"/>
    </row>
    <row r="20" spans="1:23" ht="14.25" customHeight="1" x14ac:dyDescent="0.35">
      <c r="A20" s="9">
        <v>45794</v>
      </c>
      <c r="B20" s="40"/>
      <c r="C20" s="29"/>
      <c r="D20" s="51"/>
      <c r="E20" s="29" t="s">
        <v>117</v>
      </c>
    </row>
    <row r="21" spans="1:23" ht="14.25" customHeight="1" x14ac:dyDescent="0.35">
      <c r="A21" s="9">
        <v>45795</v>
      </c>
      <c r="B21" s="40"/>
      <c r="C21" s="29"/>
      <c r="D21" s="51"/>
      <c r="E21" s="30"/>
      <c r="F21" s="5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14.25" customHeight="1" x14ac:dyDescent="0.35">
      <c r="A22" s="9">
        <v>45796</v>
      </c>
      <c r="B22" s="40" t="s">
        <v>137</v>
      </c>
      <c r="C22" s="29"/>
      <c r="D22" s="51"/>
      <c r="E22" s="29"/>
    </row>
    <row r="23" spans="1:23" ht="14.25" customHeight="1" x14ac:dyDescent="0.35">
      <c r="A23" s="9">
        <v>45797</v>
      </c>
      <c r="B23" s="40"/>
      <c r="C23" s="29"/>
      <c r="D23" s="51"/>
      <c r="E23" s="29" t="s">
        <v>118</v>
      </c>
    </row>
    <row r="24" spans="1:23" ht="14.25" customHeight="1" x14ac:dyDescent="0.35">
      <c r="A24" s="9">
        <v>45798</v>
      </c>
      <c r="C24" s="14" t="s">
        <v>144</v>
      </c>
    </row>
    <row r="25" spans="1:23" ht="14.25" customHeight="1" x14ac:dyDescent="0.35">
      <c r="A25" s="9">
        <v>45799</v>
      </c>
      <c r="C25" s="14" t="s">
        <v>140</v>
      </c>
      <c r="E25" s="10"/>
    </row>
    <row r="26" spans="1:23" ht="14.25" customHeight="1" x14ac:dyDescent="0.35">
      <c r="A26" s="9">
        <v>45800</v>
      </c>
      <c r="B26" s="39"/>
      <c r="E26" s="10"/>
    </row>
    <row r="27" spans="1:23" ht="14.25" customHeight="1" x14ac:dyDescent="0.35">
      <c r="A27" s="9">
        <v>45801</v>
      </c>
      <c r="B27" s="39"/>
      <c r="D27" s="11"/>
      <c r="E27" s="10"/>
    </row>
    <row r="28" spans="1:23" ht="14.25" customHeight="1" x14ac:dyDescent="0.35">
      <c r="A28" s="9">
        <v>45802</v>
      </c>
      <c r="B28" s="39"/>
      <c r="E28" s="10"/>
    </row>
    <row r="29" spans="1:23" ht="14.25" customHeight="1" x14ac:dyDescent="0.35">
      <c r="A29" s="9">
        <v>45803</v>
      </c>
      <c r="B29" s="39"/>
      <c r="E29" s="10"/>
    </row>
    <row r="30" spans="1:23" ht="14.25" customHeight="1" x14ac:dyDescent="0.35">
      <c r="A30" s="9">
        <v>45804</v>
      </c>
      <c r="B30" s="39"/>
      <c r="E30" s="10"/>
    </row>
    <row r="31" spans="1:23" ht="14.25" customHeight="1" x14ac:dyDescent="0.35">
      <c r="A31" s="9">
        <v>45805</v>
      </c>
      <c r="B31" s="39"/>
      <c r="E31" s="10"/>
    </row>
    <row r="32" spans="1:23" ht="14.25" customHeight="1" x14ac:dyDescent="0.35">
      <c r="A32" s="9">
        <v>45806</v>
      </c>
      <c r="B32" s="39"/>
      <c r="C32" s="48" t="s">
        <v>145</v>
      </c>
      <c r="E32" s="10"/>
    </row>
    <row r="33" spans="1:23" ht="14.25" customHeight="1" x14ac:dyDescent="0.35">
      <c r="A33" s="9">
        <v>45807</v>
      </c>
      <c r="B33" s="39"/>
      <c r="C33" s="12" t="s">
        <v>119</v>
      </c>
      <c r="E33" s="29" t="s">
        <v>141</v>
      </c>
    </row>
    <row r="34" spans="1:23" s="34" customFormat="1" ht="14.25" customHeight="1" x14ac:dyDescent="0.35">
      <c r="A34" s="31">
        <v>45808</v>
      </c>
      <c r="B34" s="42"/>
      <c r="C34" s="35"/>
      <c r="E34" s="29"/>
      <c r="F34" s="50"/>
    </row>
    <row r="35" spans="1:23" s="34" customFormat="1" ht="14.25" customHeight="1" x14ac:dyDescent="0.35">
      <c r="A35" s="31">
        <v>45809</v>
      </c>
      <c r="B35" s="42"/>
      <c r="C35" s="35"/>
      <c r="E35" s="29" t="s">
        <v>142</v>
      </c>
      <c r="F35" s="50"/>
    </row>
    <row r="36" spans="1:23" ht="14.25" customHeight="1" x14ac:dyDescent="0.35">
      <c r="A36" s="9">
        <v>45810</v>
      </c>
      <c r="B36" s="39"/>
      <c r="E36" s="10" t="s">
        <v>120</v>
      </c>
    </row>
    <row r="37" spans="1:23" ht="14.25" customHeight="1" x14ac:dyDescent="0.35">
      <c r="A37" s="9">
        <v>45811</v>
      </c>
      <c r="B37" s="39"/>
      <c r="E37" s="10" t="s">
        <v>120</v>
      </c>
    </row>
    <row r="38" spans="1:23" ht="14.25" customHeight="1" x14ac:dyDescent="0.35">
      <c r="A38" s="9">
        <v>45812</v>
      </c>
      <c r="B38" s="39"/>
      <c r="E38" s="10" t="s">
        <v>120</v>
      </c>
    </row>
    <row r="39" spans="1:23" ht="14.25" customHeight="1" x14ac:dyDescent="0.35">
      <c r="A39" s="9">
        <v>45813</v>
      </c>
      <c r="B39" s="39"/>
      <c r="C39" s="10"/>
      <c r="E39" s="10" t="s">
        <v>120</v>
      </c>
    </row>
    <row r="40" spans="1:23" ht="14.25" customHeight="1" x14ac:dyDescent="0.35">
      <c r="A40" s="9">
        <v>45814</v>
      </c>
      <c r="B40" s="39"/>
      <c r="E40" s="10" t="s">
        <v>120</v>
      </c>
    </row>
    <row r="41" spans="1:23" s="34" customFormat="1" ht="14.25" customHeight="1" x14ac:dyDescent="0.35">
      <c r="A41" s="31">
        <v>45815</v>
      </c>
      <c r="B41" s="42"/>
      <c r="C41" s="35"/>
      <c r="E41" s="32" t="s">
        <v>120</v>
      </c>
      <c r="F41" s="54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spans="1:23" s="34" customFormat="1" ht="14.25" customHeight="1" x14ac:dyDescent="0.35">
      <c r="A42" s="31">
        <v>45816</v>
      </c>
      <c r="B42" s="42"/>
      <c r="C42" s="35"/>
      <c r="E42" s="29" t="s">
        <v>117</v>
      </c>
      <c r="F42" s="55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spans="1:23" ht="14.25" customHeight="1" x14ac:dyDescent="0.35">
      <c r="A43" s="9">
        <v>45817</v>
      </c>
      <c r="B43"/>
      <c r="C43" s="10"/>
      <c r="E43" s="29" t="s">
        <v>118</v>
      </c>
      <c r="F43" s="5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4.25" customHeight="1" x14ac:dyDescent="0.35">
      <c r="A44" s="9">
        <v>45818</v>
      </c>
      <c r="B44"/>
      <c r="C44" s="10"/>
      <c r="F44" s="5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4.25" customHeight="1" x14ac:dyDescent="0.35">
      <c r="A45" s="9">
        <v>45819</v>
      </c>
      <c r="B45"/>
      <c r="C45" s="10"/>
      <c r="E45" s="29" t="s">
        <v>110</v>
      </c>
    </row>
    <row r="46" spans="1:23" ht="14.25" customHeight="1" x14ac:dyDescent="0.35">
      <c r="A46" s="9">
        <v>45820</v>
      </c>
      <c r="B46"/>
      <c r="E46" s="29"/>
    </row>
    <row r="47" spans="1:23" ht="14" customHeight="1" x14ac:dyDescent="0.35">
      <c r="A47" s="9">
        <v>45821</v>
      </c>
      <c r="C47" s="10"/>
      <c r="E47" s="29" t="s">
        <v>113</v>
      </c>
    </row>
    <row r="48" spans="1:23" s="34" customFormat="1" ht="14.25" customHeight="1" x14ac:dyDescent="0.35">
      <c r="A48" s="31">
        <v>45822</v>
      </c>
      <c r="B48" s="42"/>
      <c r="C48" s="33"/>
      <c r="E48" s="32"/>
      <c r="F48" s="50"/>
    </row>
    <row r="49" spans="1:6" s="34" customFormat="1" ht="14.25" customHeight="1" x14ac:dyDescent="0.35">
      <c r="A49" s="31">
        <v>45823</v>
      </c>
      <c r="B49" s="42"/>
      <c r="C49" s="35"/>
      <c r="E49" s="32"/>
      <c r="F49" s="50"/>
    </row>
    <row r="50" spans="1:6" ht="14.25" customHeight="1" x14ac:dyDescent="0.35">
      <c r="A50" s="9">
        <v>45824</v>
      </c>
      <c r="B50" s="39"/>
      <c r="C50" s="15" t="s">
        <v>121</v>
      </c>
      <c r="D50" s="11"/>
      <c r="E50" s="10"/>
    </row>
    <row r="51" spans="1:6" ht="14.25" customHeight="1" x14ac:dyDescent="0.35">
      <c r="A51" s="9">
        <v>45825</v>
      </c>
      <c r="B51" s="39"/>
      <c r="C51" s="14" t="s">
        <v>122</v>
      </c>
      <c r="D51" s="11"/>
      <c r="E51" s="13"/>
    </row>
    <row r="52" spans="1:6" ht="14.25" customHeight="1" x14ac:dyDescent="0.35">
      <c r="A52" s="9">
        <v>45826</v>
      </c>
      <c r="B52" s="39"/>
      <c r="C52" s="14" t="s">
        <v>123</v>
      </c>
      <c r="D52" s="11"/>
      <c r="E52" s="10"/>
    </row>
    <row r="53" spans="1:6" ht="14.25" customHeight="1" x14ac:dyDescent="0.35">
      <c r="A53" s="9">
        <v>45827</v>
      </c>
      <c r="B53" s="39"/>
      <c r="C53" s="14"/>
      <c r="D53" s="11"/>
      <c r="E53" s="10"/>
    </row>
    <row r="54" spans="1:6" ht="14.25" customHeight="1" x14ac:dyDescent="0.35">
      <c r="A54" s="9">
        <v>45828</v>
      </c>
      <c r="B54" s="39"/>
      <c r="C54" s="14"/>
      <c r="D54" s="11"/>
      <c r="E54" s="10"/>
    </row>
    <row r="55" spans="1:6" s="34" customFormat="1" ht="14.25" customHeight="1" x14ac:dyDescent="0.35">
      <c r="A55" s="31">
        <v>45829</v>
      </c>
      <c r="B55" s="42"/>
      <c r="C55" s="33" t="s">
        <v>127</v>
      </c>
      <c r="E55" s="32"/>
      <c r="F55" s="50"/>
    </row>
    <row r="56" spans="1:6" s="34" customFormat="1" ht="14.25" customHeight="1" x14ac:dyDescent="0.35">
      <c r="A56" s="31">
        <v>45830</v>
      </c>
      <c r="B56" s="42"/>
      <c r="C56" s="33" t="s">
        <v>127</v>
      </c>
      <c r="E56" s="32"/>
      <c r="F56" s="50"/>
    </row>
    <row r="57" spans="1:6" ht="14.25" customHeight="1" x14ac:dyDescent="0.35">
      <c r="A57" s="9">
        <v>45831</v>
      </c>
      <c r="B57" s="39"/>
      <c r="C57" s="14"/>
      <c r="D57" s="11" t="s">
        <v>151</v>
      </c>
      <c r="E57" s="10"/>
    </row>
    <row r="58" spans="1:6" ht="14.25" customHeight="1" x14ac:dyDescent="0.35">
      <c r="A58" s="9">
        <v>45832</v>
      </c>
      <c r="B58" s="39"/>
      <c r="C58" s="14"/>
      <c r="D58" s="11" t="s">
        <v>125</v>
      </c>
      <c r="E58" s="10"/>
    </row>
    <row r="59" spans="1:6" ht="14.25" customHeight="1" x14ac:dyDescent="0.35">
      <c r="A59" s="9">
        <v>45833</v>
      </c>
      <c r="B59" s="39"/>
      <c r="C59" s="14" t="s">
        <v>148</v>
      </c>
      <c r="D59" s="11" t="s">
        <v>125</v>
      </c>
      <c r="E59" s="10"/>
    </row>
    <row r="60" spans="1:6" ht="14.25" customHeight="1" x14ac:dyDescent="0.35">
      <c r="A60" s="9">
        <v>45834</v>
      </c>
      <c r="B60" s="39"/>
      <c r="C60" s="16" t="s">
        <v>153</v>
      </c>
      <c r="D60" s="11" t="s">
        <v>125</v>
      </c>
      <c r="E60" s="10"/>
    </row>
    <row r="61" spans="1:6" ht="14.25" customHeight="1" x14ac:dyDescent="0.35">
      <c r="A61" s="9">
        <v>45835</v>
      </c>
      <c r="B61" s="39"/>
      <c r="C61" s="16" t="s">
        <v>124</v>
      </c>
      <c r="D61" s="11" t="s">
        <v>125</v>
      </c>
      <c r="E61" s="10"/>
    </row>
    <row r="62" spans="1:6" s="34" customFormat="1" ht="14.25" customHeight="1" x14ac:dyDescent="0.35">
      <c r="A62" s="31">
        <v>45836</v>
      </c>
      <c r="B62" s="42"/>
      <c r="C62" s="33" t="s">
        <v>124</v>
      </c>
      <c r="E62" s="32"/>
      <c r="F62" s="50"/>
    </row>
    <row r="63" spans="1:6" s="34" customFormat="1" ht="14.25" customHeight="1" x14ac:dyDescent="0.35">
      <c r="A63" s="31">
        <v>45837</v>
      </c>
      <c r="B63" s="42"/>
      <c r="C63" s="33" t="s">
        <v>124</v>
      </c>
      <c r="E63" s="32"/>
      <c r="F63" s="50"/>
    </row>
    <row r="64" spans="1:6" ht="14.25" customHeight="1" x14ac:dyDescent="0.35">
      <c r="A64" s="9">
        <v>45838</v>
      </c>
      <c r="B64" s="39"/>
      <c r="C64" s="16" t="s">
        <v>124</v>
      </c>
      <c r="D64" s="11" t="s">
        <v>126</v>
      </c>
      <c r="E64" s="10"/>
    </row>
    <row r="65" spans="1:6" ht="14.25" customHeight="1" x14ac:dyDescent="0.35">
      <c r="A65" s="9">
        <v>45839</v>
      </c>
      <c r="B65" s="39"/>
      <c r="C65" s="16" t="s">
        <v>124</v>
      </c>
      <c r="D65" s="11" t="s">
        <v>125</v>
      </c>
      <c r="E65" s="10"/>
    </row>
    <row r="66" spans="1:6" ht="14.25" customHeight="1" x14ac:dyDescent="0.35">
      <c r="A66" s="9">
        <v>45840</v>
      </c>
      <c r="B66" s="39"/>
      <c r="C66" s="16" t="s">
        <v>124</v>
      </c>
      <c r="D66" s="11" t="s">
        <v>125</v>
      </c>
      <c r="E66" s="10"/>
    </row>
    <row r="67" spans="1:6" ht="14.25" customHeight="1" x14ac:dyDescent="0.35">
      <c r="A67" s="9">
        <v>45841</v>
      </c>
      <c r="B67" s="39"/>
      <c r="C67" s="16" t="s">
        <v>124</v>
      </c>
      <c r="D67" s="11" t="s">
        <v>125</v>
      </c>
      <c r="E67" s="10"/>
    </row>
    <row r="68" spans="1:6" ht="14.25" customHeight="1" x14ac:dyDescent="0.35">
      <c r="A68" s="9">
        <v>45842</v>
      </c>
      <c r="B68" s="39"/>
      <c r="C68" s="16" t="s">
        <v>124</v>
      </c>
      <c r="D68" s="11" t="s">
        <v>125</v>
      </c>
      <c r="E68" s="10"/>
    </row>
    <row r="69" spans="1:6" s="34" customFormat="1" ht="14.25" customHeight="1" x14ac:dyDescent="0.35">
      <c r="A69" s="31">
        <v>45843</v>
      </c>
      <c r="B69" s="42"/>
      <c r="C69" s="32" t="s">
        <v>127</v>
      </c>
      <c r="E69" s="35"/>
      <c r="F69" s="50"/>
    </row>
    <row r="70" spans="1:6" s="34" customFormat="1" ht="14.25" customHeight="1" x14ac:dyDescent="0.35">
      <c r="A70" s="31">
        <v>45844</v>
      </c>
      <c r="B70" s="42"/>
      <c r="C70" s="32" t="s">
        <v>127</v>
      </c>
      <c r="E70" s="35"/>
      <c r="F70" s="50"/>
    </row>
    <row r="71" spans="1:6" ht="14.25" customHeight="1" x14ac:dyDescent="0.35">
      <c r="A71" s="9">
        <v>45845</v>
      </c>
      <c r="B71" s="39"/>
      <c r="C71" s="16" t="s">
        <v>124</v>
      </c>
      <c r="E71" s="10"/>
    </row>
    <row r="72" spans="1:6" ht="14.25" customHeight="1" x14ac:dyDescent="0.35">
      <c r="A72" s="9">
        <v>45846</v>
      </c>
      <c r="B72" s="39"/>
      <c r="C72" s="16" t="s">
        <v>124</v>
      </c>
    </row>
    <row r="73" spans="1:6" ht="14.25" customHeight="1" x14ac:dyDescent="0.35">
      <c r="A73" s="9">
        <v>45847</v>
      </c>
      <c r="B73" s="39"/>
      <c r="C73" s="16" t="s">
        <v>124</v>
      </c>
      <c r="D73" s="65" t="s">
        <v>128</v>
      </c>
    </row>
    <row r="74" spans="1:6" ht="14.25" customHeight="1" x14ac:dyDescent="0.35">
      <c r="A74" s="9">
        <v>45848</v>
      </c>
      <c r="B74" s="39"/>
      <c r="C74" s="16" t="s">
        <v>124</v>
      </c>
      <c r="D74" s="11" t="s">
        <v>125</v>
      </c>
    </row>
    <row r="75" spans="1:6" ht="14.25" customHeight="1" x14ac:dyDescent="0.35">
      <c r="A75" s="9">
        <v>45849</v>
      </c>
      <c r="B75" s="39"/>
      <c r="C75" s="17" t="s">
        <v>147</v>
      </c>
      <c r="D75" s="11" t="s">
        <v>125</v>
      </c>
    </row>
    <row r="76" spans="1:6" s="34" customFormat="1" ht="14.25" customHeight="1" x14ac:dyDescent="0.35">
      <c r="A76" s="31">
        <v>45850</v>
      </c>
      <c r="B76" s="42"/>
      <c r="C76" s="32" t="s">
        <v>127</v>
      </c>
      <c r="D76" s="36" t="s">
        <v>125</v>
      </c>
      <c r="E76" s="35"/>
      <c r="F76" s="50"/>
    </row>
    <row r="77" spans="1:6" s="34" customFormat="1" ht="14.25" customHeight="1" x14ac:dyDescent="0.35">
      <c r="A77" s="31">
        <v>45851</v>
      </c>
      <c r="B77" s="42"/>
      <c r="C77" s="32" t="s">
        <v>127</v>
      </c>
      <c r="D77" s="36" t="s">
        <v>125</v>
      </c>
      <c r="E77" s="32"/>
      <c r="F77" s="50"/>
    </row>
    <row r="78" spans="1:6" ht="14.25" customHeight="1" x14ac:dyDescent="0.35">
      <c r="A78" s="9">
        <v>45852</v>
      </c>
      <c r="B78" s="39"/>
      <c r="C78" s="18" t="s">
        <v>127</v>
      </c>
      <c r="D78" s="11" t="s">
        <v>125</v>
      </c>
      <c r="E78" s="10"/>
    </row>
    <row r="79" spans="1:6" ht="14.25" customHeight="1" x14ac:dyDescent="0.35">
      <c r="A79" s="9">
        <v>45853</v>
      </c>
      <c r="B79" s="39"/>
      <c r="C79" s="18" t="s">
        <v>149</v>
      </c>
      <c r="D79" s="11" t="s">
        <v>125</v>
      </c>
      <c r="E79" s="10"/>
    </row>
    <row r="80" spans="1:6" ht="14.25" customHeight="1" x14ac:dyDescent="0.35">
      <c r="A80" s="9">
        <v>45854</v>
      </c>
      <c r="B80" s="39"/>
      <c r="C80" s="18" t="s">
        <v>152</v>
      </c>
      <c r="D80" s="65" t="s">
        <v>194</v>
      </c>
      <c r="E80" s="10"/>
    </row>
    <row r="81" spans="1:6" ht="14.25" customHeight="1" x14ac:dyDescent="0.35">
      <c r="A81" s="9">
        <v>45855</v>
      </c>
      <c r="B81" s="39"/>
      <c r="C81" s="18" t="s">
        <v>152</v>
      </c>
      <c r="D81" s="11" t="s">
        <v>125</v>
      </c>
      <c r="E81" s="10"/>
    </row>
    <row r="82" spans="1:6" ht="14.25" customHeight="1" x14ac:dyDescent="0.35">
      <c r="A82" s="9">
        <v>45856</v>
      </c>
      <c r="B82" s="39"/>
      <c r="C82" s="18" t="s">
        <v>191</v>
      </c>
      <c r="D82" s="11" t="s">
        <v>125</v>
      </c>
    </row>
    <row r="83" spans="1:6" s="34" customFormat="1" ht="14.25" customHeight="1" x14ac:dyDescent="0.35">
      <c r="A83" s="31">
        <v>45857</v>
      </c>
      <c r="B83" s="42"/>
      <c r="C83" s="32" t="s">
        <v>127</v>
      </c>
      <c r="D83" s="36" t="s">
        <v>125</v>
      </c>
      <c r="E83" s="35"/>
      <c r="F83" s="50"/>
    </row>
    <row r="84" spans="1:6" s="34" customFormat="1" ht="14.25" customHeight="1" x14ac:dyDescent="0.35">
      <c r="A84" s="31">
        <v>45858</v>
      </c>
      <c r="B84" s="42"/>
      <c r="C84" s="32" t="s">
        <v>127</v>
      </c>
      <c r="D84" s="36" t="s">
        <v>125</v>
      </c>
      <c r="E84" s="35"/>
      <c r="F84" s="50"/>
    </row>
    <row r="85" spans="1:6" ht="14.25" customHeight="1" x14ac:dyDescent="0.35">
      <c r="A85" s="9">
        <v>45859</v>
      </c>
      <c r="B85" s="39"/>
      <c r="C85" s="18" t="s">
        <v>152</v>
      </c>
      <c r="E85" s="10" t="s">
        <v>136</v>
      </c>
    </row>
    <row r="86" spans="1:6" ht="14.25" customHeight="1" x14ac:dyDescent="0.35">
      <c r="A86" s="9">
        <v>45860</v>
      </c>
      <c r="B86" s="39"/>
      <c r="C86" s="18" t="s">
        <v>152</v>
      </c>
      <c r="E86" s="10" t="s">
        <v>136</v>
      </c>
    </row>
    <row r="87" spans="1:6" ht="14.25" customHeight="1" x14ac:dyDescent="0.35">
      <c r="A87" s="9">
        <v>45861</v>
      </c>
      <c r="B87" s="39"/>
      <c r="C87" s="18" t="s">
        <v>190</v>
      </c>
      <c r="D87" s="65" t="s">
        <v>150</v>
      </c>
      <c r="E87" s="10" t="s">
        <v>136</v>
      </c>
    </row>
    <row r="88" spans="1:6" ht="14.25" customHeight="1" x14ac:dyDescent="0.35">
      <c r="A88" s="9">
        <v>45862</v>
      </c>
      <c r="B88" s="39"/>
      <c r="C88" s="18" t="s">
        <v>152</v>
      </c>
      <c r="D88" s="11" t="s">
        <v>125</v>
      </c>
      <c r="E88" s="10" t="s">
        <v>136</v>
      </c>
    </row>
    <row r="89" spans="1:6" ht="14.25" customHeight="1" x14ac:dyDescent="0.35">
      <c r="A89" s="9">
        <v>45863</v>
      </c>
      <c r="B89" s="39"/>
      <c r="C89" s="18" t="s">
        <v>152</v>
      </c>
      <c r="D89" s="11" t="s">
        <v>125</v>
      </c>
      <c r="E89" s="10" t="s">
        <v>136</v>
      </c>
    </row>
    <row r="90" spans="1:6" s="34" customFormat="1" ht="14.25" customHeight="1" x14ac:dyDescent="0.35">
      <c r="A90" s="31">
        <v>45864</v>
      </c>
      <c r="B90" s="42"/>
      <c r="C90" s="32" t="s">
        <v>127</v>
      </c>
      <c r="D90" s="36" t="s">
        <v>125</v>
      </c>
      <c r="E90" s="35"/>
      <c r="F90" s="50"/>
    </row>
    <row r="91" spans="1:6" s="34" customFormat="1" ht="14.25" customHeight="1" x14ac:dyDescent="0.35">
      <c r="A91" s="31">
        <v>45865</v>
      </c>
      <c r="B91" s="42"/>
      <c r="C91" s="32" t="s">
        <v>127</v>
      </c>
      <c r="D91" s="36" t="s">
        <v>125</v>
      </c>
      <c r="E91" s="29" t="s">
        <v>132</v>
      </c>
      <c r="F91" s="50"/>
    </row>
    <row r="92" spans="1:6" ht="14.25" customHeight="1" x14ac:dyDescent="0.35">
      <c r="A92" s="9">
        <v>45866</v>
      </c>
      <c r="B92" s="39"/>
      <c r="C92" s="17" t="s">
        <v>135</v>
      </c>
      <c r="E92" s="29"/>
    </row>
    <row r="93" spans="1:6" ht="14.25" customHeight="1" x14ac:dyDescent="0.35">
      <c r="A93" s="9">
        <v>45867</v>
      </c>
      <c r="B93" s="39"/>
      <c r="C93" s="17" t="s">
        <v>135</v>
      </c>
      <c r="E93" s="29"/>
    </row>
    <row r="94" spans="1:6" ht="14.25" customHeight="1" x14ac:dyDescent="0.35">
      <c r="A94" s="9">
        <v>45868</v>
      </c>
      <c r="B94" s="39"/>
      <c r="C94" s="17" t="s">
        <v>135</v>
      </c>
      <c r="D94" s="65" t="s">
        <v>131</v>
      </c>
      <c r="E94" s="29"/>
    </row>
    <row r="95" spans="1:6" ht="14.25" customHeight="1" x14ac:dyDescent="0.35">
      <c r="A95" s="9">
        <v>45869</v>
      </c>
      <c r="B95" s="39"/>
      <c r="C95" s="17" t="s">
        <v>135</v>
      </c>
      <c r="D95" s="11" t="s">
        <v>125</v>
      </c>
      <c r="E95" s="29"/>
    </row>
    <row r="96" spans="1:6" ht="14.25" customHeight="1" x14ac:dyDescent="0.35">
      <c r="A96" s="9">
        <v>45870</v>
      </c>
      <c r="B96" s="39"/>
      <c r="C96" s="17" t="s">
        <v>135</v>
      </c>
      <c r="D96" s="11" t="s">
        <v>125</v>
      </c>
      <c r="E96" s="29" t="s">
        <v>133</v>
      </c>
    </row>
    <row r="97" spans="1:6" s="34" customFormat="1" ht="14.25" customHeight="1" x14ac:dyDescent="0.35">
      <c r="A97" s="31">
        <v>45871</v>
      </c>
      <c r="B97" s="42"/>
      <c r="C97" s="32" t="s">
        <v>135</v>
      </c>
      <c r="D97" s="36" t="s">
        <v>125</v>
      </c>
      <c r="E97" s="35"/>
      <c r="F97" s="50"/>
    </row>
    <row r="98" spans="1:6" s="34" customFormat="1" ht="14.25" customHeight="1" x14ac:dyDescent="0.35">
      <c r="A98" s="31">
        <v>45872</v>
      </c>
      <c r="B98" s="42"/>
      <c r="C98" s="32" t="s">
        <v>135</v>
      </c>
      <c r="D98" s="36" t="s">
        <v>125</v>
      </c>
      <c r="E98" s="32"/>
      <c r="F98" s="50"/>
    </row>
    <row r="99" spans="1:6" ht="14.25" customHeight="1" x14ac:dyDescent="0.35">
      <c r="A99" s="9">
        <v>45873</v>
      </c>
      <c r="B99" s="39"/>
      <c r="E99" s="10"/>
    </row>
    <row r="100" spans="1:6" ht="14.25" customHeight="1" x14ac:dyDescent="0.35">
      <c r="A100" s="9">
        <v>45874</v>
      </c>
      <c r="B100" s="39"/>
      <c r="E100" s="10"/>
    </row>
    <row r="101" spans="1:6" ht="14.25" customHeight="1" x14ac:dyDescent="0.35">
      <c r="A101" s="9">
        <v>45875</v>
      </c>
      <c r="B101" s="39"/>
      <c r="C101" s="10"/>
      <c r="D101" s="65" t="s">
        <v>231</v>
      </c>
      <c r="E101" s="10"/>
    </row>
    <row r="102" spans="1:6" ht="14.25" customHeight="1" x14ac:dyDescent="0.35">
      <c r="A102" s="9">
        <v>45876</v>
      </c>
      <c r="B102" s="39"/>
      <c r="C102" s="19" t="s">
        <v>146</v>
      </c>
      <c r="D102" s="11" t="s">
        <v>125</v>
      </c>
      <c r="E102" s="10"/>
    </row>
    <row r="103" spans="1:6" ht="14.25" customHeight="1" x14ac:dyDescent="0.35">
      <c r="A103" s="9">
        <v>45877</v>
      </c>
      <c r="B103" s="39"/>
      <c r="C103" s="19" t="s">
        <v>129</v>
      </c>
      <c r="D103" s="11" t="s">
        <v>125</v>
      </c>
      <c r="E103" s="21" t="s">
        <v>134</v>
      </c>
    </row>
    <row r="104" spans="1:6" s="34" customFormat="1" ht="14.25" customHeight="1" x14ac:dyDescent="0.35">
      <c r="A104" s="31">
        <v>45878</v>
      </c>
      <c r="B104" s="42"/>
      <c r="C104" s="32"/>
      <c r="D104" s="36" t="s">
        <v>125</v>
      </c>
      <c r="E104" s="35"/>
      <c r="F104" s="50"/>
    </row>
    <row r="105" spans="1:6" s="34" customFormat="1" ht="14.25" customHeight="1" x14ac:dyDescent="0.35">
      <c r="A105" s="31">
        <v>45879</v>
      </c>
      <c r="B105" s="42"/>
      <c r="C105" s="32"/>
      <c r="D105" s="36" t="s">
        <v>125</v>
      </c>
      <c r="E105" s="32"/>
      <c r="F105" s="50"/>
    </row>
    <row r="106" spans="1:6" ht="14.25" customHeight="1" x14ac:dyDescent="0.35">
      <c r="A106" s="9">
        <v>45880</v>
      </c>
      <c r="B106" s="39"/>
      <c r="C106" s="18" t="s">
        <v>193</v>
      </c>
      <c r="D106" s="11"/>
      <c r="E106" s="22"/>
    </row>
    <row r="107" spans="1:6" ht="14.25" customHeight="1" x14ac:dyDescent="0.35">
      <c r="A107" s="9">
        <v>45881</v>
      </c>
      <c r="B107" s="39"/>
      <c r="C107" s="18" t="s">
        <v>130</v>
      </c>
      <c r="D107" s="11"/>
      <c r="E107" s="23"/>
    </row>
    <row r="108" spans="1:6" ht="14.25" customHeight="1" x14ac:dyDescent="0.35">
      <c r="A108" s="9">
        <v>45882</v>
      </c>
      <c r="B108" s="39"/>
      <c r="D108" s="65" t="s">
        <v>230</v>
      </c>
      <c r="E108" s="10"/>
    </row>
    <row r="109" spans="1:6" ht="14.25" customHeight="1" x14ac:dyDescent="0.35">
      <c r="A109" s="9">
        <v>45883</v>
      </c>
      <c r="B109" s="39"/>
      <c r="C109" s="12" t="s">
        <v>232</v>
      </c>
      <c r="D109" s="11" t="s">
        <v>125</v>
      </c>
      <c r="E109" s="10"/>
    </row>
    <row r="110" spans="1:6" ht="14.25" customHeight="1" x14ac:dyDescent="0.35">
      <c r="A110" s="9">
        <v>45884</v>
      </c>
      <c r="B110" s="39"/>
      <c r="C110" s="12" t="s">
        <v>233</v>
      </c>
      <c r="D110" s="11" t="s">
        <v>125</v>
      </c>
    </row>
    <row r="111" spans="1:6" s="34" customFormat="1" ht="14.25" customHeight="1" x14ac:dyDescent="0.35">
      <c r="A111" s="31">
        <v>45885</v>
      </c>
      <c r="B111" s="42"/>
      <c r="C111" s="32"/>
      <c r="D111" s="36" t="s">
        <v>125</v>
      </c>
      <c r="E111" s="35"/>
      <c r="F111" s="50"/>
    </row>
    <row r="112" spans="1:6" s="34" customFormat="1" ht="14.25" customHeight="1" x14ac:dyDescent="0.35">
      <c r="A112" s="31">
        <v>45886</v>
      </c>
      <c r="B112" s="42"/>
      <c r="C112" s="32"/>
      <c r="D112" s="36" t="s">
        <v>125</v>
      </c>
      <c r="E112" s="35"/>
      <c r="F112" s="50"/>
    </row>
    <row r="113" spans="1:6" ht="14.25" customHeight="1" x14ac:dyDescent="0.35">
      <c r="A113" s="9">
        <v>45887</v>
      </c>
      <c r="B113" s="39"/>
      <c r="C113" s="18" t="s">
        <v>192</v>
      </c>
      <c r="D113" s="11"/>
      <c r="E113" s="10"/>
    </row>
    <row r="114" spans="1:6" ht="14.25" customHeight="1" x14ac:dyDescent="0.35">
      <c r="A114" s="9">
        <v>45888</v>
      </c>
      <c r="B114" s="39"/>
      <c r="C114" s="20" t="s">
        <v>252</v>
      </c>
    </row>
    <row r="115" spans="1:6" ht="14.25" customHeight="1" x14ac:dyDescent="0.35">
      <c r="A115" s="9">
        <v>45889</v>
      </c>
      <c r="B115" s="39"/>
      <c r="C115" s="20" t="s">
        <v>253</v>
      </c>
      <c r="D115" s="65" t="s">
        <v>237</v>
      </c>
      <c r="E115" s="10"/>
    </row>
    <row r="116" spans="1:6" ht="14.25" customHeight="1" x14ac:dyDescent="0.35">
      <c r="A116" s="9">
        <v>45890</v>
      </c>
      <c r="B116" s="39"/>
      <c r="C116" s="10"/>
      <c r="D116" s="11"/>
      <c r="E116" s="10"/>
    </row>
    <row r="117" spans="1:6" ht="14.25" customHeight="1" x14ac:dyDescent="0.35">
      <c r="A117" s="9">
        <v>45891</v>
      </c>
      <c r="B117" s="39"/>
      <c r="C117" s="10"/>
      <c r="D117" s="11"/>
    </row>
    <row r="118" spans="1:6" ht="14.25" customHeight="1" x14ac:dyDescent="0.35">
      <c r="A118" s="9">
        <v>45892</v>
      </c>
      <c r="B118" s="39"/>
      <c r="C118" s="10"/>
      <c r="D118" s="11"/>
    </row>
    <row r="119" spans="1:6" s="34" customFormat="1" ht="14.25" customHeight="1" x14ac:dyDescent="0.35">
      <c r="A119" s="31">
        <v>45893</v>
      </c>
      <c r="B119" s="42"/>
      <c r="C119" s="32"/>
      <c r="D119" s="36"/>
      <c r="E119" s="35"/>
      <c r="F119" s="50"/>
    </row>
    <row r="120" spans="1:6" s="34" customFormat="1" ht="14.25" customHeight="1" x14ac:dyDescent="0.35">
      <c r="A120" s="31">
        <v>45894</v>
      </c>
      <c r="B120" s="42"/>
      <c r="C120" s="32"/>
      <c r="D120" s="36"/>
      <c r="E120" s="35"/>
      <c r="F120" s="50"/>
    </row>
    <row r="121" spans="1:6" ht="14.25" customHeight="1" x14ac:dyDescent="0.35">
      <c r="A121" s="9">
        <v>45895</v>
      </c>
      <c r="B121" s="39"/>
      <c r="C121" s="10"/>
      <c r="D121" s="11"/>
    </row>
    <row r="122" spans="1:6" ht="14.25" customHeight="1" x14ac:dyDescent="0.35">
      <c r="A122" s="9">
        <v>45896</v>
      </c>
      <c r="B122" s="39"/>
      <c r="C122" s="10"/>
      <c r="D122" s="11"/>
      <c r="E122" s="10"/>
    </row>
    <row r="123" spans="1:6" ht="14.25" customHeight="1" x14ac:dyDescent="0.35">
      <c r="A123" s="9">
        <v>45897</v>
      </c>
      <c r="B123" s="39"/>
      <c r="D123" s="11"/>
      <c r="E123" s="10"/>
    </row>
    <row r="124" spans="1:6" ht="14.25" customHeight="1" x14ac:dyDescent="0.35">
      <c r="A124" s="9">
        <v>45898</v>
      </c>
      <c r="B124" s="39"/>
      <c r="D124" s="11"/>
    </row>
    <row r="125" spans="1:6" ht="14.25" customHeight="1" x14ac:dyDescent="0.35">
      <c r="A125" s="9">
        <v>45899</v>
      </c>
      <c r="B125" s="39"/>
      <c r="C125" s="10"/>
      <c r="D125" s="11"/>
    </row>
    <row r="126" spans="1:6" s="34" customFormat="1" ht="14.25" customHeight="1" x14ac:dyDescent="0.35">
      <c r="A126" s="31">
        <v>45900</v>
      </c>
      <c r="B126" s="42"/>
      <c r="C126" s="32"/>
      <c r="D126" s="36"/>
      <c r="E126" s="35"/>
      <c r="F126" s="50"/>
    </row>
    <row r="127" spans="1:6" s="34" customFormat="1" ht="14.25" customHeight="1" x14ac:dyDescent="0.35">
      <c r="A127" s="31">
        <v>45901</v>
      </c>
      <c r="B127" s="42"/>
      <c r="C127" s="32"/>
      <c r="D127" s="36"/>
      <c r="E127" s="35"/>
      <c r="F127" s="50"/>
    </row>
    <row r="128" spans="1:6" ht="14.25" customHeight="1" x14ac:dyDescent="0.35">
      <c r="A128" s="9">
        <v>45902</v>
      </c>
      <c r="B128" s="39"/>
      <c r="C128" s="10"/>
      <c r="E128" s="103" t="s">
        <v>238</v>
      </c>
    </row>
    <row r="129" spans="1:6" ht="14.25" customHeight="1" x14ac:dyDescent="0.35">
      <c r="A129" s="9">
        <v>45903</v>
      </c>
      <c r="B129" s="39"/>
      <c r="C129" s="10"/>
      <c r="E129" s="103"/>
    </row>
    <row r="130" spans="1:6" ht="14.25" customHeight="1" x14ac:dyDescent="0.35">
      <c r="A130" s="9">
        <v>45904</v>
      </c>
      <c r="B130" s="39"/>
      <c r="D130" s="11"/>
      <c r="E130" s="103"/>
    </row>
    <row r="131" spans="1:6" ht="14.25" customHeight="1" x14ac:dyDescent="0.35">
      <c r="A131" s="9">
        <v>45905</v>
      </c>
      <c r="B131" s="39"/>
      <c r="C131" s="10"/>
      <c r="D131" s="11"/>
      <c r="E131" s="103"/>
    </row>
    <row r="132" spans="1:6" ht="14.25" customHeight="1" x14ac:dyDescent="0.35">
      <c r="A132" s="9">
        <v>45906</v>
      </c>
      <c r="B132" s="39"/>
      <c r="C132" s="10"/>
      <c r="D132" s="11"/>
      <c r="E132" s="103"/>
    </row>
    <row r="133" spans="1:6" s="34" customFormat="1" ht="14.25" customHeight="1" x14ac:dyDescent="0.35">
      <c r="A133" s="31">
        <v>45907</v>
      </c>
      <c r="B133" s="42"/>
      <c r="C133" s="32"/>
      <c r="D133" s="36"/>
      <c r="E133" s="103"/>
      <c r="F133" s="50"/>
    </row>
    <row r="134" spans="1:6" s="34" customFormat="1" ht="14.25" customHeight="1" x14ac:dyDescent="0.35">
      <c r="A134" s="31">
        <v>45908</v>
      </c>
      <c r="B134" s="42"/>
      <c r="C134" s="32"/>
      <c r="D134" s="36"/>
      <c r="E134" s="103"/>
      <c r="F134" s="50"/>
    </row>
    <row r="135" spans="1:6" ht="14.25" customHeight="1" x14ac:dyDescent="0.35">
      <c r="A135" s="9">
        <v>45909</v>
      </c>
      <c r="B135" s="39"/>
      <c r="E135" s="103"/>
    </row>
    <row r="136" spans="1:6" ht="14.25" customHeight="1" x14ac:dyDescent="0.35">
      <c r="A136" s="9">
        <v>45910</v>
      </c>
      <c r="B136" s="39"/>
      <c r="C136" s="10"/>
      <c r="D136" s="11"/>
      <c r="E136" s="29"/>
    </row>
    <row r="137" spans="1:6" ht="14.25" customHeight="1" x14ac:dyDescent="0.35">
      <c r="A137" s="9">
        <v>45911</v>
      </c>
      <c r="B137" s="39"/>
      <c r="C137" s="10"/>
      <c r="D137" s="11"/>
      <c r="E137" s="29" t="s">
        <v>239</v>
      </c>
    </row>
    <row r="138" spans="1:6" ht="14.25" customHeight="1" x14ac:dyDescent="0.35">
      <c r="A138" s="9">
        <v>45912</v>
      </c>
      <c r="B138" s="39"/>
      <c r="C138" s="10"/>
      <c r="D138" s="11"/>
      <c r="E138" s="103"/>
    </row>
    <row r="139" spans="1:6" ht="14.25" customHeight="1" x14ac:dyDescent="0.35">
      <c r="A139" s="9">
        <v>45913</v>
      </c>
      <c r="B139" s="39"/>
      <c r="C139" s="10"/>
      <c r="D139" s="11"/>
      <c r="E139" s="103"/>
    </row>
    <row r="140" spans="1:6" s="34" customFormat="1" ht="14.25" customHeight="1" x14ac:dyDescent="0.35">
      <c r="A140" s="31">
        <v>45914</v>
      </c>
      <c r="B140" s="42"/>
      <c r="C140" s="32"/>
      <c r="D140" s="36"/>
      <c r="E140" s="103"/>
      <c r="F140" s="50"/>
    </row>
    <row r="141" spans="1:6" s="34" customFormat="1" ht="14.25" customHeight="1" x14ac:dyDescent="0.35">
      <c r="A141" s="31">
        <v>45915</v>
      </c>
      <c r="B141" s="42"/>
      <c r="C141" s="32"/>
      <c r="D141" s="36"/>
      <c r="E141" s="35"/>
      <c r="F141" s="50"/>
    </row>
    <row r="142" spans="1:6" ht="14.25" customHeight="1" x14ac:dyDescent="0.35">
      <c r="A142" s="9">
        <v>45916</v>
      </c>
      <c r="B142" s="39"/>
      <c r="C142" s="10"/>
      <c r="D142" s="11"/>
    </row>
    <row r="143" spans="1:6" ht="14.25" customHeight="1" x14ac:dyDescent="0.35">
      <c r="A143" s="9">
        <v>45917</v>
      </c>
      <c r="B143" s="39"/>
      <c r="D143" s="11"/>
      <c r="E143" s="10"/>
    </row>
    <row r="144" spans="1:6" ht="14.25" customHeight="1" x14ac:dyDescent="0.35">
      <c r="A144" s="9">
        <v>45918</v>
      </c>
      <c r="B144" s="39"/>
      <c r="C144" s="10"/>
      <c r="D144" s="11"/>
    </row>
    <row r="145" spans="1:5" ht="14.25" customHeight="1" x14ac:dyDescent="0.35">
      <c r="A145" s="9">
        <v>45919</v>
      </c>
      <c r="B145" s="39"/>
      <c r="C145" s="10"/>
      <c r="D145" s="11"/>
    </row>
    <row r="146" spans="1:5" ht="14.15" customHeight="1" x14ac:dyDescent="0.35">
      <c r="A146" s="9">
        <v>45920</v>
      </c>
      <c r="B146" s="39"/>
      <c r="C146" s="10"/>
      <c r="D146" s="11"/>
    </row>
    <row r="147" spans="1:5" ht="14.25" customHeight="1" x14ac:dyDescent="0.35">
      <c r="A147" s="9">
        <v>45921</v>
      </c>
      <c r="B147" s="39"/>
      <c r="C147" s="10"/>
      <c r="D147" s="11"/>
    </row>
    <row r="148" spans="1:5" ht="14.25" customHeight="1" x14ac:dyDescent="0.35">
      <c r="A148" s="9">
        <v>45922</v>
      </c>
      <c r="B148" s="39"/>
      <c r="C148" s="10"/>
      <c r="E148" s="10"/>
    </row>
    <row r="149" spans="1:5" ht="14.25" customHeight="1" x14ac:dyDescent="0.35">
      <c r="A149" s="9">
        <v>45923</v>
      </c>
      <c r="B149" s="39"/>
      <c r="C149" s="10"/>
      <c r="D149" s="11"/>
      <c r="E149" s="10"/>
    </row>
    <row r="150" spans="1:5" ht="14.25" customHeight="1" x14ac:dyDescent="0.35">
      <c r="A150" s="9">
        <v>45924</v>
      </c>
      <c r="B150" s="39"/>
      <c r="C150" s="10"/>
      <c r="D150" s="11"/>
      <c r="E150" s="10"/>
    </row>
    <row r="151" spans="1:5" ht="14.25" customHeight="1" x14ac:dyDescent="0.35">
      <c r="A151" s="9">
        <v>45925</v>
      </c>
      <c r="B151" s="39"/>
      <c r="C151" s="10"/>
      <c r="D151" s="11"/>
      <c r="E151" s="10"/>
    </row>
    <row r="152" spans="1:5" ht="14.25" customHeight="1" x14ac:dyDescent="0.35">
      <c r="A152" s="9">
        <v>45926</v>
      </c>
      <c r="B152" s="39"/>
      <c r="C152" s="10"/>
      <c r="D152" s="11"/>
    </row>
    <row r="153" spans="1:5" ht="14.25" customHeight="1" x14ac:dyDescent="0.35">
      <c r="A153" s="9">
        <v>45927</v>
      </c>
      <c r="B153" s="39"/>
      <c r="C153" s="10"/>
      <c r="D153" s="11"/>
    </row>
    <row r="154" spans="1:5" ht="14.25" customHeight="1" x14ac:dyDescent="0.35">
      <c r="A154" s="9">
        <v>45928</v>
      </c>
      <c r="B154" s="39"/>
      <c r="C154" s="10"/>
      <c r="D154" s="11"/>
    </row>
    <row r="155" spans="1:5" ht="14.25" customHeight="1" x14ac:dyDescent="0.35">
      <c r="A155" s="9">
        <v>45929</v>
      </c>
      <c r="B155" s="39"/>
      <c r="C155" s="10"/>
      <c r="D155" s="11"/>
    </row>
    <row r="156" spans="1:5" ht="14.25" customHeight="1" x14ac:dyDescent="0.35">
      <c r="A156" s="9">
        <v>45930</v>
      </c>
      <c r="B156" s="39"/>
      <c r="C156" s="10"/>
      <c r="D156" s="11"/>
      <c r="E156" s="10"/>
    </row>
    <row r="157" spans="1:5" ht="14.25" customHeight="1" x14ac:dyDescent="0.35">
      <c r="A157" s="9">
        <v>45931</v>
      </c>
      <c r="B157" s="39"/>
      <c r="C157" s="10"/>
      <c r="D157" s="11"/>
      <c r="E157" s="10"/>
    </row>
    <row r="158" spans="1:5" ht="14.25" customHeight="1" x14ac:dyDescent="0.35">
      <c r="A158" s="9">
        <v>45932</v>
      </c>
      <c r="B158" s="39"/>
      <c r="C158" s="10"/>
      <c r="D158" s="11"/>
      <c r="E158" s="10"/>
    </row>
    <row r="159" spans="1:5" ht="14.25" customHeight="1" x14ac:dyDescent="0.35">
      <c r="A159" s="9">
        <v>45933</v>
      </c>
      <c r="B159" s="39"/>
      <c r="C159" s="10"/>
      <c r="D159" s="11"/>
    </row>
    <row r="160" spans="1:5" ht="14.25" customHeight="1" x14ac:dyDescent="0.35">
      <c r="A160" s="9">
        <v>45934</v>
      </c>
      <c r="B160" s="39"/>
      <c r="C160" s="10"/>
      <c r="D160" s="11"/>
    </row>
    <row r="161" spans="1:5" ht="14.25" customHeight="1" x14ac:dyDescent="0.35">
      <c r="A161" s="9">
        <v>45935</v>
      </c>
      <c r="B161" s="39"/>
      <c r="C161" s="10"/>
      <c r="D161" s="11"/>
      <c r="E161" s="10"/>
    </row>
    <row r="162" spans="1:5" ht="14.25" customHeight="1" x14ac:dyDescent="0.35">
      <c r="A162" s="9">
        <v>45936</v>
      </c>
      <c r="B162" s="39"/>
      <c r="C162" s="10"/>
      <c r="D162" s="11"/>
    </row>
    <row r="163" spans="1:5" ht="14.25" customHeight="1" x14ac:dyDescent="0.35">
      <c r="A163" s="9">
        <v>45937</v>
      </c>
      <c r="B163" s="39"/>
      <c r="C163" s="10"/>
      <c r="D163" s="11"/>
      <c r="E163" s="10"/>
    </row>
    <row r="164" spans="1:5" ht="14.25" customHeight="1" x14ac:dyDescent="0.35">
      <c r="A164" s="9">
        <v>45938</v>
      </c>
      <c r="B164" s="39"/>
      <c r="C164" s="10"/>
      <c r="D164" s="11"/>
      <c r="E164" s="10"/>
    </row>
    <row r="165" spans="1:5" ht="14.25" customHeight="1" x14ac:dyDescent="0.35">
      <c r="A165" s="9">
        <v>45939</v>
      </c>
      <c r="B165" s="39"/>
      <c r="C165" s="24"/>
      <c r="D165" s="11"/>
      <c r="E165" s="10"/>
    </row>
    <row r="166" spans="1:5" ht="14.25" customHeight="1" x14ac:dyDescent="0.35">
      <c r="A166" s="9">
        <v>45940</v>
      </c>
      <c r="B166" s="39"/>
      <c r="C166" s="24"/>
      <c r="D166" s="11"/>
      <c r="E166" s="10"/>
    </row>
    <row r="167" spans="1:5" ht="14.25" customHeight="1" x14ac:dyDescent="0.35">
      <c r="A167" s="9">
        <v>45941</v>
      </c>
      <c r="B167" s="39"/>
      <c r="C167" s="24"/>
      <c r="D167" s="11"/>
      <c r="E167" s="10"/>
    </row>
    <row r="168" spans="1:5" ht="14.25" customHeight="1" x14ac:dyDescent="0.35">
      <c r="A168" s="9">
        <v>45942</v>
      </c>
      <c r="B168" s="39"/>
      <c r="C168" s="24"/>
      <c r="D168" s="11"/>
    </row>
    <row r="169" spans="1:5" ht="14.25" customHeight="1" x14ac:dyDescent="0.35">
      <c r="A169" s="9">
        <v>45943</v>
      </c>
      <c r="B169" s="39"/>
      <c r="C169" s="24"/>
      <c r="D169" s="11"/>
    </row>
    <row r="170" spans="1:5" ht="14.25" customHeight="1" x14ac:dyDescent="0.35">
      <c r="A170" s="9">
        <v>45944</v>
      </c>
      <c r="B170" s="39"/>
      <c r="C170" s="24"/>
      <c r="D170" s="25"/>
      <c r="E170" s="24"/>
    </row>
    <row r="171" spans="1:5" ht="14.25" customHeight="1" x14ac:dyDescent="0.35">
      <c r="A171" s="9">
        <v>45945</v>
      </c>
      <c r="B171" s="39"/>
      <c r="C171" s="24"/>
      <c r="D171" s="25"/>
      <c r="E171" s="24"/>
    </row>
    <row r="172" spans="1:5" ht="14.25" customHeight="1" x14ac:dyDescent="0.35">
      <c r="A172" s="9">
        <v>45946</v>
      </c>
      <c r="B172" s="39"/>
      <c r="C172" s="24"/>
      <c r="D172" s="25"/>
      <c r="E172" s="24"/>
    </row>
    <row r="173" spans="1:5" ht="14.25" customHeight="1" x14ac:dyDescent="0.35">
      <c r="A173" s="9">
        <v>45947</v>
      </c>
      <c r="B173" s="39"/>
      <c r="C173" s="24"/>
      <c r="D173" s="25"/>
      <c r="E173" s="24"/>
    </row>
    <row r="174" spans="1:5" ht="14.25" customHeight="1" x14ac:dyDescent="0.35">
      <c r="A174" s="9">
        <v>45948</v>
      </c>
      <c r="B174" s="39"/>
      <c r="C174" s="24"/>
      <c r="D174" s="25"/>
      <c r="E174" s="24"/>
    </row>
    <row r="175" spans="1:5" ht="14.25" customHeight="1" x14ac:dyDescent="0.35">
      <c r="A175" s="9">
        <v>45949</v>
      </c>
      <c r="B175" s="39"/>
      <c r="C175" s="24"/>
      <c r="D175" s="25"/>
      <c r="E175" s="24"/>
    </row>
    <row r="176" spans="1:5" ht="14.25" customHeight="1" x14ac:dyDescent="0.35">
      <c r="A176" s="9">
        <v>45950</v>
      </c>
      <c r="B176" s="39"/>
      <c r="C176" s="24"/>
      <c r="D176" s="25"/>
      <c r="E176" s="24"/>
    </row>
    <row r="177" spans="1:5" ht="14.25" customHeight="1" x14ac:dyDescent="0.35">
      <c r="A177" s="9">
        <v>45951</v>
      </c>
      <c r="B177" s="39"/>
      <c r="C177" s="24"/>
      <c r="D177" s="25"/>
      <c r="E177" s="24"/>
    </row>
    <row r="178" spans="1:5" ht="14.25" customHeight="1" x14ac:dyDescent="0.35">
      <c r="A178" s="9">
        <v>45952</v>
      </c>
      <c r="B178" s="39"/>
      <c r="C178" s="24"/>
      <c r="D178" s="25"/>
      <c r="E178" s="24"/>
    </row>
    <row r="179" spans="1:5" ht="14.25" customHeight="1" x14ac:dyDescent="0.35">
      <c r="A179" s="9">
        <v>45953</v>
      </c>
      <c r="B179" s="39"/>
      <c r="C179" s="24"/>
      <c r="D179" s="25"/>
      <c r="E179" s="24"/>
    </row>
    <row r="180" spans="1:5" ht="14.25" customHeight="1" x14ac:dyDescent="0.35">
      <c r="A180" s="9">
        <v>45954</v>
      </c>
      <c r="B180" s="39"/>
      <c r="D180" s="25"/>
      <c r="E180" s="24"/>
    </row>
    <row r="181" spans="1:5" ht="14.25" customHeight="1" x14ac:dyDescent="0.35">
      <c r="A181" s="9">
        <v>45955</v>
      </c>
      <c r="B181" s="39"/>
      <c r="D181" s="25"/>
      <c r="E181" s="24"/>
    </row>
    <row r="182" spans="1:5" ht="14.25" customHeight="1" x14ac:dyDescent="0.35">
      <c r="A182" s="9">
        <v>45956</v>
      </c>
      <c r="B182" s="39"/>
      <c r="C182" s="10"/>
      <c r="D182" s="25"/>
      <c r="E182" s="24"/>
    </row>
    <row r="183" spans="1:5" ht="14.25" customHeight="1" x14ac:dyDescent="0.35">
      <c r="A183" s="9">
        <v>45957</v>
      </c>
      <c r="B183" s="39"/>
      <c r="C183" s="10"/>
      <c r="D183" s="25"/>
      <c r="E183" s="24"/>
    </row>
    <row r="184" spans="1:5" ht="14.25" customHeight="1" x14ac:dyDescent="0.35">
      <c r="A184" s="9">
        <v>45958</v>
      </c>
      <c r="B184" s="39"/>
      <c r="D184" s="25"/>
      <c r="E184" s="24"/>
    </row>
    <row r="185" spans="1:5" ht="14.25" customHeight="1" x14ac:dyDescent="0.35">
      <c r="A185" s="9">
        <v>45959</v>
      </c>
      <c r="B185" s="39"/>
      <c r="E185" s="10"/>
    </row>
    <row r="186" spans="1:5" ht="14.25" customHeight="1" x14ac:dyDescent="0.35">
      <c r="A186" s="9">
        <v>45960</v>
      </c>
      <c r="B186" s="39"/>
      <c r="E186" s="10"/>
    </row>
    <row r="187" spans="1:5" ht="14.25" customHeight="1" x14ac:dyDescent="0.35">
      <c r="A187" s="9">
        <v>45961</v>
      </c>
      <c r="B187" s="39"/>
      <c r="D187" s="11"/>
      <c r="E187" s="10"/>
    </row>
    <row r="188" spans="1:5" ht="14.25" customHeight="1" x14ac:dyDescent="0.35">
      <c r="A188" s="9">
        <v>45962</v>
      </c>
      <c r="B188" s="39"/>
      <c r="C188" s="10"/>
      <c r="D188" s="11"/>
      <c r="E188" s="10"/>
    </row>
    <row r="189" spans="1:5" ht="14.25" customHeight="1" x14ac:dyDescent="0.35">
      <c r="A189" s="9">
        <v>45963</v>
      </c>
      <c r="B189" s="39"/>
      <c r="C189" s="10"/>
      <c r="E189" s="10"/>
    </row>
    <row r="190" spans="1:5" ht="14.25" customHeight="1" x14ac:dyDescent="0.35">
      <c r="A190" s="9">
        <v>45964</v>
      </c>
      <c r="B190" s="39"/>
      <c r="C190" s="10"/>
      <c r="E190" s="10"/>
    </row>
    <row r="191" spans="1:5" ht="14.25" customHeight="1" x14ac:dyDescent="0.35">
      <c r="A191" s="9">
        <v>45965</v>
      </c>
      <c r="B191" s="39"/>
      <c r="C191" s="10"/>
      <c r="E191" s="10"/>
    </row>
    <row r="192" spans="1:5" ht="14.25" customHeight="1" x14ac:dyDescent="0.35">
      <c r="A192" s="9">
        <v>45966</v>
      </c>
      <c r="B192" s="39"/>
      <c r="C192" s="10"/>
      <c r="E192" s="10"/>
    </row>
    <row r="193" spans="1:5" ht="14.25" customHeight="1" x14ac:dyDescent="0.35">
      <c r="A193" s="9">
        <v>45967</v>
      </c>
      <c r="B193" s="39"/>
      <c r="C193" s="10"/>
      <c r="D193" s="11"/>
      <c r="E193" s="10"/>
    </row>
    <row r="194" spans="1:5" ht="14.25" customHeight="1" x14ac:dyDescent="0.35">
      <c r="A194" s="9">
        <v>45968</v>
      </c>
      <c r="B194" s="39"/>
      <c r="C194" s="10"/>
      <c r="D194" s="11"/>
      <c r="E194" s="10"/>
    </row>
    <row r="195" spans="1:5" ht="14.25" customHeight="1" x14ac:dyDescent="0.35">
      <c r="A195" s="9">
        <v>45969</v>
      </c>
      <c r="B195" s="39"/>
      <c r="C195" s="10"/>
      <c r="D195" s="11"/>
      <c r="E195" s="10"/>
    </row>
    <row r="196" spans="1:5" ht="14.25" customHeight="1" x14ac:dyDescent="0.35">
      <c r="A196" s="9">
        <v>45970</v>
      </c>
      <c r="B196" s="39"/>
      <c r="C196" s="10"/>
      <c r="D196" s="11"/>
      <c r="E196" s="10"/>
    </row>
    <row r="197" spans="1:5" ht="14.25" customHeight="1" x14ac:dyDescent="0.35">
      <c r="A197" s="9">
        <v>45971</v>
      </c>
      <c r="B197" s="39"/>
      <c r="C197" s="10"/>
      <c r="D197" s="11"/>
      <c r="E197" s="10"/>
    </row>
    <row r="198" spans="1:5" ht="14.25" customHeight="1" x14ac:dyDescent="0.35">
      <c r="A198" s="9">
        <v>45972</v>
      </c>
      <c r="B198" s="39"/>
      <c r="C198" s="10"/>
      <c r="D198" s="11"/>
      <c r="E198" s="10"/>
    </row>
    <row r="199" spans="1:5" ht="14.25" customHeight="1" x14ac:dyDescent="0.35">
      <c r="A199" s="9">
        <v>45973</v>
      </c>
      <c r="B199" s="39"/>
      <c r="C199" s="10"/>
      <c r="D199" s="11"/>
      <c r="E199" s="10"/>
    </row>
    <row r="200" spans="1:5" ht="14.25" customHeight="1" x14ac:dyDescent="0.35">
      <c r="A200" s="9">
        <v>45974</v>
      </c>
      <c r="B200" s="39"/>
      <c r="C200" s="10"/>
      <c r="D200" s="11"/>
      <c r="E200" s="10"/>
    </row>
    <row r="201" spans="1:5" ht="14.25" customHeight="1" x14ac:dyDescent="0.35">
      <c r="A201" s="9">
        <v>45975</v>
      </c>
      <c r="B201" s="39"/>
      <c r="C201" s="10"/>
      <c r="D201" s="11"/>
      <c r="E201" s="10"/>
    </row>
    <row r="202" spans="1:5" ht="14.25" customHeight="1" x14ac:dyDescent="0.35">
      <c r="A202" s="9">
        <v>45976</v>
      </c>
      <c r="B202" s="39"/>
      <c r="C202" s="10"/>
      <c r="D202" s="11"/>
      <c r="E202" s="10"/>
    </row>
    <row r="203" spans="1:5" ht="14.25" customHeight="1" x14ac:dyDescent="0.35">
      <c r="A203" s="9">
        <v>45977</v>
      </c>
      <c r="B203" s="39"/>
      <c r="C203" s="10"/>
      <c r="D203" s="11"/>
      <c r="E203" s="10"/>
    </row>
    <row r="204" spans="1:5" ht="14.25" customHeight="1" x14ac:dyDescent="0.35">
      <c r="A204" s="9">
        <v>45978</v>
      </c>
      <c r="B204" s="39"/>
      <c r="C204" s="10"/>
      <c r="D204" s="11"/>
      <c r="E204" s="10"/>
    </row>
    <row r="205" spans="1:5" ht="14.25" customHeight="1" x14ac:dyDescent="0.35">
      <c r="A205" s="9">
        <v>45979</v>
      </c>
      <c r="B205" s="39"/>
      <c r="D205" s="11"/>
      <c r="E205" s="10"/>
    </row>
    <row r="206" spans="1:5" ht="14.25" customHeight="1" x14ac:dyDescent="0.35">
      <c r="A206" s="9">
        <v>45980</v>
      </c>
      <c r="B206" s="39"/>
      <c r="D206" s="11"/>
      <c r="E206" s="10"/>
    </row>
    <row r="207" spans="1:5" ht="14.25" customHeight="1" x14ac:dyDescent="0.35">
      <c r="A207" s="9">
        <v>45981</v>
      </c>
      <c r="B207" s="39"/>
      <c r="D207" s="11"/>
      <c r="E207" s="10"/>
    </row>
    <row r="208" spans="1:5" ht="14.25" customHeight="1" x14ac:dyDescent="0.35">
      <c r="A208" s="9">
        <v>45982</v>
      </c>
      <c r="B208" s="39"/>
      <c r="D208" s="11"/>
      <c r="E208" s="10"/>
    </row>
    <row r="209" spans="1:5" ht="14.25" customHeight="1" x14ac:dyDescent="0.35">
      <c r="A209" s="9">
        <v>45983</v>
      </c>
      <c r="B209" s="39"/>
      <c r="D209" s="11"/>
      <c r="E209" s="10"/>
    </row>
    <row r="210" spans="1:5" ht="14.25" customHeight="1" x14ac:dyDescent="0.35">
      <c r="A210" s="9">
        <v>45984</v>
      </c>
      <c r="B210" s="39"/>
      <c r="C210" s="10"/>
    </row>
    <row r="211" spans="1:5" ht="14.25" customHeight="1" x14ac:dyDescent="0.35">
      <c r="A211" s="9">
        <v>45985</v>
      </c>
      <c r="B211" s="39"/>
      <c r="C211" s="10"/>
      <c r="E211" s="10"/>
    </row>
    <row r="212" spans="1:5" ht="14.25" customHeight="1" x14ac:dyDescent="0.35">
      <c r="A212" s="9">
        <v>45986</v>
      </c>
      <c r="B212" s="39"/>
      <c r="C212" s="10"/>
    </row>
    <row r="213" spans="1:5" ht="14.25" customHeight="1" x14ac:dyDescent="0.35">
      <c r="A213" s="9">
        <v>45987</v>
      </c>
      <c r="B213" s="39"/>
      <c r="E213" s="10"/>
    </row>
    <row r="214" spans="1:5" ht="14.25" customHeight="1" x14ac:dyDescent="0.35">
      <c r="A214" s="9">
        <v>45988</v>
      </c>
      <c r="B214" s="39"/>
      <c r="E214" s="10"/>
    </row>
    <row r="215" spans="1:5" ht="14.25" customHeight="1" x14ac:dyDescent="0.35">
      <c r="A215" s="9">
        <v>45989</v>
      </c>
      <c r="B215" s="39"/>
      <c r="D215" s="11"/>
      <c r="E215" s="10"/>
    </row>
    <row r="216" spans="1:5" ht="14.25" customHeight="1" x14ac:dyDescent="0.35">
      <c r="A216" s="9">
        <v>45990</v>
      </c>
      <c r="B216" s="39"/>
      <c r="C216" s="10"/>
      <c r="D216" s="11"/>
      <c r="E216" s="10"/>
    </row>
    <row r="217" spans="1:5" ht="14.25" customHeight="1" x14ac:dyDescent="0.35">
      <c r="A217" s="9">
        <v>45991</v>
      </c>
      <c r="B217" s="39"/>
      <c r="C217" s="10"/>
      <c r="D217" s="11"/>
      <c r="E217" s="10"/>
    </row>
    <row r="218" spans="1:5" ht="14.25" customHeight="1" x14ac:dyDescent="0.35">
      <c r="A218" s="9">
        <v>45992</v>
      </c>
      <c r="B218" s="39"/>
      <c r="C218" s="10"/>
    </row>
    <row r="219" spans="1:5" ht="14.25" customHeight="1" x14ac:dyDescent="0.35">
      <c r="A219" s="9">
        <v>45993</v>
      </c>
      <c r="B219" s="39"/>
      <c r="C219" s="10"/>
      <c r="E219" s="10"/>
    </row>
    <row r="220" spans="1:5" ht="14.25" customHeight="1" x14ac:dyDescent="0.35">
      <c r="A220" s="9">
        <v>45994</v>
      </c>
      <c r="B220" s="39"/>
      <c r="C220" s="10"/>
      <c r="E220" s="10"/>
    </row>
    <row r="221" spans="1:5" ht="14.25" customHeight="1" x14ac:dyDescent="0.35">
      <c r="A221" s="9">
        <v>45995</v>
      </c>
      <c r="B221" s="39"/>
      <c r="C221" s="10"/>
      <c r="D221" s="11"/>
      <c r="E221" s="10"/>
    </row>
    <row r="222" spans="1:5" ht="14.25" customHeight="1" x14ac:dyDescent="0.35">
      <c r="A222" s="9">
        <v>45996</v>
      </c>
      <c r="B222" s="39"/>
      <c r="C222" s="10"/>
      <c r="D222" s="11"/>
      <c r="E222" s="10"/>
    </row>
    <row r="223" spans="1:5" ht="14.25" customHeight="1" x14ac:dyDescent="0.35">
      <c r="A223" s="9">
        <v>45997</v>
      </c>
      <c r="B223" s="39"/>
      <c r="C223" s="10"/>
      <c r="D223" s="11"/>
      <c r="E223" s="10"/>
    </row>
    <row r="224" spans="1:5" ht="14.25" customHeight="1" x14ac:dyDescent="0.35">
      <c r="A224" s="9">
        <v>45998</v>
      </c>
      <c r="B224" s="39"/>
      <c r="C224" s="10"/>
      <c r="D224" s="11"/>
    </row>
    <row r="225" spans="1:5" ht="14.25" customHeight="1" x14ac:dyDescent="0.35">
      <c r="A225" s="9">
        <v>45999</v>
      </c>
      <c r="B225" s="39"/>
      <c r="C225" s="10"/>
      <c r="D225" s="11"/>
      <c r="E225" s="10"/>
    </row>
    <row r="226" spans="1:5" ht="14.25" customHeight="1" x14ac:dyDescent="0.35">
      <c r="A226" s="9">
        <v>46000</v>
      </c>
      <c r="B226" s="39"/>
      <c r="C226" s="10"/>
      <c r="D226" s="11"/>
      <c r="E226" s="10"/>
    </row>
    <row r="227" spans="1:5" ht="14.25" customHeight="1" x14ac:dyDescent="0.35">
      <c r="A227" s="9">
        <v>46001</v>
      </c>
      <c r="B227" s="39"/>
      <c r="C227" s="10"/>
      <c r="D227" s="11"/>
      <c r="E227" s="10"/>
    </row>
    <row r="228" spans="1:5" ht="14.25" customHeight="1" x14ac:dyDescent="0.35">
      <c r="A228" s="9">
        <v>46002</v>
      </c>
      <c r="B228" s="39"/>
      <c r="C228" s="10"/>
      <c r="D228" s="11"/>
      <c r="E228" s="10"/>
    </row>
    <row r="229" spans="1:5" ht="14.25" customHeight="1" x14ac:dyDescent="0.35">
      <c r="A229" s="9">
        <v>46003</v>
      </c>
      <c r="B229" s="39"/>
      <c r="C229" s="10"/>
      <c r="D229" s="11"/>
      <c r="E229" s="10"/>
    </row>
    <row r="230" spans="1:5" ht="14.25" customHeight="1" x14ac:dyDescent="0.35">
      <c r="A230" s="9">
        <v>46004</v>
      </c>
      <c r="B230" s="39"/>
      <c r="C230" s="10"/>
      <c r="D230" s="11"/>
      <c r="E230" s="10"/>
    </row>
    <row r="231" spans="1:5" ht="14.25" customHeight="1" x14ac:dyDescent="0.35">
      <c r="A231" s="9">
        <v>46005</v>
      </c>
      <c r="B231" s="39"/>
      <c r="C231" s="10"/>
      <c r="D231" s="11"/>
      <c r="E231" s="10"/>
    </row>
    <row r="232" spans="1:5" ht="14.25" customHeight="1" x14ac:dyDescent="0.35">
      <c r="A232" s="9">
        <v>46006</v>
      </c>
      <c r="B232" s="39"/>
      <c r="C232" s="10"/>
      <c r="D232" s="11"/>
      <c r="E232" s="10"/>
    </row>
    <row r="233" spans="1:5" ht="14.25" customHeight="1" x14ac:dyDescent="0.35">
      <c r="A233" s="9">
        <v>46007</v>
      </c>
      <c r="B233" s="39"/>
      <c r="C233" s="10"/>
      <c r="D233" s="11"/>
      <c r="E233" s="10"/>
    </row>
    <row r="234" spans="1:5" ht="14.25" customHeight="1" x14ac:dyDescent="0.35">
      <c r="A234" s="9">
        <v>46008</v>
      </c>
      <c r="B234" s="39"/>
      <c r="C234" s="10"/>
      <c r="D234" s="11"/>
      <c r="E234" s="10"/>
    </row>
    <row r="235" spans="1:5" ht="14.25" customHeight="1" x14ac:dyDescent="0.35">
      <c r="A235" s="9">
        <v>46009</v>
      </c>
      <c r="B235" s="39"/>
      <c r="C235" s="10"/>
      <c r="D235" s="11"/>
      <c r="E235" s="10"/>
    </row>
    <row r="236" spans="1:5" ht="14.25" customHeight="1" x14ac:dyDescent="0.35">
      <c r="A236" s="9">
        <v>46010</v>
      </c>
      <c r="B236" s="39"/>
      <c r="C236" s="10"/>
      <c r="D236" s="11"/>
      <c r="E236" s="10"/>
    </row>
    <row r="237" spans="1:5" ht="14.25" customHeight="1" x14ac:dyDescent="0.35">
      <c r="A237" s="9">
        <v>46011</v>
      </c>
      <c r="B237" s="39"/>
      <c r="C237" s="10"/>
      <c r="D237" s="11"/>
      <c r="E237" s="10"/>
    </row>
    <row r="238" spans="1:5" ht="14.25" customHeight="1" x14ac:dyDescent="0.35">
      <c r="A238" s="9">
        <v>46012</v>
      </c>
      <c r="B238" s="39"/>
      <c r="C238" s="10"/>
      <c r="D238" s="11"/>
      <c r="E238" s="10"/>
    </row>
    <row r="239" spans="1:5" ht="14.25" customHeight="1" x14ac:dyDescent="0.35">
      <c r="A239" s="9">
        <v>46013</v>
      </c>
      <c r="B239" s="39"/>
      <c r="C239" s="10"/>
      <c r="D239" s="11"/>
      <c r="E239" s="10"/>
    </row>
    <row r="240" spans="1:5" ht="14.25" customHeight="1" x14ac:dyDescent="0.35">
      <c r="A240" s="9">
        <v>46014</v>
      </c>
      <c r="B240" s="39"/>
      <c r="C240" s="10"/>
      <c r="D240" s="11"/>
      <c r="E240" s="10"/>
    </row>
    <row r="241" spans="1:5" ht="14.25" customHeight="1" x14ac:dyDescent="0.35">
      <c r="A241" s="9">
        <v>46015</v>
      </c>
      <c r="B241" s="39"/>
      <c r="C241" s="10"/>
      <c r="D241" s="11"/>
      <c r="E241" s="10"/>
    </row>
    <row r="242" spans="1:5" ht="14.25" customHeight="1" x14ac:dyDescent="0.35">
      <c r="A242" s="9">
        <v>46016</v>
      </c>
      <c r="B242" s="39"/>
      <c r="C242" s="10"/>
      <c r="D242" s="11"/>
      <c r="E242" s="10"/>
    </row>
    <row r="243" spans="1:5" ht="14.25" customHeight="1" x14ac:dyDescent="0.35">
      <c r="A243" s="9">
        <v>46017</v>
      </c>
      <c r="B243" s="39"/>
      <c r="C243" s="10"/>
      <c r="D243" s="11"/>
      <c r="E243" s="10"/>
    </row>
    <row r="244" spans="1:5" ht="14.25" customHeight="1" x14ac:dyDescent="0.35">
      <c r="A244" s="9">
        <v>46018</v>
      </c>
      <c r="B244" s="39"/>
      <c r="C244" s="10"/>
      <c r="D244" s="11"/>
      <c r="E244" s="10"/>
    </row>
    <row r="245" spans="1:5" ht="14.25" customHeight="1" x14ac:dyDescent="0.35">
      <c r="A245" s="9">
        <v>46019</v>
      </c>
      <c r="B245" s="39"/>
      <c r="C245" s="10"/>
      <c r="D245" s="11"/>
      <c r="E245" s="10"/>
    </row>
    <row r="246" spans="1:5" ht="14.25" customHeight="1" x14ac:dyDescent="0.35">
      <c r="A246" s="9">
        <v>46020</v>
      </c>
      <c r="B246" s="39"/>
      <c r="C246" s="10"/>
      <c r="D246" s="11"/>
      <c r="E246" s="10"/>
    </row>
    <row r="247" spans="1:5" ht="14.25" customHeight="1" x14ac:dyDescent="0.35">
      <c r="A247" s="9">
        <v>46021</v>
      </c>
      <c r="B247" s="39"/>
      <c r="D247" s="11"/>
      <c r="E247" s="10"/>
    </row>
    <row r="248" spans="1:5" ht="14.25" customHeight="1" x14ac:dyDescent="0.35">
      <c r="A248" s="9">
        <v>46022</v>
      </c>
      <c r="B248" s="39"/>
      <c r="D248" s="11"/>
      <c r="E248" s="10"/>
    </row>
    <row r="249" spans="1:5" ht="14.25" customHeight="1" x14ac:dyDescent="0.35">
      <c r="A249" s="9">
        <v>46023</v>
      </c>
      <c r="B249" s="39"/>
      <c r="C249" s="10"/>
      <c r="D249" s="11"/>
      <c r="E249" s="26"/>
    </row>
    <row r="250" spans="1:5" ht="14.25" customHeight="1" x14ac:dyDescent="0.35">
      <c r="A250" s="9">
        <v>46024</v>
      </c>
      <c r="B250" s="39"/>
      <c r="C250" s="10"/>
      <c r="D250" s="11"/>
      <c r="E250" s="10"/>
    </row>
    <row r="251" spans="1:5" ht="14.25" customHeight="1" x14ac:dyDescent="0.35">
      <c r="A251" s="9">
        <v>46025</v>
      </c>
      <c r="B251" s="39"/>
      <c r="D251" s="11"/>
      <c r="E251" s="10"/>
    </row>
    <row r="252" spans="1:5" ht="14.25" customHeight="1" x14ac:dyDescent="0.35">
      <c r="A252" s="27">
        <v>44660</v>
      </c>
      <c r="B252" s="39"/>
      <c r="C252" s="10"/>
      <c r="E252" s="10"/>
    </row>
    <row r="253" spans="1:5" ht="14.25" customHeight="1" x14ac:dyDescent="0.35">
      <c r="A253" s="27">
        <v>44661</v>
      </c>
      <c r="B253" s="39"/>
      <c r="C253" s="10"/>
      <c r="E253" s="26"/>
    </row>
    <row r="254" spans="1:5" ht="14.25" customHeight="1" x14ac:dyDescent="0.35">
      <c r="A254" s="27">
        <v>44662</v>
      </c>
      <c r="B254" s="39"/>
      <c r="D254" s="11"/>
    </row>
    <row r="255" spans="1:5" ht="14.25" customHeight="1" x14ac:dyDescent="0.35">
      <c r="A255" s="27">
        <v>44663</v>
      </c>
      <c r="B255" s="39"/>
      <c r="D255" s="11"/>
    </row>
    <row r="256" spans="1:5" ht="14.25" customHeight="1" x14ac:dyDescent="0.35">
      <c r="A256" s="27">
        <v>44664</v>
      </c>
      <c r="B256" s="39"/>
      <c r="E256" s="26"/>
    </row>
    <row r="257" spans="1:5" ht="14.25" customHeight="1" x14ac:dyDescent="0.35">
      <c r="A257" s="27">
        <v>44665</v>
      </c>
      <c r="B257" s="39"/>
      <c r="C257" s="10"/>
      <c r="D257" s="11"/>
      <c r="E257" s="10"/>
    </row>
    <row r="258" spans="1:5" ht="14.25" customHeight="1" x14ac:dyDescent="0.35">
      <c r="A258" s="27">
        <v>44666</v>
      </c>
      <c r="B258" s="39"/>
      <c r="C258" s="10"/>
      <c r="D258" s="11"/>
      <c r="E258" s="10"/>
    </row>
    <row r="259" spans="1:5" ht="14.25" customHeight="1" x14ac:dyDescent="0.35">
      <c r="A259" s="27">
        <v>44667</v>
      </c>
      <c r="B259" s="39"/>
      <c r="C259" s="10"/>
      <c r="E259" s="10"/>
    </row>
    <row r="260" spans="1:5" ht="14.25" customHeight="1" x14ac:dyDescent="0.35">
      <c r="A260" s="27">
        <v>44668</v>
      </c>
      <c r="B260" s="39"/>
      <c r="C260" s="10"/>
      <c r="E260" s="10"/>
    </row>
    <row r="261" spans="1:5" ht="14.25" customHeight="1" x14ac:dyDescent="0.35">
      <c r="A261" s="27">
        <v>44669</v>
      </c>
      <c r="B261" s="39"/>
      <c r="E261" s="10"/>
    </row>
    <row r="262" spans="1:5" ht="14.25" customHeight="1" x14ac:dyDescent="0.35">
      <c r="A262" s="27">
        <v>44670</v>
      </c>
      <c r="B262" s="39"/>
      <c r="D262" s="11"/>
      <c r="E262" s="10"/>
    </row>
    <row r="263" spans="1:5" ht="14.25" customHeight="1" x14ac:dyDescent="0.35">
      <c r="A263" s="27">
        <v>44671</v>
      </c>
      <c r="B263" s="39"/>
      <c r="C263" s="10"/>
      <c r="D263" s="11"/>
    </row>
    <row r="264" spans="1:5" ht="14.25" customHeight="1" x14ac:dyDescent="0.35">
      <c r="A264" s="27">
        <v>44672</v>
      </c>
      <c r="B264" s="39"/>
      <c r="C264" s="10"/>
      <c r="D264" s="11"/>
      <c r="E264" s="10"/>
    </row>
    <row r="265" spans="1:5" ht="14.25" customHeight="1" x14ac:dyDescent="0.35">
      <c r="A265" s="27">
        <v>44673</v>
      </c>
      <c r="B265" s="39"/>
      <c r="C265" s="10"/>
      <c r="D265" s="11"/>
      <c r="E265" s="10"/>
    </row>
    <row r="266" spans="1:5" ht="14.25" customHeight="1" x14ac:dyDescent="0.35">
      <c r="A266" s="27">
        <v>44674</v>
      </c>
      <c r="B266" s="39"/>
      <c r="C266" s="10"/>
      <c r="E266" s="10"/>
    </row>
    <row r="267" spans="1:5" ht="14.25" customHeight="1" x14ac:dyDescent="0.35">
      <c r="A267" s="27">
        <v>44675</v>
      </c>
      <c r="B267" s="39"/>
      <c r="C267" s="10"/>
      <c r="E267" s="10"/>
    </row>
    <row r="268" spans="1:5" ht="14.25" customHeight="1" x14ac:dyDescent="0.35">
      <c r="A268" s="27">
        <v>44676</v>
      </c>
      <c r="B268" s="39"/>
      <c r="C268" s="10"/>
      <c r="D268" s="11"/>
      <c r="E268" s="10"/>
    </row>
    <row r="269" spans="1:5" ht="14.25" customHeight="1" x14ac:dyDescent="0.35">
      <c r="A269" s="28"/>
      <c r="B269" s="39"/>
      <c r="C269" s="10"/>
      <c r="D269" s="11"/>
      <c r="E269" s="10"/>
    </row>
    <row r="270" spans="1:5" ht="14.25" customHeight="1" x14ac:dyDescent="0.35">
      <c r="A270" s="28"/>
      <c r="B270" s="39"/>
      <c r="C270" s="10"/>
      <c r="D270" s="11"/>
      <c r="E270" s="10"/>
    </row>
    <row r="271" spans="1:5" ht="14.25" customHeight="1" x14ac:dyDescent="0.35">
      <c r="A271" s="28"/>
      <c r="B271" s="39"/>
      <c r="C271" s="10"/>
      <c r="D271" s="11"/>
      <c r="E271" s="10"/>
    </row>
    <row r="272" spans="1:5" ht="14.25" customHeight="1" x14ac:dyDescent="0.35">
      <c r="A272" s="28"/>
      <c r="B272" s="39"/>
      <c r="C272" s="10"/>
      <c r="D272" s="11"/>
      <c r="E272" s="10"/>
    </row>
    <row r="273" spans="1:5" ht="14.25" customHeight="1" x14ac:dyDescent="0.35">
      <c r="A273" s="28"/>
      <c r="B273" s="39"/>
      <c r="C273" s="10"/>
      <c r="D273" s="11"/>
      <c r="E273" s="10"/>
    </row>
    <row r="274" spans="1:5" ht="14.25" customHeight="1" x14ac:dyDescent="0.35">
      <c r="A274" s="28"/>
      <c r="B274" s="39"/>
      <c r="C274" s="10"/>
      <c r="D274" s="11"/>
      <c r="E274" s="10"/>
    </row>
    <row r="275" spans="1:5" ht="14.25" customHeight="1" x14ac:dyDescent="0.35">
      <c r="A275" s="28"/>
      <c r="B275" s="39"/>
      <c r="C275" s="10"/>
      <c r="D275" s="11"/>
      <c r="E275" s="10"/>
    </row>
    <row r="276" spans="1:5" ht="14.25" customHeight="1" x14ac:dyDescent="0.35">
      <c r="A276" s="28"/>
      <c r="B276" s="39"/>
      <c r="C276" s="10"/>
      <c r="D276" s="11"/>
      <c r="E276" s="10"/>
    </row>
    <row r="277" spans="1:5" ht="14.25" customHeight="1" x14ac:dyDescent="0.35">
      <c r="A277" s="28"/>
      <c r="B277" s="39"/>
      <c r="C277" s="10"/>
      <c r="D277" s="11"/>
      <c r="E277" s="10"/>
    </row>
    <row r="278" spans="1:5" ht="14.25" customHeight="1" x14ac:dyDescent="0.35">
      <c r="A278" s="28"/>
      <c r="B278" s="39"/>
      <c r="C278" s="10"/>
      <c r="D278" s="11"/>
      <c r="E278" s="10"/>
    </row>
    <row r="279" spans="1:5" ht="14.25" customHeight="1" x14ac:dyDescent="0.35">
      <c r="A279" s="28"/>
      <c r="B279" s="39"/>
      <c r="C279" s="10"/>
      <c r="D279" s="11"/>
      <c r="E279" s="10"/>
    </row>
    <row r="280" spans="1:5" ht="14.25" customHeight="1" x14ac:dyDescent="0.35">
      <c r="A280" s="28"/>
      <c r="B280" s="39"/>
      <c r="C280" s="10"/>
      <c r="D280" s="11"/>
      <c r="E280" s="10"/>
    </row>
    <row r="281" spans="1:5" ht="14.25" customHeight="1" x14ac:dyDescent="0.35">
      <c r="A281" s="28"/>
      <c r="B281" s="39"/>
      <c r="C281" s="10"/>
      <c r="D281" s="11"/>
      <c r="E281" s="10"/>
    </row>
    <row r="282" spans="1:5" ht="14.25" customHeight="1" x14ac:dyDescent="0.35">
      <c r="A282" s="28"/>
      <c r="B282" s="39"/>
      <c r="C282" s="10"/>
      <c r="D282" s="11"/>
      <c r="E282" s="10"/>
    </row>
    <row r="283" spans="1:5" ht="14.25" customHeight="1" x14ac:dyDescent="0.35">
      <c r="A283" s="28"/>
      <c r="B283" s="39"/>
      <c r="C283" s="10"/>
      <c r="D283" s="11"/>
      <c r="E283" s="10"/>
    </row>
    <row r="284" spans="1:5" ht="14.25" customHeight="1" x14ac:dyDescent="0.35">
      <c r="A284" s="28"/>
      <c r="B284" s="39"/>
      <c r="C284" s="10"/>
      <c r="D284" s="11"/>
      <c r="E284" s="10"/>
    </row>
    <row r="285" spans="1:5" ht="14.25" customHeight="1" x14ac:dyDescent="0.35">
      <c r="A285" s="28"/>
      <c r="B285" s="39"/>
      <c r="C285" s="10"/>
      <c r="D285" s="11"/>
      <c r="E285" s="10"/>
    </row>
    <row r="286" spans="1:5" ht="14.25" customHeight="1" x14ac:dyDescent="0.35">
      <c r="A286" s="28"/>
      <c r="B286" s="39"/>
      <c r="C286" s="10"/>
      <c r="D286" s="11"/>
      <c r="E286" s="10"/>
    </row>
    <row r="287" spans="1:5" ht="14.25" customHeight="1" x14ac:dyDescent="0.35">
      <c r="A287" s="28"/>
      <c r="B287" s="39"/>
      <c r="C287" s="10"/>
      <c r="D287" s="11"/>
      <c r="E287" s="10"/>
    </row>
    <row r="288" spans="1:5" ht="14.25" customHeight="1" x14ac:dyDescent="0.35">
      <c r="A288" s="28"/>
      <c r="B288" s="39"/>
      <c r="C288" s="10"/>
      <c r="D288" s="11"/>
      <c r="E288" s="10"/>
    </row>
    <row r="289" spans="1:5" ht="14.25" customHeight="1" x14ac:dyDescent="0.35">
      <c r="A289" s="28"/>
      <c r="B289" s="39"/>
      <c r="C289" s="10"/>
      <c r="D289" s="11"/>
      <c r="E289" s="10"/>
    </row>
    <row r="290" spans="1:5" ht="14.25" customHeight="1" x14ac:dyDescent="0.35">
      <c r="A290" s="28"/>
      <c r="B290" s="39"/>
      <c r="C290" s="10"/>
      <c r="D290" s="11"/>
      <c r="E290" s="10"/>
    </row>
    <row r="291" spans="1:5" ht="14.25" customHeight="1" x14ac:dyDescent="0.35">
      <c r="A291" s="28"/>
      <c r="B291" s="39"/>
      <c r="C291" s="10"/>
      <c r="D291" s="11"/>
      <c r="E291" s="10"/>
    </row>
    <row r="292" spans="1:5" ht="14.25" customHeight="1" x14ac:dyDescent="0.35">
      <c r="A292" s="28"/>
      <c r="B292" s="39"/>
      <c r="C292" s="10"/>
      <c r="D292" s="11"/>
      <c r="E292" s="10"/>
    </row>
    <row r="293" spans="1:5" ht="14.25" customHeight="1" x14ac:dyDescent="0.35">
      <c r="A293" s="28"/>
      <c r="B293" s="39"/>
      <c r="C293" s="10"/>
      <c r="D293" s="11"/>
      <c r="E293" s="10"/>
    </row>
    <row r="294" spans="1:5" ht="14.25" customHeight="1" x14ac:dyDescent="0.35">
      <c r="A294" s="28"/>
      <c r="B294" s="39"/>
      <c r="C294" s="10"/>
      <c r="D294" s="11"/>
      <c r="E294" s="10"/>
    </row>
    <row r="295" spans="1:5" ht="14.25" customHeight="1" x14ac:dyDescent="0.35">
      <c r="A295" s="28"/>
      <c r="B295" s="39"/>
      <c r="C295" s="10"/>
      <c r="D295" s="11"/>
      <c r="E295" s="10"/>
    </row>
    <row r="296" spans="1:5" ht="14.25" customHeight="1" x14ac:dyDescent="0.35">
      <c r="A296" s="28"/>
      <c r="B296" s="39"/>
      <c r="C296" s="10"/>
      <c r="D296" s="11"/>
      <c r="E296" s="10"/>
    </row>
    <row r="297" spans="1:5" ht="14.25" customHeight="1" x14ac:dyDescent="0.35">
      <c r="A297" s="28"/>
      <c r="B297" s="39"/>
      <c r="C297" s="10"/>
      <c r="D297" s="11"/>
      <c r="E297" s="10"/>
    </row>
    <row r="298" spans="1:5" ht="14.25" customHeight="1" x14ac:dyDescent="0.35">
      <c r="A298" s="28"/>
      <c r="B298" s="39"/>
      <c r="C298" s="10"/>
      <c r="D298" s="11"/>
      <c r="E298" s="10"/>
    </row>
    <row r="299" spans="1:5" ht="14.25" customHeight="1" x14ac:dyDescent="0.35">
      <c r="A299" s="28"/>
      <c r="B299" s="39"/>
      <c r="C299" s="10"/>
      <c r="D299" s="11"/>
      <c r="E299" s="10"/>
    </row>
    <row r="300" spans="1:5" ht="14.25" customHeight="1" x14ac:dyDescent="0.35">
      <c r="A300" s="28"/>
      <c r="B300" s="39"/>
      <c r="C300" s="10"/>
      <c r="D300" s="11"/>
      <c r="E300" s="10"/>
    </row>
    <row r="301" spans="1:5" ht="14.25" customHeight="1" x14ac:dyDescent="0.35">
      <c r="A301" s="28"/>
      <c r="B301" s="39"/>
      <c r="C301" s="10"/>
      <c r="D301" s="11"/>
      <c r="E301" s="10"/>
    </row>
    <row r="302" spans="1:5" ht="14.25" customHeight="1" x14ac:dyDescent="0.35">
      <c r="A302" s="28"/>
      <c r="B302" s="39"/>
      <c r="C302" s="10"/>
      <c r="D302" s="11"/>
      <c r="E302" s="10"/>
    </row>
    <row r="303" spans="1:5" ht="14.25" customHeight="1" x14ac:dyDescent="0.35">
      <c r="A303" s="28"/>
      <c r="B303" s="39"/>
      <c r="C303" s="10"/>
      <c r="D303" s="11"/>
      <c r="E303" s="10"/>
    </row>
    <row r="304" spans="1:5" ht="14.25" customHeight="1" x14ac:dyDescent="0.35">
      <c r="A304" s="28"/>
      <c r="B304" s="39"/>
      <c r="C304" s="10"/>
      <c r="D304" s="11"/>
      <c r="E304" s="10"/>
    </row>
    <row r="305" spans="1:5" ht="14.25" customHeight="1" x14ac:dyDescent="0.35">
      <c r="A305" s="28"/>
      <c r="B305" s="39"/>
      <c r="C305" s="10"/>
      <c r="D305" s="11"/>
      <c r="E305" s="10"/>
    </row>
    <row r="306" spans="1:5" ht="14.25" customHeight="1" x14ac:dyDescent="0.35">
      <c r="A306" s="28"/>
      <c r="B306" s="39"/>
      <c r="C306" s="10"/>
      <c r="D306" s="11"/>
      <c r="E306" s="10"/>
    </row>
    <row r="307" spans="1:5" ht="14.25" customHeight="1" x14ac:dyDescent="0.35">
      <c r="A307" s="28"/>
      <c r="B307" s="39"/>
      <c r="C307" s="10"/>
      <c r="D307" s="11"/>
      <c r="E307" s="10"/>
    </row>
    <row r="308" spans="1:5" ht="14.25" customHeight="1" x14ac:dyDescent="0.35">
      <c r="A308" s="28"/>
      <c r="B308" s="39"/>
      <c r="C308" s="10"/>
      <c r="D308" s="11"/>
      <c r="E308" s="10"/>
    </row>
    <row r="309" spans="1:5" ht="14.25" customHeight="1" x14ac:dyDescent="0.35">
      <c r="A309" s="28"/>
      <c r="B309" s="39"/>
      <c r="C309" s="10"/>
      <c r="D309" s="11"/>
      <c r="E309" s="10"/>
    </row>
    <row r="310" spans="1:5" ht="14.25" customHeight="1" x14ac:dyDescent="0.35">
      <c r="A310" s="28"/>
      <c r="B310" s="39"/>
      <c r="C310" s="10"/>
      <c r="D310" s="11"/>
      <c r="E310" s="10"/>
    </row>
    <row r="311" spans="1:5" ht="14.25" customHeight="1" x14ac:dyDescent="0.35">
      <c r="A311" s="28"/>
      <c r="B311" s="39"/>
      <c r="C311" s="10"/>
      <c r="D311" s="11"/>
      <c r="E311" s="10"/>
    </row>
    <row r="312" spans="1:5" ht="14.25" customHeight="1" x14ac:dyDescent="0.35">
      <c r="A312" s="28"/>
      <c r="B312" s="39"/>
      <c r="C312" s="10"/>
      <c r="D312" s="11"/>
      <c r="E312" s="10"/>
    </row>
    <row r="313" spans="1:5" ht="14.25" customHeight="1" x14ac:dyDescent="0.35">
      <c r="A313" s="28"/>
      <c r="B313" s="39"/>
      <c r="C313" s="10"/>
      <c r="D313" s="11"/>
      <c r="E313" s="10"/>
    </row>
    <row r="314" spans="1:5" ht="14.25" customHeight="1" x14ac:dyDescent="0.35">
      <c r="A314" s="28"/>
      <c r="B314" s="39"/>
      <c r="C314" s="10"/>
      <c r="D314" s="11"/>
      <c r="E314" s="10"/>
    </row>
    <row r="315" spans="1:5" ht="14.25" customHeight="1" x14ac:dyDescent="0.35">
      <c r="A315" s="28"/>
      <c r="B315" s="39"/>
      <c r="C315" s="10"/>
      <c r="D315" s="11"/>
      <c r="E315" s="10"/>
    </row>
    <row r="316" spans="1:5" ht="14.25" customHeight="1" x14ac:dyDescent="0.35">
      <c r="A316" s="28"/>
      <c r="B316" s="39"/>
      <c r="C316" s="10"/>
      <c r="D316" s="11"/>
      <c r="E316" s="10"/>
    </row>
    <row r="317" spans="1:5" ht="14.25" customHeight="1" x14ac:dyDescent="0.35">
      <c r="A317" s="28"/>
      <c r="B317" s="39"/>
      <c r="C317" s="10"/>
      <c r="D317" s="11"/>
      <c r="E317" s="10"/>
    </row>
    <row r="318" spans="1:5" ht="14.25" customHeight="1" x14ac:dyDescent="0.35">
      <c r="A318" s="28"/>
      <c r="B318" s="39"/>
      <c r="C318" s="10"/>
      <c r="D318" s="11"/>
      <c r="E318" s="10"/>
    </row>
    <row r="319" spans="1:5" ht="14.25" customHeight="1" x14ac:dyDescent="0.35">
      <c r="A319" s="28"/>
      <c r="B319" s="39"/>
      <c r="C319" s="10"/>
      <c r="D319" s="11"/>
      <c r="E319" s="10"/>
    </row>
    <row r="320" spans="1:5" ht="14.25" customHeight="1" x14ac:dyDescent="0.35">
      <c r="A320" s="28"/>
      <c r="B320" s="39"/>
      <c r="C320" s="10"/>
      <c r="D320" s="11"/>
      <c r="E320" s="10"/>
    </row>
    <row r="321" spans="1:5" ht="14.25" customHeight="1" x14ac:dyDescent="0.35">
      <c r="A321" s="28"/>
      <c r="B321" s="39"/>
      <c r="C321" s="10"/>
      <c r="D321" s="11"/>
      <c r="E321" s="10"/>
    </row>
    <row r="322" spans="1:5" ht="14.25" customHeight="1" x14ac:dyDescent="0.35">
      <c r="A322" s="28"/>
      <c r="B322" s="39"/>
      <c r="C322" s="10"/>
      <c r="D322" s="11"/>
      <c r="E322" s="10"/>
    </row>
    <row r="323" spans="1:5" ht="14.25" customHeight="1" x14ac:dyDescent="0.35">
      <c r="A323" s="28"/>
      <c r="B323" s="39"/>
      <c r="C323" s="10"/>
      <c r="D323" s="11"/>
      <c r="E323" s="10"/>
    </row>
    <row r="324" spans="1:5" ht="14.25" customHeight="1" x14ac:dyDescent="0.35">
      <c r="A324" s="28"/>
      <c r="B324" s="39"/>
      <c r="C324" s="10"/>
      <c r="D324" s="11"/>
      <c r="E324" s="10"/>
    </row>
    <row r="325" spans="1:5" ht="14.25" customHeight="1" x14ac:dyDescent="0.35">
      <c r="A325" s="28"/>
      <c r="B325" s="39"/>
      <c r="C325" s="10"/>
      <c r="D325" s="11"/>
      <c r="E325" s="10"/>
    </row>
    <row r="326" spans="1:5" ht="14.25" customHeight="1" x14ac:dyDescent="0.35">
      <c r="A326" s="28"/>
      <c r="B326" s="39"/>
      <c r="C326" s="10"/>
      <c r="D326" s="11"/>
      <c r="E326" s="10"/>
    </row>
    <row r="327" spans="1:5" ht="14.25" customHeight="1" x14ac:dyDescent="0.35">
      <c r="A327" s="28"/>
      <c r="B327" s="39"/>
      <c r="C327" s="10"/>
      <c r="D327" s="11"/>
      <c r="E327" s="10"/>
    </row>
    <row r="328" spans="1:5" ht="14.25" customHeight="1" x14ac:dyDescent="0.35">
      <c r="A328" s="28"/>
      <c r="B328" s="39"/>
      <c r="C328" s="10"/>
      <c r="D328" s="11"/>
      <c r="E328" s="10"/>
    </row>
    <row r="329" spans="1:5" ht="14.25" customHeight="1" x14ac:dyDescent="0.35">
      <c r="A329" s="28"/>
      <c r="B329" s="39"/>
      <c r="C329" s="10"/>
      <c r="D329" s="11"/>
      <c r="E329" s="10"/>
    </row>
    <row r="330" spans="1:5" ht="14.25" customHeight="1" x14ac:dyDescent="0.35">
      <c r="A330" s="28"/>
      <c r="B330" s="39"/>
      <c r="C330" s="10"/>
      <c r="D330" s="11"/>
      <c r="E330" s="10"/>
    </row>
    <row r="331" spans="1:5" ht="14.25" customHeight="1" x14ac:dyDescent="0.35">
      <c r="A331" s="28"/>
      <c r="B331" s="39"/>
      <c r="C331" s="10"/>
      <c r="D331" s="11"/>
      <c r="E331" s="10"/>
    </row>
    <row r="332" spans="1:5" ht="14.25" customHeight="1" x14ac:dyDescent="0.35">
      <c r="A332" s="28"/>
      <c r="B332" s="39"/>
      <c r="C332" s="10"/>
      <c r="D332" s="11"/>
      <c r="E332" s="10"/>
    </row>
    <row r="333" spans="1:5" ht="14.25" customHeight="1" x14ac:dyDescent="0.35">
      <c r="A333" s="28"/>
      <c r="B333" s="39"/>
      <c r="C333" s="10"/>
      <c r="D333" s="11"/>
      <c r="E333" s="10"/>
    </row>
    <row r="334" spans="1:5" ht="14.25" customHeight="1" x14ac:dyDescent="0.35">
      <c r="A334" s="28"/>
      <c r="B334" s="39"/>
      <c r="C334" s="10"/>
      <c r="D334" s="11"/>
      <c r="E334" s="10"/>
    </row>
    <row r="335" spans="1:5" ht="14.25" customHeight="1" x14ac:dyDescent="0.35">
      <c r="A335" s="28"/>
      <c r="B335" s="39"/>
      <c r="C335" s="10"/>
      <c r="D335" s="11"/>
      <c r="E335" s="10"/>
    </row>
    <row r="336" spans="1:5" ht="14.25" customHeight="1" x14ac:dyDescent="0.35">
      <c r="A336" s="28"/>
      <c r="B336" s="39"/>
      <c r="C336" s="10"/>
      <c r="D336" s="11"/>
      <c r="E336" s="10"/>
    </row>
    <row r="337" spans="1:5" ht="14.25" customHeight="1" x14ac:dyDescent="0.35">
      <c r="A337" s="28"/>
      <c r="B337" s="39"/>
      <c r="C337" s="10"/>
      <c r="D337" s="11"/>
      <c r="E337" s="10"/>
    </row>
    <row r="338" spans="1:5" ht="14.25" customHeight="1" x14ac:dyDescent="0.35">
      <c r="A338" s="28"/>
      <c r="B338" s="39"/>
      <c r="C338" s="10"/>
      <c r="D338" s="11"/>
      <c r="E338" s="10"/>
    </row>
    <row r="339" spans="1:5" ht="14.25" customHeight="1" x14ac:dyDescent="0.35">
      <c r="A339" s="28"/>
      <c r="B339" s="39"/>
      <c r="C339" s="10"/>
      <c r="D339" s="11"/>
      <c r="E339" s="10"/>
    </row>
    <row r="340" spans="1:5" ht="14.25" customHeight="1" x14ac:dyDescent="0.35">
      <c r="A340" s="28"/>
      <c r="B340" s="39"/>
      <c r="C340" s="10"/>
      <c r="D340" s="11"/>
      <c r="E340" s="10"/>
    </row>
    <row r="341" spans="1:5" ht="14.25" customHeight="1" x14ac:dyDescent="0.35">
      <c r="A341" s="28"/>
      <c r="B341" s="39"/>
      <c r="C341" s="10"/>
      <c r="D341" s="11"/>
      <c r="E341" s="10"/>
    </row>
    <row r="342" spans="1:5" ht="14.25" customHeight="1" x14ac:dyDescent="0.35">
      <c r="A342" s="28"/>
      <c r="B342" s="39"/>
      <c r="C342" s="10"/>
      <c r="D342" s="11"/>
      <c r="E342" s="10"/>
    </row>
    <row r="343" spans="1:5" ht="14.25" customHeight="1" x14ac:dyDescent="0.35">
      <c r="A343" s="28"/>
      <c r="B343" s="39"/>
      <c r="C343" s="10"/>
      <c r="D343" s="11"/>
      <c r="E343" s="10"/>
    </row>
    <row r="344" spans="1:5" ht="14.25" customHeight="1" x14ac:dyDescent="0.35">
      <c r="A344" s="28"/>
      <c r="B344" s="39"/>
      <c r="C344" s="10"/>
      <c r="D344" s="11"/>
      <c r="E344" s="10"/>
    </row>
    <row r="345" spans="1:5" ht="14.25" customHeight="1" x14ac:dyDescent="0.35">
      <c r="A345" s="28"/>
      <c r="B345" s="39"/>
      <c r="C345" s="10"/>
      <c r="D345" s="11"/>
      <c r="E345" s="10"/>
    </row>
    <row r="346" spans="1:5" ht="14.25" customHeight="1" x14ac:dyDescent="0.35">
      <c r="A346" s="28"/>
      <c r="B346" s="39"/>
      <c r="C346" s="10"/>
      <c r="D346" s="11"/>
      <c r="E346" s="10"/>
    </row>
    <row r="347" spans="1:5" ht="14.25" customHeight="1" x14ac:dyDescent="0.35">
      <c r="A347" s="28"/>
      <c r="B347" s="39"/>
      <c r="C347" s="10"/>
      <c r="D347" s="11"/>
      <c r="E347" s="10"/>
    </row>
    <row r="348" spans="1:5" ht="14.25" customHeight="1" x14ac:dyDescent="0.35">
      <c r="A348" s="28"/>
      <c r="B348" s="39"/>
      <c r="C348" s="10"/>
      <c r="D348" s="11"/>
      <c r="E348" s="10"/>
    </row>
    <row r="349" spans="1:5" ht="14.25" customHeight="1" x14ac:dyDescent="0.35">
      <c r="A349" s="28"/>
      <c r="B349" s="39"/>
      <c r="C349" s="10"/>
      <c r="D349" s="11"/>
      <c r="E349" s="10"/>
    </row>
    <row r="350" spans="1:5" ht="14.25" customHeight="1" x14ac:dyDescent="0.35">
      <c r="A350" s="28"/>
      <c r="B350" s="39"/>
      <c r="C350" s="10"/>
      <c r="D350" s="11"/>
      <c r="E350" s="10"/>
    </row>
    <row r="351" spans="1:5" ht="14.25" customHeight="1" x14ac:dyDescent="0.35">
      <c r="A351" s="28"/>
      <c r="B351" s="39"/>
      <c r="C351" s="10"/>
      <c r="D351" s="11"/>
      <c r="E351" s="10"/>
    </row>
    <row r="352" spans="1:5" ht="14.25" customHeight="1" x14ac:dyDescent="0.35">
      <c r="A352" s="28"/>
      <c r="B352" s="39"/>
      <c r="C352" s="10"/>
      <c r="D352" s="11"/>
      <c r="E352" s="10"/>
    </row>
    <row r="353" spans="1:5" ht="14.25" customHeight="1" x14ac:dyDescent="0.35">
      <c r="A353" s="28"/>
      <c r="B353" s="39"/>
      <c r="C353" s="10"/>
      <c r="D353" s="11"/>
      <c r="E353" s="10"/>
    </row>
    <row r="354" spans="1:5" ht="14.25" customHeight="1" x14ac:dyDescent="0.35">
      <c r="A354" s="28"/>
      <c r="B354" s="39"/>
      <c r="C354" s="10"/>
      <c r="D354" s="11"/>
      <c r="E354" s="10"/>
    </row>
    <row r="355" spans="1:5" ht="14.25" customHeight="1" x14ac:dyDescent="0.35">
      <c r="A355" s="28"/>
      <c r="B355" s="39"/>
      <c r="C355" s="10"/>
      <c r="D355" s="11"/>
      <c r="E355" s="10"/>
    </row>
    <row r="356" spans="1:5" ht="14.25" customHeight="1" x14ac:dyDescent="0.35">
      <c r="A356" s="28"/>
      <c r="B356" s="39"/>
      <c r="C356" s="10"/>
      <c r="D356" s="11"/>
      <c r="E356" s="10"/>
    </row>
    <row r="357" spans="1:5" ht="14.25" customHeight="1" x14ac:dyDescent="0.35">
      <c r="A357" s="28"/>
      <c r="B357" s="39"/>
      <c r="C357" s="10"/>
      <c r="D357" s="11"/>
      <c r="E357" s="10"/>
    </row>
    <row r="358" spans="1:5" ht="14.25" customHeight="1" x14ac:dyDescent="0.35">
      <c r="A358" s="28"/>
      <c r="B358" s="39"/>
      <c r="C358" s="10"/>
      <c r="D358" s="11"/>
      <c r="E358" s="10"/>
    </row>
    <row r="359" spans="1:5" ht="14.25" customHeight="1" x14ac:dyDescent="0.35">
      <c r="A359" s="28"/>
      <c r="B359" s="39"/>
      <c r="C359" s="10"/>
      <c r="D359" s="11"/>
      <c r="E359" s="10"/>
    </row>
    <row r="360" spans="1:5" ht="14.25" customHeight="1" x14ac:dyDescent="0.35">
      <c r="A360" s="28"/>
      <c r="B360" s="39"/>
      <c r="C360" s="10"/>
      <c r="D360" s="11"/>
      <c r="E360" s="10"/>
    </row>
    <row r="361" spans="1:5" ht="14.25" customHeight="1" x14ac:dyDescent="0.35">
      <c r="A361" s="28"/>
      <c r="B361" s="39"/>
      <c r="C361" s="10"/>
      <c r="D361" s="11"/>
      <c r="E361" s="10"/>
    </row>
    <row r="362" spans="1:5" ht="14.25" customHeight="1" x14ac:dyDescent="0.35">
      <c r="A362" s="28"/>
      <c r="B362" s="39"/>
      <c r="C362" s="10"/>
      <c r="D362" s="11"/>
      <c r="E362" s="10"/>
    </row>
    <row r="363" spans="1:5" ht="14.25" customHeight="1" x14ac:dyDescent="0.35">
      <c r="A363" s="28"/>
      <c r="B363" s="39"/>
      <c r="C363" s="10"/>
      <c r="D363" s="11"/>
      <c r="E363" s="10"/>
    </row>
    <row r="364" spans="1:5" ht="14.25" customHeight="1" x14ac:dyDescent="0.35">
      <c r="A364" s="28"/>
      <c r="B364" s="39"/>
      <c r="C364" s="10"/>
      <c r="D364" s="11"/>
      <c r="E364" s="10"/>
    </row>
    <row r="365" spans="1:5" ht="14.25" customHeight="1" x14ac:dyDescent="0.35">
      <c r="A365" s="28"/>
      <c r="B365" s="39"/>
      <c r="C365" s="10"/>
      <c r="D365" s="11"/>
      <c r="E365" s="10"/>
    </row>
    <row r="366" spans="1:5" ht="14.25" customHeight="1" x14ac:dyDescent="0.35">
      <c r="A366" s="28"/>
      <c r="B366" s="39"/>
      <c r="C366" s="10"/>
      <c r="D366" s="11"/>
      <c r="E366" s="10"/>
    </row>
    <row r="367" spans="1:5" ht="14.25" customHeight="1" x14ac:dyDescent="0.35">
      <c r="A367" s="28"/>
      <c r="B367" s="39"/>
      <c r="C367" s="10"/>
      <c r="D367" s="11"/>
      <c r="E367" s="10"/>
    </row>
    <row r="368" spans="1:5" ht="14.25" customHeight="1" x14ac:dyDescent="0.35">
      <c r="A368" s="28"/>
      <c r="B368" s="39"/>
      <c r="C368" s="10"/>
      <c r="D368" s="11"/>
      <c r="E368" s="10"/>
    </row>
    <row r="369" spans="1:5" ht="14.25" customHeight="1" x14ac:dyDescent="0.35">
      <c r="A369" s="28"/>
      <c r="B369" s="39"/>
      <c r="C369" s="10"/>
      <c r="D369" s="11"/>
      <c r="E369" s="10"/>
    </row>
    <row r="370" spans="1:5" ht="14.25" customHeight="1" x14ac:dyDescent="0.35">
      <c r="A370" s="28"/>
      <c r="B370" s="39"/>
      <c r="C370" s="10"/>
      <c r="D370" s="11"/>
      <c r="E370" s="10"/>
    </row>
    <row r="371" spans="1:5" ht="14.25" customHeight="1" x14ac:dyDescent="0.35">
      <c r="A371" s="28"/>
      <c r="B371" s="39"/>
      <c r="C371" s="10"/>
      <c r="D371" s="11"/>
      <c r="E371" s="10"/>
    </row>
    <row r="372" spans="1:5" ht="14.25" customHeight="1" x14ac:dyDescent="0.35">
      <c r="A372" s="28"/>
      <c r="B372" s="39"/>
      <c r="C372" s="10"/>
      <c r="D372" s="11"/>
      <c r="E372" s="10"/>
    </row>
    <row r="373" spans="1:5" ht="14.25" customHeight="1" x14ac:dyDescent="0.35">
      <c r="A373" s="28"/>
      <c r="B373" s="39"/>
      <c r="C373" s="10"/>
      <c r="D373" s="11"/>
      <c r="E373" s="10"/>
    </row>
    <row r="374" spans="1:5" ht="14.25" customHeight="1" x14ac:dyDescent="0.35">
      <c r="A374" s="28"/>
      <c r="B374" s="39"/>
      <c r="C374" s="10"/>
      <c r="D374" s="11"/>
      <c r="E374" s="10"/>
    </row>
    <row r="375" spans="1:5" ht="14.25" customHeight="1" x14ac:dyDescent="0.35">
      <c r="A375" s="28"/>
      <c r="B375" s="39"/>
      <c r="C375" s="10"/>
      <c r="D375" s="11"/>
      <c r="E375" s="10"/>
    </row>
    <row r="376" spans="1:5" ht="14.25" customHeight="1" x14ac:dyDescent="0.35">
      <c r="A376" s="28"/>
      <c r="B376" s="39"/>
      <c r="C376" s="10"/>
      <c r="D376" s="11"/>
      <c r="E376" s="10"/>
    </row>
    <row r="377" spans="1:5" ht="14.25" customHeight="1" x14ac:dyDescent="0.35">
      <c r="A377" s="28"/>
      <c r="B377" s="39"/>
      <c r="C377" s="10"/>
      <c r="D377" s="11"/>
      <c r="E377" s="10"/>
    </row>
    <row r="378" spans="1:5" ht="14.25" customHeight="1" x14ac:dyDescent="0.35">
      <c r="A378" s="28"/>
      <c r="B378" s="39"/>
      <c r="C378" s="10"/>
      <c r="D378" s="11"/>
      <c r="E378" s="10"/>
    </row>
    <row r="379" spans="1:5" ht="14.25" customHeight="1" x14ac:dyDescent="0.35">
      <c r="A379" s="28"/>
      <c r="B379" s="39"/>
      <c r="C379" s="10"/>
      <c r="D379" s="11"/>
      <c r="E379" s="10"/>
    </row>
    <row r="380" spans="1:5" ht="14.25" customHeight="1" x14ac:dyDescent="0.35">
      <c r="A380" s="28"/>
      <c r="B380" s="39"/>
      <c r="C380" s="10"/>
      <c r="D380" s="11"/>
      <c r="E380" s="10"/>
    </row>
    <row r="381" spans="1:5" ht="14.25" customHeight="1" x14ac:dyDescent="0.35">
      <c r="A381" s="28"/>
      <c r="B381" s="39"/>
      <c r="C381" s="10"/>
      <c r="D381" s="11"/>
      <c r="E381" s="10"/>
    </row>
    <row r="382" spans="1:5" ht="14.25" customHeight="1" x14ac:dyDescent="0.35">
      <c r="A382" s="28"/>
      <c r="B382" s="39"/>
      <c r="C382" s="10"/>
      <c r="D382" s="11"/>
      <c r="E382" s="10"/>
    </row>
    <row r="383" spans="1:5" ht="14.25" customHeight="1" x14ac:dyDescent="0.35">
      <c r="A383" s="28"/>
      <c r="B383" s="39"/>
      <c r="C383" s="10"/>
      <c r="D383" s="11"/>
      <c r="E383" s="10"/>
    </row>
    <row r="384" spans="1:5" ht="14.25" customHeight="1" x14ac:dyDescent="0.35">
      <c r="A384" s="28"/>
      <c r="B384" s="39"/>
      <c r="C384" s="10"/>
      <c r="D384" s="11"/>
      <c r="E384" s="10"/>
    </row>
    <row r="385" spans="1:5" ht="14.25" customHeight="1" x14ac:dyDescent="0.35">
      <c r="A385" s="28"/>
      <c r="B385" s="39"/>
      <c r="C385" s="10"/>
      <c r="D385" s="11"/>
      <c r="E385" s="10"/>
    </row>
    <row r="386" spans="1:5" ht="14.25" customHeight="1" x14ac:dyDescent="0.35">
      <c r="A386" s="28"/>
      <c r="B386" s="39"/>
      <c r="C386" s="10"/>
      <c r="D386" s="11"/>
      <c r="E386" s="10"/>
    </row>
    <row r="387" spans="1:5" ht="14.25" customHeight="1" x14ac:dyDescent="0.35">
      <c r="A387" s="28"/>
      <c r="B387" s="39"/>
      <c r="C387" s="10"/>
      <c r="D387" s="11"/>
      <c r="E387" s="10"/>
    </row>
    <row r="388" spans="1:5" ht="14.25" customHeight="1" x14ac:dyDescent="0.35">
      <c r="A388" s="28"/>
      <c r="B388" s="39"/>
      <c r="C388" s="10"/>
      <c r="D388" s="11"/>
      <c r="E388" s="10"/>
    </row>
    <row r="389" spans="1:5" ht="14.25" customHeight="1" x14ac:dyDescent="0.35">
      <c r="A389" s="28"/>
      <c r="B389" s="39"/>
      <c r="C389" s="10"/>
      <c r="D389" s="11"/>
      <c r="E389" s="10"/>
    </row>
    <row r="390" spans="1:5" ht="14.25" customHeight="1" x14ac:dyDescent="0.35">
      <c r="A390" s="28"/>
      <c r="B390" s="39"/>
      <c r="C390" s="10"/>
      <c r="D390" s="11"/>
      <c r="E390" s="10"/>
    </row>
    <row r="391" spans="1:5" ht="14.25" customHeight="1" x14ac:dyDescent="0.35">
      <c r="A391" s="28"/>
      <c r="B391" s="39"/>
      <c r="C391" s="10"/>
      <c r="D391" s="11"/>
      <c r="E391" s="10"/>
    </row>
    <row r="392" spans="1:5" ht="14.25" customHeight="1" x14ac:dyDescent="0.35">
      <c r="A392" s="28"/>
      <c r="B392" s="39"/>
      <c r="C392" s="10"/>
      <c r="D392" s="11"/>
      <c r="E392" s="10"/>
    </row>
    <row r="393" spans="1:5" ht="14.25" customHeight="1" x14ac:dyDescent="0.35">
      <c r="A393" s="28"/>
      <c r="B393" s="39"/>
      <c r="C393" s="10"/>
      <c r="D393" s="11"/>
      <c r="E393" s="10"/>
    </row>
    <row r="394" spans="1:5" ht="14.25" customHeight="1" x14ac:dyDescent="0.35">
      <c r="A394" s="28"/>
      <c r="B394" s="39"/>
      <c r="C394" s="10"/>
      <c r="D394" s="11"/>
      <c r="E394" s="10"/>
    </row>
    <row r="395" spans="1:5" ht="14.25" customHeight="1" x14ac:dyDescent="0.35">
      <c r="A395" s="28"/>
      <c r="B395" s="39"/>
      <c r="C395" s="10"/>
      <c r="D395" s="11"/>
      <c r="E395" s="10"/>
    </row>
    <row r="396" spans="1:5" ht="14.25" customHeight="1" x14ac:dyDescent="0.35">
      <c r="A396" s="28"/>
      <c r="B396" s="39"/>
      <c r="C396" s="10"/>
      <c r="D396" s="11"/>
      <c r="E396" s="10"/>
    </row>
    <row r="397" spans="1:5" ht="14.25" customHeight="1" x14ac:dyDescent="0.35">
      <c r="A397" s="28"/>
      <c r="B397" s="39"/>
      <c r="C397" s="10"/>
      <c r="D397" s="11"/>
      <c r="E397" s="10"/>
    </row>
    <row r="398" spans="1:5" ht="14.25" customHeight="1" x14ac:dyDescent="0.35">
      <c r="A398" s="28"/>
      <c r="B398" s="39"/>
      <c r="C398" s="10"/>
      <c r="D398" s="11"/>
      <c r="E398" s="10"/>
    </row>
    <row r="399" spans="1:5" ht="14.25" customHeight="1" x14ac:dyDescent="0.35">
      <c r="A399" s="28"/>
      <c r="B399" s="39"/>
      <c r="C399" s="10"/>
      <c r="D399" s="11"/>
      <c r="E399" s="10"/>
    </row>
    <row r="400" spans="1:5" ht="14.25" customHeight="1" x14ac:dyDescent="0.35">
      <c r="A400" s="28"/>
      <c r="B400" s="39"/>
      <c r="C400" s="10"/>
      <c r="D400" s="11"/>
      <c r="E400" s="10"/>
    </row>
    <row r="401" spans="1:5" ht="14.25" customHeight="1" x14ac:dyDescent="0.35">
      <c r="A401" s="28"/>
      <c r="B401" s="39"/>
      <c r="C401" s="10"/>
      <c r="D401" s="11"/>
      <c r="E401" s="10"/>
    </row>
    <row r="402" spans="1:5" ht="14.25" customHeight="1" x14ac:dyDescent="0.35">
      <c r="A402" s="28"/>
      <c r="B402" s="39"/>
      <c r="C402" s="10"/>
      <c r="D402" s="11"/>
      <c r="E402" s="10"/>
    </row>
    <row r="403" spans="1:5" ht="14.25" customHeight="1" x14ac:dyDescent="0.35">
      <c r="A403" s="28"/>
      <c r="B403" s="39"/>
      <c r="C403" s="10"/>
      <c r="D403" s="11"/>
      <c r="E403" s="10"/>
    </row>
    <row r="404" spans="1:5" ht="14.25" customHeight="1" x14ac:dyDescent="0.35">
      <c r="A404" s="28"/>
      <c r="B404" s="39"/>
      <c r="C404" s="10"/>
      <c r="D404" s="11"/>
      <c r="E404" s="10"/>
    </row>
    <row r="405" spans="1:5" ht="14.25" customHeight="1" x14ac:dyDescent="0.35">
      <c r="A405" s="28"/>
      <c r="B405" s="39"/>
      <c r="C405" s="10"/>
      <c r="D405" s="11"/>
      <c r="E405" s="10"/>
    </row>
    <row r="406" spans="1:5" ht="14.25" customHeight="1" x14ac:dyDescent="0.35">
      <c r="A406" s="28"/>
      <c r="B406" s="39"/>
      <c r="C406" s="10"/>
      <c r="D406" s="11"/>
      <c r="E406" s="10"/>
    </row>
    <row r="407" spans="1:5" ht="14.25" customHeight="1" x14ac:dyDescent="0.35">
      <c r="A407" s="28"/>
      <c r="B407" s="39"/>
      <c r="C407" s="10"/>
      <c r="D407" s="11"/>
      <c r="E407" s="10"/>
    </row>
    <row r="408" spans="1:5" ht="14.25" customHeight="1" x14ac:dyDescent="0.35">
      <c r="A408" s="28"/>
      <c r="B408" s="39"/>
      <c r="C408" s="10"/>
      <c r="D408" s="11"/>
      <c r="E408" s="10"/>
    </row>
    <row r="409" spans="1:5" ht="14.25" customHeight="1" x14ac:dyDescent="0.35">
      <c r="A409" s="28"/>
      <c r="B409" s="39"/>
      <c r="C409" s="10"/>
      <c r="D409" s="11"/>
      <c r="E409" s="10"/>
    </row>
    <row r="410" spans="1:5" ht="14.25" customHeight="1" x14ac:dyDescent="0.35">
      <c r="A410" s="28"/>
      <c r="B410" s="39"/>
      <c r="C410" s="10"/>
      <c r="D410" s="11"/>
      <c r="E410" s="10"/>
    </row>
    <row r="411" spans="1:5" ht="14.25" customHeight="1" x14ac:dyDescent="0.35">
      <c r="A411" s="28"/>
      <c r="B411" s="39"/>
      <c r="C411" s="10"/>
      <c r="D411" s="11"/>
      <c r="E411" s="10"/>
    </row>
    <row r="412" spans="1:5" ht="14.25" customHeight="1" x14ac:dyDescent="0.35">
      <c r="A412" s="28"/>
      <c r="B412" s="39"/>
      <c r="C412" s="10"/>
      <c r="D412" s="11"/>
      <c r="E412" s="10"/>
    </row>
    <row r="413" spans="1:5" ht="14.25" customHeight="1" x14ac:dyDescent="0.35">
      <c r="A413" s="28"/>
      <c r="B413" s="39"/>
      <c r="C413" s="10"/>
      <c r="D413" s="11"/>
      <c r="E413" s="10"/>
    </row>
    <row r="414" spans="1:5" ht="14.25" customHeight="1" x14ac:dyDescent="0.35">
      <c r="A414" s="28"/>
      <c r="B414" s="39"/>
      <c r="C414" s="10"/>
      <c r="D414" s="11"/>
      <c r="E414" s="10"/>
    </row>
    <row r="415" spans="1:5" ht="14.25" customHeight="1" x14ac:dyDescent="0.35">
      <c r="A415" s="28"/>
      <c r="B415" s="39"/>
      <c r="C415" s="10"/>
      <c r="D415" s="11"/>
      <c r="E415" s="10"/>
    </row>
    <row r="416" spans="1:5" ht="14.25" customHeight="1" x14ac:dyDescent="0.35">
      <c r="A416" s="28"/>
      <c r="B416" s="39"/>
      <c r="C416" s="10"/>
      <c r="D416" s="11"/>
      <c r="E416" s="10"/>
    </row>
    <row r="417" spans="1:5" ht="14.25" customHeight="1" x14ac:dyDescent="0.35">
      <c r="A417" s="28"/>
      <c r="B417" s="39"/>
      <c r="C417" s="10"/>
      <c r="D417" s="11"/>
      <c r="E417" s="10"/>
    </row>
    <row r="418" spans="1:5" ht="14.25" customHeight="1" x14ac:dyDescent="0.35">
      <c r="A418" s="28"/>
      <c r="B418" s="39"/>
      <c r="C418" s="10"/>
      <c r="D418" s="11"/>
      <c r="E418" s="10"/>
    </row>
    <row r="419" spans="1:5" ht="14.25" customHeight="1" x14ac:dyDescent="0.35">
      <c r="A419" s="28"/>
      <c r="B419" s="39"/>
      <c r="C419" s="10"/>
      <c r="D419" s="11"/>
      <c r="E419" s="10"/>
    </row>
    <row r="420" spans="1:5" ht="14.25" customHeight="1" x14ac:dyDescent="0.35">
      <c r="A420" s="28"/>
      <c r="B420" s="39"/>
      <c r="C420" s="10"/>
      <c r="D420" s="11"/>
      <c r="E420" s="10"/>
    </row>
    <row r="421" spans="1:5" ht="14.25" customHeight="1" x14ac:dyDescent="0.35">
      <c r="A421" s="28"/>
      <c r="B421" s="39"/>
      <c r="C421" s="10"/>
      <c r="D421" s="11"/>
      <c r="E421" s="10"/>
    </row>
    <row r="422" spans="1:5" ht="14.25" customHeight="1" x14ac:dyDescent="0.35">
      <c r="A422" s="28"/>
      <c r="B422" s="39"/>
      <c r="C422" s="10"/>
      <c r="D422" s="11"/>
      <c r="E422" s="10"/>
    </row>
    <row r="423" spans="1:5" ht="14.25" customHeight="1" x14ac:dyDescent="0.35">
      <c r="A423" s="28"/>
      <c r="B423" s="39"/>
      <c r="C423" s="10"/>
      <c r="D423" s="11"/>
      <c r="E423" s="10"/>
    </row>
    <row r="424" spans="1:5" ht="14.25" customHeight="1" x14ac:dyDescent="0.35">
      <c r="A424" s="28"/>
      <c r="B424" s="39"/>
      <c r="C424" s="10"/>
      <c r="D424" s="11"/>
      <c r="E424" s="10"/>
    </row>
    <row r="425" spans="1:5" ht="14.25" customHeight="1" x14ac:dyDescent="0.35">
      <c r="A425" s="28"/>
      <c r="B425" s="39"/>
      <c r="C425" s="10"/>
      <c r="D425" s="11"/>
      <c r="E425" s="10"/>
    </row>
    <row r="426" spans="1:5" ht="14.25" customHeight="1" x14ac:dyDescent="0.35">
      <c r="A426" s="28"/>
      <c r="B426" s="39"/>
      <c r="C426" s="10"/>
      <c r="D426" s="11"/>
      <c r="E426" s="10"/>
    </row>
    <row r="427" spans="1:5" ht="14.25" customHeight="1" x14ac:dyDescent="0.35">
      <c r="A427" s="28"/>
      <c r="B427" s="39"/>
      <c r="C427" s="10"/>
      <c r="D427" s="11"/>
      <c r="E427" s="10"/>
    </row>
    <row r="428" spans="1:5" ht="14.25" customHeight="1" x14ac:dyDescent="0.35">
      <c r="A428" s="28"/>
      <c r="B428" s="39"/>
      <c r="C428" s="10"/>
      <c r="D428" s="11"/>
      <c r="E428" s="10"/>
    </row>
    <row r="429" spans="1:5" ht="14.25" customHeight="1" x14ac:dyDescent="0.35">
      <c r="A429" s="28"/>
      <c r="B429" s="39"/>
      <c r="C429" s="10"/>
      <c r="D429" s="11"/>
      <c r="E429" s="10"/>
    </row>
    <row r="430" spans="1:5" ht="14.25" customHeight="1" x14ac:dyDescent="0.35">
      <c r="A430" s="28"/>
      <c r="B430" s="39"/>
      <c r="C430" s="10"/>
      <c r="D430" s="11"/>
      <c r="E430" s="10"/>
    </row>
    <row r="431" spans="1:5" ht="14.25" customHeight="1" x14ac:dyDescent="0.35">
      <c r="A431" s="28"/>
      <c r="B431" s="39"/>
      <c r="C431" s="10"/>
      <c r="D431" s="11"/>
      <c r="E431" s="10"/>
    </row>
    <row r="432" spans="1:5" ht="14.25" customHeight="1" x14ac:dyDescent="0.35">
      <c r="A432" s="28"/>
      <c r="B432" s="39"/>
      <c r="C432" s="10"/>
      <c r="D432" s="11"/>
      <c r="E432" s="10"/>
    </row>
    <row r="433" spans="1:5" ht="14.25" customHeight="1" x14ac:dyDescent="0.35">
      <c r="A433" s="28"/>
      <c r="B433" s="39"/>
      <c r="C433" s="10"/>
      <c r="D433" s="11"/>
      <c r="E433" s="10"/>
    </row>
    <row r="434" spans="1:5" ht="14.25" customHeight="1" x14ac:dyDescent="0.35">
      <c r="A434" s="28"/>
      <c r="B434" s="39"/>
      <c r="C434" s="10"/>
      <c r="D434" s="11"/>
      <c r="E434" s="10"/>
    </row>
    <row r="435" spans="1:5" ht="14.25" customHeight="1" x14ac:dyDescent="0.35">
      <c r="A435" s="28"/>
      <c r="B435" s="39"/>
      <c r="C435" s="10"/>
      <c r="D435" s="11"/>
      <c r="E435" s="10"/>
    </row>
    <row r="436" spans="1:5" ht="14.25" customHeight="1" x14ac:dyDescent="0.35">
      <c r="A436" s="28"/>
      <c r="B436" s="39"/>
      <c r="C436" s="10"/>
      <c r="D436" s="11"/>
      <c r="E436" s="10"/>
    </row>
    <row r="437" spans="1:5" ht="14.25" customHeight="1" x14ac:dyDescent="0.35">
      <c r="A437" s="28"/>
      <c r="B437" s="39"/>
      <c r="C437" s="10"/>
      <c r="D437" s="11"/>
      <c r="E437" s="10"/>
    </row>
    <row r="438" spans="1:5" ht="14.25" customHeight="1" x14ac:dyDescent="0.35">
      <c r="A438" s="28"/>
      <c r="B438" s="39"/>
      <c r="C438" s="10"/>
      <c r="D438" s="11"/>
      <c r="E438" s="10"/>
    </row>
    <row r="439" spans="1:5" ht="14.25" customHeight="1" x14ac:dyDescent="0.35">
      <c r="A439" s="28"/>
      <c r="B439" s="39"/>
      <c r="C439" s="10"/>
      <c r="D439" s="11"/>
      <c r="E439" s="10"/>
    </row>
    <row r="440" spans="1:5" ht="14.25" customHeight="1" x14ac:dyDescent="0.35">
      <c r="A440" s="28"/>
      <c r="B440" s="39"/>
      <c r="C440" s="10"/>
      <c r="D440" s="11"/>
      <c r="E440" s="10"/>
    </row>
    <row r="441" spans="1:5" ht="14.25" customHeight="1" x14ac:dyDescent="0.35">
      <c r="A441" s="28"/>
      <c r="B441" s="39"/>
      <c r="C441" s="10"/>
      <c r="D441" s="11"/>
      <c r="E441" s="10"/>
    </row>
    <row r="442" spans="1:5" ht="14.25" customHeight="1" x14ac:dyDescent="0.35">
      <c r="A442" s="28"/>
      <c r="B442" s="39"/>
      <c r="C442" s="10"/>
      <c r="D442" s="11"/>
      <c r="E442" s="10"/>
    </row>
    <row r="443" spans="1:5" ht="14.25" customHeight="1" x14ac:dyDescent="0.35">
      <c r="A443" s="28"/>
      <c r="B443" s="39"/>
      <c r="C443" s="10"/>
      <c r="D443" s="11"/>
      <c r="E443" s="10"/>
    </row>
    <row r="444" spans="1:5" ht="14.25" customHeight="1" x14ac:dyDescent="0.35">
      <c r="A444" s="28"/>
      <c r="B444" s="39"/>
      <c r="C444" s="10"/>
      <c r="D444" s="11"/>
      <c r="E444" s="10"/>
    </row>
    <row r="445" spans="1:5" ht="14.25" customHeight="1" x14ac:dyDescent="0.35">
      <c r="A445" s="28"/>
      <c r="B445" s="39"/>
      <c r="C445" s="10"/>
      <c r="D445" s="11"/>
      <c r="E445" s="10"/>
    </row>
    <row r="446" spans="1:5" ht="14.25" customHeight="1" x14ac:dyDescent="0.35">
      <c r="A446" s="28"/>
      <c r="B446" s="39"/>
      <c r="C446" s="10"/>
      <c r="D446" s="11"/>
      <c r="E446" s="10"/>
    </row>
    <row r="447" spans="1:5" ht="14.25" customHeight="1" x14ac:dyDescent="0.35">
      <c r="A447" s="28"/>
      <c r="B447" s="39"/>
      <c r="C447" s="10"/>
      <c r="D447" s="11"/>
      <c r="E447" s="10"/>
    </row>
    <row r="448" spans="1:5" ht="14.25" customHeight="1" x14ac:dyDescent="0.35">
      <c r="A448" s="28"/>
      <c r="B448" s="39"/>
      <c r="C448" s="10"/>
      <c r="D448" s="11"/>
      <c r="E448" s="10"/>
    </row>
    <row r="449" spans="1:5" ht="14.25" customHeight="1" x14ac:dyDescent="0.35">
      <c r="A449" s="28"/>
      <c r="B449" s="39"/>
      <c r="C449" s="10"/>
      <c r="D449" s="11"/>
      <c r="E449" s="10"/>
    </row>
    <row r="450" spans="1:5" ht="14.25" customHeight="1" x14ac:dyDescent="0.35">
      <c r="A450" s="28"/>
      <c r="B450" s="39"/>
      <c r="C450" s="10"/>
      <c r="D450" s="11"/>
      <c r="E450" s="10"/>
    </row>
    <row r="451" spans="1:5" ht="14.25" customHeight="1" x14ac:dyDescent="0.35">
      <c r="A451" s="28"/>
      <c r="B451" s="39"/>
      <c r="C451" s="10"/>
      <c r="D451" s="11"/>
      <c r="E451" s="10"/>
    </row>
    <row r="452" spans="1:5" ht="14.25" customHeight="1" x14ac:dyDescent="0.35">
      <c r="A452" s="28"/>
      <c r="B452" s="39"/>
      <c r="C452" s="10"/>
      <c r="D452" s="11"/>
      <c r="E452" s="10"/>
    </row>
    <row r="453" spans="1:5" ht="14.25" customHeight="1" x14ac:dyDescent="0.35">
      <c r="A453" s="28"/>
      <c r="B453" s="39"/>
      <c r="C453" s="10"/>
      <c r="D453" s="11"/>
      <c r="E453" s="10"/>
    </row>
    <row r="454" spans="1:5" ht="14.25" customHeight="1" x14ac:dyDescent="0.35">
      <c r="A454" s="28"/>
      <c r="B454" s="39"/>
      <c r="C454" s="10"/>
      <c r="D454" s="11"/>
      <c r="E454" s="10"/>
    </row>
    <row r="455" spans="1:5" ht="14.25" customHeight="1" x14ac:dyDescent="0.35">
      <c r="A455" s="28"/>
      <c r="B455" s="39"/>
      <c r="C455" s="10"/>
      <c r="D455" s="11"/>
      <c r="E455" s="10"/>
    </row>
    <row r="456" spans="1:5" ht="14.25" customHeight="1" x14ac:dyDescent="0.35">
      <c r="A456" s="28"/>
      <c r="B456" s="39"/>
      <c r="C456" s="10"/>
      <c r="D456" s="11"/>
      <c r="E456" s="10"/>
    </row>
    <row r="457" spans="1:5" ht="14.25" customHeight="1" x14ac:dyDescent="0.35">
      <c r="A457" s="28"/>
      <c r="B457" s="39"/>
      <c r="C457" s="10"/>
      <c r="D457" s="11"/>
      <c r="E457" s="10"/>
    </row>
    <row r="458" spans="1:5" ht="14.25" customHeight="1" x14ac:dyDescent="0.35">
      <c r="A458" s="28"/>
      <c r="B458" s="39"/>
      <c r="C458" s="10"/>
      <c r="D458" s="11"/>
      <c r="E458" s="10"/>
    </row>
    <row r="459" spans="1:5" ht="14.25" customHeight="1" x14ac:dyDescent="0.35">
      <c r="A459" s="28"/>
      <c r="B459" s="39"/>
      <c r="C459" s="10"/>
      <c r="D459" s="11"/>
      <c r="E459" s="10"/>
    </row>
    <row r="460" spans="1:5" ht="14.25" customHeight="1" x14ac:dyDescent="0.35">
      <c r="A460" s="28"/>
      <c r="B460" s="39"/>
      <c r="C460" s="10"/>
      <c r="D460" s="11"/>
      <c r="E460" s="10"/>
    </row>
    <row r="461" spans="1:5" ht="14.25" customHeight="1" x14ac:dyDescent="0.35">
      <c r="A461" s="28"/>
      <c r="B461" s="39"/>
      <c r="C461" s="10"/>
      <c r="D461" s="11"/>
      <c r="E461" s="10"/>
    </row>
    <row r="462" spans="1:5" ht="14.25" customHeight="1" x14ac:dyDescent="0.35">
      <c r="A462" s="28"/>
      <c r="B462" s="39"/>
      <c r="C462" s="10"/>
      <c r="D462" s="11"/>
      <c r="E462" s="10"/>
    </row>
    <row r="463" spans="1:5" ht="14.25" customHeight="1" x14ac:dyDescent="0.35">
      <c r="A463" s="28"/>
      <c r="B463" s="39"/>
      <c r="C463" s="10"/>
      <c r="D463" s="11"/>
      <c r="E463" s="10"/>
    </row>
    <row r="464" spans="1:5" ht="14.25" customHeight="1" x14ac:dyDescent="0.35">
      <c r="A464" s="28"/>
      <c r="B464" s="39"/>
      <c r="C464" s="10"/>
      <c r="D464" s="11"/>
      <c r="E464" s="10"/>
    </row>
    <row r="465" spans="1:5" ht="14.25" customHeight="1" x14ac:dyDescent="0.35">
      <c r="A465" s="28"/>
      <c r="B465" s="39"/>
      <c r="C465" s="10"/>
      <c r="D465" s="11"/>
      <c r="E465" s="10"/>
    </row>
    <row r="466" spans="1:5" ht="14.25" customHeight="1" x14ac:dyDescent="0.35">
      <c r="A466" s="28"/>
      <c r="B466" s="39"/>
      <c r="C466" s="10"/>
      <c r="D466" s="11"/>
      <c r="E466" s="10"/>
    </row>
    <row r="467" spans="1:5" ht="14.25" customHeight="1" x14ac:dyDescent="0.35">
      <c r="A467" s="28"/>
      <c r="B467" s="39"/>
      <c r="C467" s="10"/>
      <c r="D467" s="11"/>
      <c r="E467" s="10"/>
    </row>
    <row r="468" spans="1:5" ht="14.25" customHeight="1" x14ac:dyDescent="0.35">
      <c r="A468" s="28"/>
      <c r="B468" s="39"/>
      <c r="C468" s="10"/>
      <c r="D468" s="11"/>
      <c r="E468" s="10"/>
    </row>
    <row r="469" spans="1:5" ht="14.25" customHeight="1" x14ac:dyDescent="0.35">
      <c r="A469" s="28"/>
      <c r="B469" s="39"/>
      <c r="C469" s="10"/>
      <c r="D469" s="11"/>
      <c r="E469" s="10"/>
    </row>
    <row r="470" spans="1:5" ht="14.25" customHeight="1" x14ac:dyDescent="0.35">
      <c r="A470" s="28"/>
      <c r="B470" s="39"/>
      <c r="C470" s="10"/>
      <c r="D470" s="11"/>
      <c r="E470" s="10"/>
    </row>
    <row r="471" spans="1:5" ht="14.25" customHeight="1" x14ac:dyDescent="0.35">
      <c r="A471" s="28"/>
      <c r="B471" s="39"/>
      <c r="C471" s="10"/>
      <c r="D471" s="11"/>
      <c r="E471" s="10"/>
    </row>
    <row r="472" spans="1:5" ht="14.25" customHeight="1" x14ac:dyDescent="0.35">
      <c r="A472" s="28"/>
      <c r="B472" s="39"/>
      <c r="C472" s="10"/>
      <c r="D472" s="11"/>
      <c r="E472" s="10"/>
    </row>
    <row r="473" spans="1:5" ht="14.25" customHeight="1" x14ac:dyDescent="0.35">
      <c r="A473" s="28"/>
      <c r="B473" s="39"/>
      <c r="C473" s="10"/>
      <c r="D473" s="11"/>
      <c r="E473" s="10"/>
    </row>
    <row r="474" spans="1:5" ht="14.25" customHeight="1" x14ac:dyDescent="0.35">
      <c r="A474" s="28"/>
      <c r="B474" s="39"/>
      <c r="C474" s="10"/>
      <c r="D474" s="11"/>
      <c r="E474" s="10"/>
    </row>
    <row r="475" spans="1:5" ht="14.25" customHeight="1" x14ac:dyDescent="0.35">
      <c r="A475" s="28"/>
      <c r="B475" s="39"/>
      <c r="C475" s="10"/>
      <c r="D475" s="11"/>
      <c r="E475" s="10"/>
    </row>
    <row r="476" spans="1:5" ht="14.25" customHeight="1" x14ac:dyDescent="0.35">
      <c r="A476" s="28"/>
      <c r="B476" s="39"/>
      <c r="C476" s="10"/>
      <c r="D476" s="11"/>
      <c r="E476" s="10"/>
    </row>
    <row r="477" spans="1:5" ht="14.25" customHeight="1" x14ac:dyDescent="0.35">
      <c r="A477" s="28"/>
      <c r="B477" s="39"/>
      <c r="C477" s="10"/>
      <c r="D477" s="11"/>
      <c r="E477" s="10"/>
    </row>
    <row r="478" spans="1:5" ht="14.25" customHeight="1" x14ac:dyDescent="0.35">
      <c r="A478" s="28"/>
      <c r="B478" s="39"/>
      <c r="C478" s="10"/>
      <c r="D478" s="11"/>
      <c r="E478" s="10"/>
    </row>
    <row r="479" spans="1:5" ht="14.25" customHeight="1" x14ac:dyDescent="0.35">
      <c r="A479" s="28"/>
      <c r="B479" s="39"/>
      <c r="C479" s="10"/>
      <c r="D479" s="11"/>
      <c r="E479" s="10"/>
    </row>
    <row r="480" spans="1:5" ht="14.25" customHeight="1" x14ac:dyDescent="0.35">
      <c r="A480" s="28"/>
      <c r="B480" s="39"/>
      <c r="C480" s="10"/>
      <c r="D480" s="11"/>
      <c r="E480" s="10"/>
    </row>
    <row r="481" spans="1:5" ht="14.25" customHeight="1" x14ac:dyDescent="0.35">
      <c r="A481" s="28"/>
      <c r="B481" s="39"/>
      <c r="C481" s="10"/>
      <c r="D481" s="11"/>
      <c r="E481" s="10"/>
    </row>
    <row r="482" spans="1:5" ht="14.25" customHeight="1" x14ac:dyDescent="0.35">
      <c r="A482" s="28"/>
      <c r="B482" s="39"/>
      <c r="C482" s="10"/>
      <c r="D482" s="11"/>
      <c r="E482" s="10"/>
    </row>
    <row r="483" spans="1:5" ht="14.25" customHeight="1" x14ac:dyDescent="0.35">
      <c r="A483" s="28"/>
      <c r="B483" s="39"/>
      <c r="C483" s="10"/>
      <c r="D483" s="11"/>
      <c r="E483" s="10"/>
    </row>
    <row r="484" spans="1:5" ht="14.25" customHeight="1" x14ac:dyDescent="0.35">
      <c r="A484" s="28"/>
      <c r="B484" s="39"/>
      <c r="C484" s="10"/>
      <c r="D484" s="11"/>
      <c r="E484" s="10"/>
    </row>
    <row r="485" spans="1:5" ht="14.25" customHeight="1" x14ac:dyDescent="0.35">
      <c r="A485" s="28"/>
      <c r="B485" s="39"/>
      <c r="C485" s="10"/>
      <c r="D485" s="11"/>
      <c r="E485" s="10"/>
    </row>
    <row r="486" spans="1:5" ht="14.25" customHeight="1" x14ac:dyDescent="0.35">
      <c r="A486" s="28"/>
      <c r="B486" s="39"/>
      <c r="C486" s="10"/>
      <c r="D486" s="11"/>
      <c r="E486" s="10"/>
    </row>
    <row r="487" spans="1:5" ht="14.25" customHeight="1" x14ac:dyDescent="0.35">
      <c r="A487" s="28"/>
      <c r="B487" s="39"/>
      <c r="C487" s="10"/>
      <c r="D487" s="11"/>
      <c r="E487" s="10"/>
    </row>
    <row r="488" spans="1:5" ht="14.25" customHeight="1" x14ac:dyDescent="0.35">
      <c r="A488" s="28"/>
      <c r="B488" s="39"/>
      <c r="C488" s="10"/>
      <c r="D488" s="11"/>
      <c r="E488" s="10"/>
    </row>
    <row r="489" spans="1:5" ht="14.25" customHeight="1" x14ac:dyDescent="0.35">
      <c r="A489" s="28"/>
      <c r="B489" s="39"/>
      <c r="C489" s="10"/>
      <c r="D489" s="11"/>
      <c r="E489" s="10"/>
    </row>
    <row r="490" spans="1:5" ht="14.25" customHeight="1" x14ac:dyDescent="0.35">
      <c r="A490" s="28"/>
      <c r="B490" s="39"/>
      <c r="C490" s="10"/>
      <c r="D490" s="11"/>
      <c r="E490" s="10"/>
    </row>
    <row r="491" spans="1:5" ht="14.25" customHeight="1" x14ac:dyDescent="0.35">
      <c r="A491" s="28"/>
      <c r="B491" s="39"/>
      <c r="C491" s="10"/>
      <c r="D491" s="11"/>
      <c r="E491" s="10"/>
    </row>
    <row r="492" spans="1:5" ht="14.25" customHeight="1" x14ac:dyDescent="0.35">
      <c r="A492" s="28"/>
      <c r="B492" s="39"/>
      <c r="C492" s="10"/>
      <c r="D492" s="11"/>
      <c r="E492" s="10"/>
    </row>
    <row r="493" spans="1:5" ht="14.25" customHeight="1" x14ac:dyDescent="0.35">
      <c r="A493" s="28"/>
      <c r="B493" s="39"/>
      <c r="C493" s="10"/>
      <c r="D493" s="11"/>
      <c r="E493" s="10"/>
    </row>
    <row r="494" spans="1:5" ht="14.25" customHeight="1" x14ac:dyDescent="0.35">
      <c r="A494" s="28"/>
      <c r="B494" s="39"/>
      <c r="C494" s="10"/>
      <c r="D494" s="11"/>
      <c r="E494" s="10"/>
    </row>
    <row r="495" spans="1:5" ht="14.25" customHeight="1" x14ac:dyDescent="0.35">
      <c r="A495" s="28"/>
      <c r="B495" s="39"/>
      <c r="C495" s="10"/>
      <c r="D495" s="11"/>
      <c r="E495" s="10"/>
    </row>
    <row r="496" spans="1:5" ht="14.25" customHeight="1" x14ac:dyDescent="0.35">
      <c r="A496" s="28"/>
      <c r="B496" s="39"/>
      <c r="C496" s="10"/>
      <c r="D496" s="11"/>
      <c r="E496" s="10"/>
    </row>
    <row r="497" spans="1:5" ht="14.25" customHeight="1" x14ac:dyDescent="0.35">
      <c r="A497" s="28"/>
      <c r="B497" s="39"/>
      <c r="C497" s="10"/>
      <c r="D497" s="11"/>
      <c r="E497" s="10"/>
    </row>
    <row r="498" spans="1:5" ht="14.25" customHeight="1" x14ac:dyDescent="0.35">
      <c r="A498" s="28"/>
      <c r="B498" s="39"/>
      <c r="C498" s="10"/>
      <c r="D498" s="11"/>
      <c r="E498" s="10"/>
    </row>
    <row r="499" spans="1:5" ht="14.25" customHeight="1" x14ac:dyDescent="0.35">
      <c r="A499" s="28"/>
      <c r="B499" s="39"/>
      <c r="C499" s="10"/>
      <c r="D499" s="11"/>
      <c r="E499" s="10"/>
    </row>
    <row r="500" spans="1:5" ht="14.25" customHeight="1" x14ac:dyDescent="0.35">
      <c r="A500" s="28"/>
      <c r="B500" s="39"/>
      <c r="C500" s="10"/>
      <c r="D500" s="11"/>
      <c r="E500" s="10"/>
    </row>
    <row r="501" spans="1:5" ht="14.25" customHeight="1" x14ac:dyDescent="0.35">
      <c r="A501" s="28"/>
      <c r="B501" s="39"/>
      <c r="C501" s="10"/>
      <c r="D501" s="11"/>
      <c r="E501" s="10"/>
    </row>
    <row r="502" spans="1:5" ht="14.25" customHeight="1" x14ac:dyDescent="0.35">
      <c r="A502" s="28"/>
      <c r="B502" s="39"/>
      <c r="C502" s="10"/>
      <c r="D502" s="11"/>
      <c r="E502" s="10"/>
    </row>
    <row r="503" spans="1:5" ht="14.25" customHeight="1" x14ac:dyDescent="0.35">
      <c r="A503" s="28"/>
      <c r="B503" s="39"/>
      <c r="C503" s="10"/>
      <c r="D503" s="11"/>
      <c r="E503" s="10"/>
    </row>
    <row r="504" spans="1:5" ht="14.25" customHeight="1" x14ac:dyDescent="0.35">
      <c r="A504" s="28"/>
      <c r="B504" s="39"/>
      <c r="C504" s="10"/>
      <c r="D504" s="11"/>
      <c r="E504" s="10"/>
    </row>
    <row r="505" spans="1:5" ht="14.25" customHeight="1" x14ac:dyDescent="0.35">
      <c r="A505" s="28"/>
      <c r="B505" s="39"/>
      <c r="C505" s="10"/>
      <c r="D505" s="11"/>
      <c r="E505" s="10"/>
    </row>
    <row r="506" spans="1:5" ht="14.25" customHeight="1" x14ac:dyDescent="0.35">
      <c r="A506" s="28"/>
      <c r="B506" s="39"/>
      <c r="C506" s="10"/>
      <c r="D506" s="11"/>
      <c r="E506" s="10"/>
    </row>
    <row r="507" spans="1:5" ht="14.25" customHeight="1" x14ac:dyDescent="0.35">
      <c r="A507" s="28"/>
      <c r="B507" s="39"/>
      <c r="C507" s="10"/>
      <c r="D507" s="11"/>
      <c r="E507" s="10"/>
    </row>
    <row r="508" spans="1:5" ht="14.25" customHeight="1" x14ac:dyDescent="0.35">
      <c r="A508" s="28"/>
      <c r="B508" s="39"/>
      <c r="C508" s="10"/>
      <c r="D508" s="11"/>
      <c r="E508" s="10"/>
    </row>
    <row r="509" spans="1:5" ht="14.25" customHeight="1" x14ac:dyDescent="0.35">
      <c r="A509" s="28"/>
      <c r="B509" s="39"/>
      <c r="C509" s="10"/>
      <c r="D509" s="11"/>
      <c r="E509" s="10"/>
    </row>
    <row r="510" spans="1:5" ht="14.25" customHeight="1" x14ac:dyDescent="0.35">
      <c r="A510" s="28"/>
      <c r="B510" s="39"/>
      <c r="C510" s="10"/>
      <c r="D510" s="11"/>
      <c r="E510" s="10"/>
    </row>
    <row r="511" spans="1:5" ht="14.25" customHeight="1" x14ac:dyDescent="0.35">
      <c r="A511" s="28"/>
      <c r="B511" s="39"/>
      <c r="C511" s="10"/>
      <c r="D511" s="11"/>
      <c r="E511" s="10"/>
    </row>
    <row r="512" spans="1:5" ht="14.25" customHeight="1" x14ac:dyDescent="0.35">
      <c r="A512" s="28"/>
      <c r="B512" s="39"/>
      <c r="C512" s="10"/>
      <c r="D512" s="11"/>
      <c r="E512" s="10"/>
    </row>
    <row r="513" spans="1:5" ht="14.25" customHeight="1" x14ac:dyDescent="0.35">
      <c r="A513" s="28"/>
      <c r="B513" s="39"/>
      <c r="C513" s="10"/>
      <c r="D513" s="11"/>
      <c r="E513" s="10"/>
    </row>
    <row r="514" spans="1:5" ht="14.25" customHeight="1" x14ac:dyDescent="0.35">
      <c r="A514" s="28"/>
      <c r="B514" s="39"/>
      <c r="C514" s="10"/>
      <c r="D514" s="11"/>
      <c r="E514" s="10"/>
    </row>
    <row r="515" spans="1:5" ht="14.25" customHeight="1" x14ac:dyDescent="0.35">
      <c r="A515" s="28"/>
      <c r="B515" s="39"/>
      <c r="C515" s="10"/>
      <c r="D515" s="11"/>
      <c r="E515" s="10"/>
    </row>
    <row r="516" spans="1:5" ht="14.25" customHeight="1" x14ac:dyDescent="0.35">
      <c r="A516" s="28"/>
      <c r="B516" s="39"/>
      <c r="C516" s="10"/>
      <c r="D516" s="11"/>
      <c r="E516" s="10"/>
    </row>
    <row r="517" spans="1:5" ht="14.25" customHeight="1" x14ac:dyDescent="0.35">
      <c r="A517" s="28"/>
      <c r="B517" s="39"/>
      <c r="C517" s="10"/>
      <c r="D517" s="11"/>
      <c r="E517" s="10"/>
    </row>
    <row r="518" spans="1:5" ht="14.25" customHeight="1" x14ac:dyDescent="0.35">
      <c r="A518" s="28"/>
      <c r="B518" s="39"/>
      <c r="C518" s="10"/>
      <c r="D518" s="11"/>
      <c r="E518" s="10"/>
    </row>
    <row r="519" spans="1:5" ht="14.25" customHeight="1" x14ac:dyDescent="0.35">
      <c r="A519" s="28"/>
      <c r="B519" s="39"/>
      <c r="C519" s="10"/>
      <c r="D519" s="11"/>
      <c r="E519" s="10"/>
    </row>
    <row r="520" spans="1:5" ht="14.25" customHeight="1" x14ac:dyDescent="0.35">
      <c r="A520" s="28"/>
      <c r="B520" s="39"/>
      <c r="C520" s="10"/>
      <c r="D520" s="11"/>
      <c r="E520" s="10"/>
    </row>
    <row r="521" spans="1:5" ht="14.25" customHeight="1" x14ac:dyDescent="0.35">
      <c r="A521" s="28"/>
      <c r="B521" s="39"/>
      <c r="C521" s="10"/>
      <c r="D521" s="11"/>
      <c r="E521" s="10"/>
    </row>
    <row r="522" spans="1:5" ht="14.25" customHeight="1" x14ac:dyDescent="0.35">
      <c r="A522" s="28"/>
      <c r="B522" s="39"/>
      <c r="C522" s="10"/>
      <c r="D522" s="11"/>
      <c r="E522" s="10"/>
    </row>
    <row r="523" spans="1:5" ht="14.25" customHeight="1" x14ac:dyDescent="0.35">
      <c r="A523" s="28"/>
      <c r="B523" s="39"/>
      <c r="C523" s="10"/>
      <c r="D523" s="11"/>
      <c r="E523" s="10"/>
    </row>
    <row r="524" spans="1:5" ht="14.25" customHeight="1" x14ac:dyDescent="0.35">
      <c r="A524" s="28"/>
      <c r="B524" s="39"/>
      <c r="C524" s="10"/>
      <c r="D524" s="11"/>
      <c r="E524" s="10"/>
    </row>
    <row r="525" spans="1:5" ht="14.25" customHeight="1" x14ac:dyDescent="0.35">
      <c r="A525" s="28"/>
      <c r="B525" s="39"/>
      <c r="C525" s="10"/>
      <c r="D525" s="11"/>
      <c r="E525" s="10"/>
    </row>
    <row r="526" spans="1:5" ht="14.25" customHeight="1" x14ac:dyDescent="0.35">
      <c r="A526" s="28"/>
      <c r="B526" s="39"/>
      <c r="C526" s="10"/>
      <c r="D526" s="11"/>
      <c r="E526" s="10"/>
    </row>
    <row r="527" spans="1:5" ht="14.25" customHeight="1" x14ac:dyDescent="0.35">
      <c r="A527" s="28"/>
      <c r="B527" s="39"/>
      <c r="C527" s="10"/>
      <c r="D527" s="11"/>
      <c r="E527" s="10"/>
    </row>
    <row r="528" spans="1:5" ht="14.25" customHeight="1" x14ac:dyDescent="0.35">
      <c r="A528" s="28"/>
      <c r="B528" s="39"/>
      <c r="C528" s="10"/>
      <c r="D528" s="11"/>
      <c r="E528" s="10"/>
    </row>
    <row r="529" spans="1:5" ht="14.25" customHeight="1" x14ac:dyDescent="0.35">
      <c r="A529" s="28"/>
      <c r="B529" s="39"/>
      <c r="C529" s="10"/>
      <c r="D529" s="11"/>
      <c r="E529" s="10"/>
    </row>
    <row r="530" spans="1:5" ht="14.25" customHeight="1" x14ac:dyDescent="0.35">
      <c r="A530" s="28"/>
      <c r="B530" s="39"/>
      <c r="C530" s="10"/>
      <c r="D530" s="11"/>
      <c r="E530" s="10"/>
    </row>
    <row r="531" spans="1:5" ht="14.25" customHeight="1" x14ac:dyDescent="0.35">
      <c r="A531" s="28"/>
      <c r="B531" s="39"/>
      <c r="C531" s="10"/>
      <c r="D531" s="11"/>
      <c r="E531" s="10"/>
    </row>
    <row r="532" spans="1:5" ht="14.25" customHeight="1" x14ac:dyDescent="0.35">
      <c r="A532" s="28"/>
      <c r="B532" s="39"/>
      <c r="C532" s="10"/>
      <c r="D532" s="11"/>
      <c r="E532" s="10"/>
    </row>
    <row r="533" spans="1:5" ht="14.25" customHeight="1" x14ac:dyDescent="0.35">
      <c r="A533" s="28"/>
      <c r="B533" s="39"/>
      <c r="C533" s="10"/>
      <c r="D533" s="11"/>
      <c r="E533" s="10"/>
    </row>
    <row r="534" spans="1:5" ht="14.25" customHeight="1" x14ac:dyDescent="0.35">
      <c r="A534" s="28"/>
      <c r="B534" s="39"/>
      <c r="C534" s="10"/>
      <c r="D534" s="11"/>
      <c r="E534" s="10"/>
    </row>
    <row r="535" spans="1:5" ht="14.25" customHeight="1" x14ac:dyDescent="0.35">
      <c r="A535" s="28"/>
      <c r="B535" s="39"/>
      <c r="C535" s="10"/>
      <c r="D535" s="11"/>
      <c r="E535" s="10"/>
    </row>
    <row r="536" spans="1:5" ht="14.25" customHeight="1" x14ac:dyDescent="0.35">
      <c r="A536" s="28"/>
      <c r="B536" s="39"/>
      <c r="C536" s="10"/>
      <c r="D536" s="11"/>
      <c r="E536" s="10"/>
    </row>
    <row r="537" spans="1:5" ht="14.25" customHeight="1" x14ac:dyDescent="0.35">
      <c r="A537" s="28"/>
      <c r="B537" s="39"/>
      <c r="C537" s="10"/>
      <c r="D537" s="11"/>
      <c r="E537" s="10"/>
    </row>
    <row r="538" spans="1:5" ht="14.25" customHeight="1" x14ac:dyDescent="0.35">
      <c r="A538" s="28"/>
      <c r="B538" s="39"/>
      <c r="C538" s="10"/>
      <c r="D538" s="11"/>
      <c r="E538" s="10"/>
    </row>
    <row r="539" spans="1:5" ht="14.25" customHeight="1" x14ac:dyDescent="0.35">
      <c r="A539" s="28"/>
      <c r="B539" s="39"/>
      <c r="C539" s="10"/>
      <c r="D539" s="11"/>
      <c r="E539" s="10"/>
    </row>
    <row r="540" spans="1:5" ht="14.25" customHeight="1" x14ac:dyDescent="0.35">
      <c r="A540" s="28"/>
      <c r="B540" s="39"/>
      <c r="C540" s="10"/>
      <c r="D540" s="11"/>
      <c r="E540" s="10"/>
    </row>
    <row r="541" spans="1:5" ht="14.25" customHeight="1" x14ac:dyDescent="0.35">
      <c r="A541" s="28"/>
      <c r="B541" s="39"/>
      <c r="C541" s="10"/>
      <c r="D541" s="11"/>
      <c r="E541" s="10"/>
    </row>
    <row r="542" spans="1:5" ht="14.25" customHeight="1" x14ac:dyDescent="0.35">
      <c r="A542" s="28"/>
      <c r="B542" s="39"/>
      <c r="C542" s="10"/>
      <c r="D542" s="11"/>
      <c r="E542" s="10"/>
    </row>
    <row r="543" spans="1:5" ht="14.25" customHeight="1" x14ac:dyDescent="0.35">
      <c r="A543" s="28"/>
      <c r="B543" s="39"/>
      <c r="C543" s="10"/>
      <c r="D543" s="11"/>
      <c r="E543" s="10"/>
    </row>
    <row r="544" spans="1:5" ht="14.25" customHeight="1" x14ac:dyDescent="0.35">
      <c r="A544" s="28"/>
      <c r="B544" s="39"/>
      <c r="C544" s="10"/>
      <c r="D544" s="11"/>
      <c r="E544" s="10"/>
    </row>
    <row r="545" spans="1:5" ht="14.25" customHeight="1" x14ac:dyDescent="0.35">
      <c r="A545" s="28"/>
      <c r="B545" s="39"/>
      <c r="C545" s="10"/>
      <c r="D545" s="11"/>
      <c r="E545" s="10"/>
    </row>
    <row r="546" spans="1:5" ht="14.25" customHeight="1" x14ac:dyDescent="0.35">
      <c r="A546" s="28"/>
      <c r="B546" s="39"/>
      <c r="C546" s="10"/>
      <c r="D546" s="11"/>
      <c r="E546" s="10"/>
    </row>
    <row r="547" spans="1:5" ht="14.25" customHeight="1" x14ac:dyDescent="0.35">
      <c r="A547" s="28"/>
      <c r="B547" s="39"/>
      <c r="C547" s="10"/>
      <c r="D547" s="11"/>
      <c r="E547" s="10"/>
    </row>
    <row r="548" spans="1:5" ht="14.25" customHeight="1" x14ac:dyDescent="0.35">
      <c r="A548" s="28"/>
      <c r="B548" s="39"/>
      <c r="C548" s="10"/>
      <c r="D548" s="11"/>
      <c r="E548" s="10"/>
    </row>
    <row r="549" spans="1:5" ht="14.25" customHeight="1" x14ac:dyDescent="0.35">
      <c r="A549" s="28"/>
      <c r="B549" s="39"/>
      <c r="C549" s="10"/>
      <c r="D549" s="11"/>
      <c r="E549" s="10"/>
    </row>
    <row r="550" spans="1:5" ht="14.25" customHeight="1" x14ac:dyDescent="0.35">
      <c r="A550" s="28"/>
      <c r="B550" s="39"/>
      <c r="C550" s="10"/>
      <c r="D550" s="11"/>
      <c r="E550" s="10"/>
    </row>
    <row r="551" spans="1:5" ht="14.25" customHeight="1" x14ac:dyDescent="0.35">
      <c r="A551" s="28"/>
      <c r="B551" s="39"/>
      <c r="C551" s="10"/>
      <c r="D551" s="11"/>
      <c r="E551" s="10"/>
    </row>
    <row r="552" spans="1:5" ht="14.25" customHeight="1" x14ac:dyDescent="0.35">
      <c r="A552" s="28"/>
      <c r="B552" s="39"/>
      <c r="C552" s="10"/>
      <c r="D552" s="11"/>
      <c r="E552" s="10"/>
    </row>
    <row r="553" spans="1:5" ht="14.25" customHeight="1" x14ac:dyDescent="0.35">
      <c r="A553" s="28"/>
      <c r="B553" s="39"/>
      <c r="C553" s="10"/>
      <c r="D553" s="11"/>
      <c r="E553" s="10"/>
    </row>
    <row r="554" spans="1:5" ht="14.25" customHeight="1" x14ac:dyDescent="0.35">
      <c r="A554" s="28"/>
      <c r="B554" s="39"/>
      <c r="C554" s="10"/>
      <c r="D554" s="11"/>
      <c r="E554" s="10"/>
    </row>
    <row r="555" spans="1:5" ht="14.25" customHeight="1" x14ac:dyDescent="0.35">
      <c r="A555" s="28"/>
      <c r="B555" s="39"/>
      <c r="C555" s="10"/>
      <c r="D555" s="11"/>
      <c r="E555" s="10"/>
    </row>
    <row r="556" spans="1:5" ht="14.25" customHeight="1" x14ac:dyDescent="0.35">
      <c r="A556" s="28"/>
      <c r="B556" s="39"/>
      <c r="C556" s="10"/>
      <c r="D556" s="11"/>
      <c r="E556" s="10"/>
    </row>
    <row r="557" spans="1:5" ht="14.25" customHeight="1" x14ac:dyDescent="0.35">
      <c r="A557" s="28"/>
      <c r="B557" s="39"/>
      <c r="C557" s="10"/>
      <c r="D557" s="11"/>
      <c r="E557" s="10"/>
    </row>
    <row r="558" spans="1:5" ht="14.25" customHeight="1" x14ac:dyDescent="0.35">
      <c r="A558" s="28"/>
      <c r="B558" s="39"/>
      <c r="C558" s="10"/>
      <c r="D558" s="11"/>
      <c r="E558" s="10"/>
    </row>
    <row r="559" spans="1:5" ht="14.25" customHeight="1" x14ac:dyDescent="0.35">
      <c r="A559" s="28"/>
      <c r="B559" s="39"/>
      <c r="C559" s="10"/>
      <c r="D559" s="11"/>
      <c r="E559" s="10"/>
    </row>
    <row r="560" spans="1:5" ht="14.25" customHeight="1" x14ac:dyDescent="0.35">
      <c r="A560" s="28"/>
      <c r="B560" s="39"/>
      <c r="C560" s="10"/>
      <c r="D560" s="11"/>
      <c r="E560" s="10"/>
    </row>
    <row r="561" spans="1:5" ht="14.25" customHeight="1" x14ac:dyDescent="0.35">
      <c r="A561" s="28"/>
      <c r="B561" s="39"/>
      <c r="C561" s="10"/>
      <c r="D561" s="11"/>
      <c r="E561" s="10"/>
    </row>
    <row r="562" spans="1:5" ht="14.25" customHeight="1" x14ac:dyDescent="0.35">
      <c r="A562" s="28"/>
      <c r="B562" s="39"/>
      <c r="C562" s="10"/>
      <c r="D562" s="11"/>
      <c r="E562" s="10"/>
    </row>
    <row r="563" spans="1:5" ht="14.25" customHeight="1" x14ac:dyDescent="0.35">
      <c r="A563" s="28"/>
      <c r="B563" s="39"/>
      <c r="C563" s="10"/>
      <c r="D563" s="11"/>
      <c r="E563" s="10"/>
    </row>
    <row r="564" spans="1:5" ht="14.25" customHeight="1" x14ac:dyDescent="0.35">
      <c r="A564" s="28"/>
      <c r="B564" s="39"/>
      <c r="C564" s="10"/>
      <c r="D564" s="11"/>
      <c r="E564" s="10"/>
    </row>
    <row r="565" spans="1:5" ht="14.25" customHeight="1" x14ac:dyDescent="0.35">
      <c r="A565" s="28"/>
      <c r="B565" s="39"/>
      <c r="C565" s="10"/>
      <c r="D565" s="11"/>
      <c r="E565" s="10"/>
    </row>
    <row r="566" spans="1:5" ht="14.25" customHeight="1" x14ac:dyDescent="0.35">
      <c r="A566" s="28"/>
      <c r="B566" s="39"/>
      <c r="C566" s="10"/>
      <c r="D566" s="11"/>
      <c r="E566" s="10"/>
    </row>
    <row r="567" spans="1:5" ht="14.25" customHeight="1" x14ac:dyDescent="0.35">
      <c r="A567" s="28"/>
      <c r="B567" s="39"/>
      <c r="C567" s="10"/>
      <c r="D567" s="11"/>
      <c r="E567" s="10"/>
    </row>
    <row r="568" spans="1:5" ht="14.25" customHeight="1" x14ac:dyDescent="0.35">
      <c r="A568" s="28"/>
      <c r="B568" s="39"/>
      <c r="C568" s="10"/>
      <c r="D568" s="11"/>
      <c r="E568" s="10"/>
    </row>
    <row r="569" spans="1:5" ht="14.25" customHeight="1" x14ac:dyDescent="0.35">
      <c r="A569" s="28"/>
      <c r="B569" s="39"/>
      <c r="C569" s="10"/>
      <c r="D569" s="11"/>
      <c r="E569" s="10"/>
    </row>
    <row r="570" spans="1:5" ht="14.25" customHeight="1" x14ac:dyDescent="0.35">
      <c r="A570" s="28"/>
      <c r="B570" s="39"/>
      <c r="C570" s="10"/>
      <c r="D570" s="11"/>
      <c r="E570" s="10"/>
    </row>
    <row r="571" spans="1:5" ht="14.25" customHeight="1" x14ac:dyDescent="0.35">
      <c r="A571" s="28"/>
      <c r="B571" s="39"/>
      <c r="C571" s="10"/>
      <c r="D571" s="11"/>
      <c r="E571" s="10"/>
    </row>
    <row r="572" spans="1:5" ht="14.25" customHeight="1" x14ac:dyDescent="0.35">
      <c r="A572" s="28"/>
      <c r="B572" s="39"/>
      <c r="C572" s="10"/>
      <c r="D572" s="11"/>
      <c r="E572" s="10"/>
    </row>
    <row r="573" spans="1:5" ht="14.25" customHeight="1" x14ac:dyDescent="0.35">
      <c r="A573" s="28"/>
      <c r="B573" s="39"/>
      <c r="C573" s="10"/>
      <c r="D573" s="11"/>
      <c r="E573" s="10"/>
    </row>
    <row r="574" spans="1:5" ht="14.25" customHeight="1" x14ac:dyDescent="0.35">
      <c r="A574" s="28"/>
      <c r="B574" s="39"/>
      <c r="C574" s="10"/>
      <c r="D574" s="11"/>
      <c r="E574" s="10"/>
    </row>
    <row r="575" spans="1:5" ht="14.25" customHeight="1" x14ac:dyDescent="0.35">
      <c r="A575" s="28"/>
      <c r="B575" s="39"/>
      <c r="C575" s="10"/>
      <c r="D575" s="11"/>
      <c r="E575" s="10"/>
    </row>
    <row r="576" spans="1:5" ht="14.25" customHeight="1" x14ac:dyDescent="0.35">
      <c r="A576" s="28"/>
      <c r="B576" s="39"/>
      <c r="C576" s="10"/>
      <c r="D576" s="11"/>
      <c r="E576" s="10"/>
    </row>
    <row r="577" spans="1:5" ht="14.25" customHeight="1" x14ac:dyDescent="0.35">
      <c r="A577" s="28"/>
      <c r="B577" s="39"/>
      <c r="C577" s="10"/>
      <c r="D577" s="11"/>
      <c r="E577" s="10"/>
    </row>
    <row r="578" spans="1:5" ht="14.25" customHeight="1" x14ac:dyDescent="0.35">
      <c r="A578" s="28"/>
      <c r="B578" s="39"/>
      <c r="C578" s="10"/>
      <c r="D578" s="11"/>
      <c r="E578" s="10"/>
    </row>
    <row r="579" spans="1:5" ht="14.25" customHeight="1" x14ac:dyDescent="0.35">
      <c r="A579" s="28"/>
      <c r="B579" s="39"/>
      <c r="C579" s="10"/>
      <c r="D579" s="11"/>
      <c r="E579" s="10"/>
    </row>
    <row r="580" spans="1:5" ht="14.25" customHeight="1" x14ac:dyDescent="0.35">
      <c r="A580" s="28"/>
      <c r="B580" s="39"/>
      <c r="C580" s="10"/>
      <c r="D580" s="11"/>
      <c r="E580" s="10"/>
    </row>
    <row r="581" spans="1:5" ht="14.25" customHeight="1" x14ac:dyDescent="0.35">
      <c r="A581" s="28"/>
      <c r="B581" s="39"/>
      <c r="C581" s="10"/>
      <c r="D581" s="11"/>
      <c r="E581" s="10"/>
    </row>
    <row r="582" spans="1:5" ht="14.25" customHeight="1" x14ac:dyDescent="0.35">
      <c r="A582" s="28"/>
      <c r="B582" s="39"/>
      <c r="C582" s="10"/>
      <c r="D582" s="11"/>
      <c r="E582" s="10"/>
    </row>
    <row r="583" spans="1:5" ht="14.25" customHeight="1" x14ac:dyDescent="0.35">
      <c r="A583" s="28"/>
      <c r="B583" s="39"/>
      <c r="C583" s="10"/>
      <c r="D583" s="11"/>
      <c r="E583" s="10"/>
    </row>
    <row r="584" spans="1:5" ht="14.25" customHeight="1" x14ac:dyDescent="0.35">
      <c r="A584" s="28"/>
      <c r="B584" s="39"/>
      <c r="C584" s="10"/>
      <c r="D584" s="11"/>
      <c r="E584" s="10"/>
    </row>
    <row r="585" spans="1:5" ht="14.25" customHeight="1" x14ac:dyDescent="0.35">
      <c r="A585" s="28"/>
      <c r="B585" s="39"/>
      <c r="C585" s="10"/>
      <c r="D585" s="11"/>
      <c r="E585" s="10"/>
    </row>
    <row r="586" spans="1:5" ht="14.25" customHeight="1" x14ac:dyDescent="0.35">
      <c r="A586" s="28"/>
      <c r="B586" s="39"/>
      <c r="C586" s="10"/>
      <c r="D586" s="11"/>
      <c r="E586" s="10"/>
    </row>
    <row r="587" spans="1:5" ht="14.25" customHeight="1" x14ac:dyDescent="0.35">
      <c r="A587" s="28"/>
      <c r="B587" s="39"/>
      <c r="C587" s="10"/>
      <c r="D587" s="11"/>
      <c r="E587" s="10"/>
    </row>
    <row r="588" spans="1:5" ht="14.25" customHeight="1" x14ac:dyDescent="0.35">
      <c r="A588" s="28"/>
      <c r="B588" s="39"/>
      <c r="C588" s="10"/>
      <c r="D588" s="11"/>
      <c r="E588" s="10"/>
    </row>
    <row r="589" spans="1:5" ht="14.25" customHeight="1" x14ac:dyDescent="0.35">
      <c r="A589" s="28"/>
      <c r="B589" s="39"/>
      <c r="C589" s="10"/>
      <c r="D589" s="11"/>
      <c r="E589" s="10"/>
    </row>
    <row r="590" spans="1:5" ht="14.25" customHeight="1" x14ac:dyDescent="0.35">
      <c r="A590" s="28"/>
      <c r="B590" s="39"/>
      <c r="C590" s="10"/>
      <c r="D590" s="11"/>
      <c r="E590" s="10"/>
    </row>
    <row r="591" spans="1:5" ht="14.25" customHeight="1" x14ac:dyDescent="0.35">
      <c r="A591" s="28"/>
      <c r="B591" s="39"/>
      <c r="C591" s="10"/>
      <c r="D591" s="11"/>
      <c r="E591" s="10"/>
    </row>
    <row r="592" spans="1:5" ht="14.25" customHeight="1" x14ac:dyDescent="0.35">
      <c r="A592" s="28"/>
      <c r="B592" s="39"/>
      <c r="C592" s="10"/>
      <c r="D592" s="11"/>
      <c r="E592" s="10"/>
    </row>
    <row r="593" spans="1:5" ht="14.25" customHeight="1" x14ac:dyDescent="0.35">
      <c r="A593" s="28"/>
      <c r="B593" s="39"/>
      <c r="C593" s="10"/>
      <c r="D593" s="11"/>
      <c r="E593" s="10"/>
    </row>
    <row r="594" spans="1:5" ht="14.25" customHeight="1" x14ac:dyDescent="0.35">
      <c r="A594" s="28"/>
      <c r="B594" s="39"/>
      <c r="C594" s="10"/>
      <c r="D594" s="11"/>
      <c r="E594" s="10"/>
    </row>
    <row r="595" spans="1:5" ht="14.25" customHeight="1" x14ac:dyDescent="0.35">
      <c r="A595" s="28"/>
      <c r="B595" s="39"/>
      <c r="C595" s="10"/>
      <c r="D595" s="11"/>
      <c r="E595" s="10"/>
    </row>
    <row r="596" spans="1:5" ht="14.25" customHeight="1" x14ac:dyDescent="0.35">
      <c r="A596" s="28"/>
      <c r="B596" s="39"/>
      <c r="C596" s="10"/>
      <c r="D596" s="11"/>
      <c r="E596" s="10"/>
    </row>
    <row r="597" spans="1:5" ht="14.25" customHeight="1" x14ac:dyDescent="0.35">
      <c r="A597" s="28"/>
      <c r="B597" s="39"/>
      <c r="C597" s="10"/>
      <c r="D597" s="11"/>
      <c r="E597" s="10"/>
    </row>
    <row r="598" spans="1:5" ht="14.25" customHeight="1" x14ac:dyDescent="0.35">
      <c r="A598" s="28"/>
      <c r="B598" s="39"/>
      <c r="C598" s="10"/>
      <c r="D598" s="11"/>
      <c r="E598" s="10"/>
    </row>
    <row r="599" spans="1:5" ht="14.25" customHeight="1" x14ac:dyDescent="0.35">
      <c r="A599" s="28"/>
      <c r="B599" s="39"/>
      <c r="C599" s="10"/>
      <c r="D599" s="11"/>
      <c r="E599" s="10"/>
    </row>
    <row r="600" spans="1:5" ht="14.25" customHeight="1" x14ac:dyDescent="0.35">
      <c r="A600" s="28"/>
      <c r="B600" s="39"/>
      <c r="C600" s="10"/>
      <c r="D600" s="11"/>
      <c r="E600" s="10"/>
    </row>
    <row r="601" spans="1:5" ht="14.25" customHeight="1" x14ac:dyDescent="0.35">
      <c r="A601" s="28"/>
      <c r="B601" s="39"/>
      <c r="C601" s="10"/>
      <c r="D601" s="11"/>
      <c r="E601" s="10"/>
    </row>
    <row r="602" spans="1:5" ht="14.25" customHeight="1" x14ac:dyDescent="0.35">
      <c r="A602" s="28"/>
      <c r="B602" s="39"/>
      <c r="C602" s="10"/>
      <c r="D602" s="11"/>
      <c r="E602" s="10"/>
    </row>
    <row r="603" spans="1:5" ht="14.25" customHeight="1" x14ac:dyDescent="0.35">
      <c r="A603" s="28"/>
      <c r="B603" s="39"/>
      <c r="C603" s="10"/>
      <c r="D603" s="11"/>
      <c r="E603" s="10"/>
    </row>
    <row r="604" spans="1:5" ht="14.25" customHeight="1" x14ac:dyDescent="0.35">
      <c r="A604" s="28"/>
      <c r="B604" s="39"/>
      <c r="C604" s="10"/>
      <c r="D604" s="11"/>
      <c r="E604" s="10"/>
    </row>
    <row r="605" spans="1:5" ht="14.25" customHeight="1" x14ac:dyDescent="0.35">
      <c r="A605" s="28"/>
      <c r="B605" s="39"/>
      <c r="C605" s="10"/>
      <c r="D605" s="11"/>
      <c r="E605" s="10"/>
    </row>
    <row r="606" spans="1:5" ht="14.25" customHeight="1" x14ac:dyDescent="0.35">
      <c r="A606" s="28"/>
      <c r="B606" s="39"/>
      <c r="C606" s="10"/>
      <c r="D606" s="11"/>
      <c r="E606" s="10"/>
    </row>
    <row r="607" spans="1:5" ht="14.25" customHeight="1" x14ac:dyDescent="0.35">
      <c r="A607" s="28"/>
      <c r="B607" s="39"/>
      <c r="C607" s="10"/>
      <c r="D607" s="11"/>
      <c r="E607" s="10"/>
    </row>
    <row r="608" spans="1:5" ht="14.25" customHeight="1" x14ac:dyDescent="0.35">
      <c r="A608" s="28"/>
      <c r="B608" s="39"/>
      <c r="C608" s="10"/>
      <c r="D608" s="11"/>
      <c r="E608" s="10"/>
    </row>
    <row r="609" spans="1:5" ht="14.25" customHeight="1" x14ac:dyDescent="0.35">
      <c r="A609" s="28"/>
      <c r="B609" s="39"/>
      <c r="C609" s="10"/>
      <c r="D609" s="11"/>
      <c r="E609" s="10"/>
    </row>
    <row r="610" spans="1:5" ht="14.25" customHeight="1" x14ac:dyDescent="0.35">
      <c r="A610" s="28"/>
      <c r="B610" s="39"/>
      <c r="C610" s="10"/>
      <c r="D610" s="11"/>
      <c r="E610" s="10"/>
    </row>
    <row r="611" spans="1:5" ht="14.25" customHeight="1" x14ac:dyDescent="0.35">
      <c r="A611" s="28"/>
      <c r="B611" s="39"/>
      <c r="C611" s="10"/>
      <c r="D611" s="11"/>
      <c r="E611" s="10"/>
    </row>
    <row r="612" spans="1:5" ht="14.25" customHeight="1" x14ac:dyDescent="0.35">
      <c r="A612" s="28"/>
      <c r="B612" s="39"/>
      <c r="C612" s="10"/>
      <c r="D612" s="11"/>
      <c r="E612" s="10"/>
    </row>
    <row r="613" spans="1:5" ht="14.25" customHeight="1" x14ac:dyDescent="0.35">
      <c r="A613" s="28"/>
      <c r="B613" s="39"/>
      <c r="C613" s="10"/>
      <c r="D613" s="11"/>
      <c r="E613" s="10"/>
    </row>
    <row r="614" spans="1:5" ht="14.25" customHeight="1" x14ac:dyDescent="0.35">
      <c r="A614" s="28"/>
      <c r="B614" s="39"/>
      <c r="C614" s="10"/>
      <c r="D614" s="11"/>
      <c r="E614" s="10"/>
    </row>
    <row r="615" spans="1:5" ht="14.25" customHeight="1" x14ac:dyDescent="0.35">
      <c r="A615" s="28"/>
      <c r="B615" s="39"/>
      <c r="C615" s="10"/>
      <c r="D615" s="11"/>
      <c r="E615" s="10"/>
    </row>
    <row r="616" spans="1:5" ht="14.25" customHeight="1" x14ac:dyDescent="0.35">
      <c r="A616" s="28"/>
      <c r="B616" s="39"/>
      <c r="C616" s="10"/>
      <c r="D616" s="11"/>
      <c r="E616" s="10"/>
    </row>
    <row r="617" spans="1:5" ht="14.25" customHeight="1" x14ac:dyDescent="0.35">
      <c r="A617" s="28"/>
      <c r="B617" s="39"/>
      <c r="C617" s="10"/>
      <c r="D617" s="11"/>
      <c r="E617" s="10"/>
    </row>
    <row r="618" spans="1:5" ht="14.25" customHeight="1" x14ac:dyDescent="0.35">
      <c r="A618" s="28"/>
      <c r="B618" s="39"/>
      <c r="C618" s="10"/>
      <c r="D618" s="11"/>
      <c r="E618" s="10"/>
    </row>
    <row r="619" spans="1:5" ht="14.25" customHeight="1" x14ac:dyDescent="0.35">
      <c r="A619" s="28"/>
      <c r="B619" s="39"/>
      <c r="C619" s="10"/>
      <c r="D619" s="11"/>
      <c r="E619" s="10"/>
    </row>
    <row r="620" spans="1:5" ht="14.25" customHeight="1" x14ac:dyDescent="0.35">
      <c r="A620" s="28"/>
      <c r="B620" s="39"/>
      <c r="C620" s="10"/>
      <c r="D620" s="11"/>
      <c r="E620" s="10"/>
    </row>
    <row r="621" spans="1:5" ht="14.25" customHeight="1" x14ac:dyDescent="0.35">
      <c r="A621" s="28"/>
      <c r="B621" s="39"/>
      <c r="C621" s="10"/>
      <c r="D621" s="11"/>
      <c r="E621" s="10"/>
    </row>
    <row r="622" spans="1:5" ht="14.25" customHeight="1" x14ac:dyDescent="0.35">
      <c r="A622" s="28"/>
      <c r="B622" s="39"/>
      <c r="C622" s="10"/>
      <c r="D622" s="11"/>
      <c r="E622" s="10"/>
    </row>
    <row r="623" spans="1:5" ht="14.25" customHeight="1" x14ac:dyDescent="0.35">
      <c r="A623" s="28"/>
      <c r="B623" s="39"/>
      <c r="C623" s="10"/>
      <c r="D623" s="11"/>
      <c r="E623" s="10"/>
    </row>
    <row r="624" spans="1:5" ht="14.25" customHeight="1" x14ac:dyDescent="0.35">
      <c r="A624" s="28"/>
      <c r="B624" s="39"/>
      <c r="C624" s="10"/>
      <c r="D624" s="11"/>
      <c r="E624" s="10"/>
    </row>
    <row r="625" spans="1:5" ht="14.25" customHeight="1" x14ac:dyDescent="0.35">
      <c r="A625" s="28"/>
      <c r="B625" s="39"/>
      <c r="C625" s="10"/>
      <c r="D625" s="11"/>
      <c r="E625" s="10"/>
    </row>
    <row r="626" spans="1:5" ht="14.25" customHeight="1" x14ac:dyDescent="0.35">
      <c r="A626" s="28"/>
      <c r="B626" s="39"/>
      <c r="C626" s="10"/>
      <c r="D626" s="11"/>
      <c r="E626" s="10"/>
    </row>
    <row r="627" spans="1:5" ht="14.25" customHeight="1" x14ac:dyDescent="0.35">
      <c r="A627" s="28"/>
      <c r="B627" s="39"/>
      <c r="C627" s="10"/>
      <c r="D627" s="11"/>
      <c r="E627" s="10"/>
    </row>
    <row r="628" spans="1:5" ht="14.25" customHeight="1" x14ac:dyDescent="0.35">
      <c r="A628" s="28"/>
      <c r="B628" s="39"/>
      <c r="C628" s="10"/>
      <c r="D628" s="11"/>
      <c r="E628" s="10"/>
    </row>
    <row r="629" spans="1:5" ht="14.25" customHeight="1" x14ac:dyDescent="0.35">
      <c r="A629" s="28"/>
      <c r="B629" s="39"/>
      <c r="C629" s="10"/>
      <c r="D629" s="11"/>
      <c r="E629" s="10"/>
    </row>
    <row r="630" spans="1:5" ht="14.25" customHeight="1" x14ac:dyDescent="0.35">
      <c r="A630" s="28"/>
      <c r="B630" s="39"/>
      <c r="C630" s="10"/>
      <c r="D630" s="11"/>
      <c r="E630" s="10"/>
    </row>
    <row r="631" spans="1:5" ht="14.25" customHeight="1" x14ac:dyDescent="0.35">
      <c r="A631" s="28"/>
      <c r="B631" s="39"/>
      <c r="C631" s="10"/>
      <c r="D631" s="11"/>
      <c r="E631" s="10"/>
    </row>
    <row r="632" spans="1:5" ht="14.25" customHeight="1" x14ac:dyDescent="0.35">
      <c r="A632" s="28"/>
      <c r="B632" s="39"/>
      <c r="C632" s="10"/>
      <c r="D632" s="11"/>
      <c r="E632" s="10"/>
    </row>
    <row r="633" spans="1:5" ht="14.25" customHeight="1" x14ac:dyDescent="0.35">
      <c r="A633" s="28"/>
      <c r="B633" s="39"/>
      <c r="C633" s="10"/>
      <c r="D633" s="11"/>
      <c r="E633" s="10"/>
    </row>
    <row r="634" spans="1:5" ht="14.25" customHeight="1" x14ac:dyDescent="0.35">
      <c r="A634" s="28"/>
      <c r="B634" s="39"/>
      <c r="C634" s="10"/>
      <c r="D634" s="11"/>
      <c r="E634" s="10"/>
    </row>
    <row r="635" spans="1:5" ht="14.25" customHeight="1" x14ac:dyDescent="0.35">
      <c r="A635" s="28"/>
      <c r="B635" s="39"/>
      <c r="C635" s="10"/>
      <c r="D635" s="11"/>
      <c r="E635" s="10"/>
    </row>
    <row r="636" spans="1:5" ht="14.25" customHeight="1" x14ac:dyDescent="0.35">
      <c r="A636" s="28"/>
      <c r="B636" s="39"/>
      <c r="C636" s="10"/>
      <c r="D636" s="11"/>
      <c r="E636" s="10"/>
    </row>
    <row r="637" spans="1:5" ht="14.25" customHeight="1" x14ac:dyDescent="0.35">
      <c r="A637" s="28"/>
      <c r="B637" s="39"/>
      <c r="C637" s="10"/>
      <c r="D637" s="11"/>
      <c r="E637" s="10"/>
    </row>
    <row r="638" spans="1:5" ht="14.25" customHeight="1" x14ac:dyDescent="0.35">
      <c r="A638" s="28"/>
      <c r="B638" s="39"/>
      <c r="C638" s="10"/>
      <c r="D638" s="11"/>
      <c r="E638" s="10"/>
    </row>
    <row r="639" spans="1:5" ht="14.25" customHeight="1" x14ac:dyDescent="0.35">
      <c r="A639" s="28"/>
      <c r="B639" s="39"/>
      <c r="C639" s="10"/>
      <c r="D639" s="11"/>
      <c r="E639" s="10"/>
    </row>
    <row r="640" spans="1:5" ht="14.25" customHeight="1" x14ac:dyDescent="0.35">
      <c r="A640" s="28"/>
      <c r="B640" s="39"/>
      <c r="C640" s="10"/>
      <c r="D640" s="11"/>
      <c r="E640" s="10"/>
    </row>
    <row r="641" spans="1:5" ht="14.25" customHeight="1" x14ac:dyDescent="0.35">
      <c r="A641" s="28"/>
      <c r="B641" s="39"/>
      <c r="C641" s="10"/>
      <c r="D641" s="11"/>
      <c r="E641" s="10"/>
    </row>
    <row r="642" spans="1:5" ht="14.25" customHeight="1" x14ac:dyDescent="0.35">
      <c r="A642" s="28"/>
      <c r="B642" s="39"/>
      <c r="C642" s="10"/>
      <c r="D642" s="11"/>
      <c r="E642" s="10"/>
    </row>
    <row r="643" spans="1:5" ht="14.25" customHeight="1" x14ac:dyDescent="0.35">
      <c r="A643" s="28"/>
      <c r="B643" s="39"/>
      <c r="C643" s="10"/>
      <c r="D643" s="11"/>
      <c r="E643" s="10"/>
    </row>
    <row r="644" spans="1:5" ht="14.25" customHeight="1" x14ac:dyDescent="0.35">
      <c r="A644" s="28"/>
      <c r="B644" s="39"/>
      <c r="C644" s="10"/>
      <c r="D644" s="11"/>
      <c r="E644" s="10"/>
    </row>
    <row r="645" spans="1:5" ht="14.25" customHeight="1" x14ac:dyDescent="0.35">
      <c r="A645" s="28"/>
      <c r="B645" s="39"/>
      <c r="C645" s="10"/>
      <c r="D645" s="11"/>
      <c r="E645" s="10"/>
    </row>
    <row r="646" spans="1:5" ht="14.25" customHeight="1" x14ac:dyDescent="0.35">
      <c r="A646" s="28"/>
      <c r="B646" s="39"/>
      <c r="C646" s="10"/>
      <c r="D646" s="11"/>
      <c r="E646" s="10"/>
    </row>
    <row r="647" spans="1:5" ht="14.25" customHeight="1" x14ac:dyDescent="0.35">
      <c r="A647" s="28"/>
      <c r="B647" s="39"/>
      <c r="C647" s="10"/>
      <c r="D647" s="11"/>
      <c r="E647" s="10"/>
    </row>
    <row r="648" spans="1:5" ht="14.25" customHeight="1" x14ac:dyDescent="0.35">
      <c r="A648" s="28"/>
      <c r="B648" s="39"/>
      <c r="C648" s="10"/>
      <c r="D648" s="11"/>
      <c r="E648" s="10"/>
    </row>
    <row r="649" spans="1:5" ht="14.25" customHeight="1" x14ac:dyDescent="0.35">
      <c r="A649" s="28"/>
      <c r="B649" s="39"/>
      <c r="C649" s="10"/>
      <c r="D649" s="11"/>
      <c r="E649" s="10"/>
    </row>
    <row r="650" spans="1:5" ht="14.25" customHeight="1" x14ac:dyDescent="0.35">
      <c r="A650" s="28"/>
      <c r="B650" s="39"/>
      <c r="C650" s="10"/>
      <c r="D650" s="11"/>
      <c r="E650" s="10"/>
    </row>
    <row r="651" spans="1:5" ht="14.25" customHeight="1" x14ac:dyDescent="0.35">
      <c r="A651" s="28"/>
      <c r="B651" s="39"/>
      <c r="C651" s="10"/>
      <c r="D651" s="11"/>
      <c r="E651" s="10"/>
    </row>
    <row r="652" spans="1:5" ht="14.25" customHeight="1" x14ac:dyDescent="0.35">
      <c r="A652" s="28"/>
      <c r="B652" s="39"/>
      <c r="C652" s="10"/>
      <c r="D652" s="11"/>
      <c r="E652" s="10"/>
    </row>
    <row r="653" spans="1:5" ht="14.25" customHeight="1" x14ac:dyDescent="0.35">
      <c r="A653" s="28"/>
      <c r="B653" s="39"/>
      <c r="C653" s="10"/>
      <c r="D653" s="11"/>
      <c r="E653" s="10"/>
    </row>
    <row r="654" spans="1:5" ht="14.25" customHeight="1" x14ac:dyDescent="0.35">
      <c r="A654" s="28"/>
      <c r="B654" s="39"/>
      <c r="C654" s="10"/>
      <c r="D654" s="11"/>
      <c r="E654" s="10"/>
    </row>
    <row r="655" spans="1:5" ht="14.25" customHeight="1" x14ac:dyDescent="0.35">
      <c r="A655" s="28"/>
      <c r="B655" s="39"/>
      <c r="C655" s="10"/>
      <c r="D655" s="11"/>
      <c r="E655" s="10"/>
    </row>
    <row r="656" spans="1:5" ht="14.25" customHeight="1" x14ac:dyDescent="0.35">
      <c r="A656" s="28"/>
      <c r="B656" s="39"/>
      <c r="C656" s="10"/>
      <c r="D656" s="11"/>
      <c r="E656" s="10"/>
    </row>
    <row r="657" spans="1:5" ht="14.25" customHeight="1" x14ac:dyDescent="0.35">
      <c r="A657" s="28"/>
      <c r="B657" s="39"/>
      <c r="C657" s="10"/>
      <c r="D657" s="11"/>
      <c r="E657" s="10"/>
    </row>
    <row r="658" spans="1:5" ht="14.25" customHeight="1" x14ac:dyDescent="0.35">
      <c r="A658" s="28"/>
      <c r="B658" s="39"/>
      <c r="C658" s="10"/>
      <c r="D658" s="11"/>
      <c r="E658" s="10"/>
    </row>
    <row r="659" spans="1:5" ht="14.25" customHeight="1" x14ac:dyDescent="0.35">
      <c r="A659" s="28"/>
      <c r="B659" s="39"/>
      <c r="C659" s="10"/>
      <c r="D659" s="11"/>
      <c r="E659" s="10"/>
    </row>
    <row r="660" spans="1:5" ht="14.25" customHeight="1" x14ac:dyDescent="0.35">
      <c r="A660" s="28"/>
      <c r="B660" s="39"/>
      <c r="C660" s="10"/>
      <c r="D660" s="11"/>
      <c r="E660" s="10"/>
    </row>
    <row r="661" spans="1:5" ht="14.25" customHeight="1" x14ac:dyDescent="0.35">
      <c r="A661" s="28"/>
      <c r="B661" s="39"/>
      <c r="C661" s="10"/>
      <c r="D661" s="11"/>
      <c r="E661" s="10"/>
    </row>
    <row r="662" spans="1:5" ht="14.25" customHeight="1" x14ac:dyDescent="0.35">
      <c r="A662" s="28"/>
      <c r="B662" s="39"/>
      <c r="C662" s="10"/>
      <c r="D662" s="11"/>
      <c r="E662" s="10"/>
    </row>
    <row r="663" spans="1:5" ht="14.25" customHeight="1" x14ac:dyDescent="0.35">
      <c r="A663" s="28"/>
      <c r="B663" s="39"/>
      <c r="C663" s="10"/>
      <c r="D663" s="11"/>
      <c r="E663" s="10"/>
    </row>
    <row r="664" spans="1:5" ht="14.25" customHeight="1" x14ac:dyDescent="0.35">
      <c r="A664" s="28"/>
      <c r="B664" s="39"/>
      <c r="C664" s="10"/>
      <c r="D664" s="11"/>
      <c r="E664" s="10"/>
    </row>
    <row r="665" spans="1:5" ht="14.25" customHeight="1" x14ac:dyDescent="0.35">
      <c r="A665" s="28"/>
      <c r="B665" s="39"/>
      <c r="C665" s="10"/>
      <c r="D665" s="11"/>
      <c r="E665" s="10"/>
    </row>
    <row r="666" spans="1:5" ht="14.25" customHeight="1" x14ac:dyDescent="0.35">
      <c r="A666" s="28"/>
      <c r="B666" s="39"/>
      <c r="C666" s="10"/>
      <c r="D666" s="11"/>
      <c r="E666" s="10"/>
    </row>
    <row r="667" spans="1:5" ht="14.25" customHeight="1" x14ac:dyDescent="0.35">
      <c r="A667" s="28"/>
      <c r="B667" s="39"/>
      <c r="C667" s="10"/>
      <c r="D667" s="11"/>
      <c r="E667" s="10"/>
    </row>
    <row r="668" spans="1:5" ht="14.25" customHeight="1" x14ac:dyDescent="0.35">
      <c r="A668" s="28"/>
      <c r="B668" s="39"/>
      <c r="C668" s="10"/>
      <c r="D668" s="11"/>
      <c r="E668" s="10"/>
    </row>
    <row r="669" spans="1:5" ht="14.25" customHeight="1" x14ac:dyDescent="0.35">
      <c r="A669" s="28"/>
      <c r="B669" s="39"/>
      <c r="C669" s="10"/>
      <c r="D669" s="11"/>
      <c r="E669" s="10"/>
    </row>
    <row r="670" spans="1:5" ht="14.25" customHeight="1" x14ac:dyDescent="0.35">
      <c r="A670" s="28"/>
      <c r="B670" s="39"/>
      <c r="C670" s="10"/>
      <c r="D670" s="11"/>
      <c r="E670" s="10"/>
    </row>
    <row r="671" spans="1:5" ht="14.25" customHeight="1" x14ac:dyDescent="0.35">
      <c r="A671" s="28"/>
      <c r="B671" s="39"/>
      <c r="C671" s="10"/>
      <c r="D671" s="11"/>
      <c r="E671" s="10"/>
    </row>
    <row r="672" spans="1:5" ht="14.25" customHeight="1" x14ac:dyDescent="0.35">
      <c r="A672" s="28"/>
      <c r="B672" s="39"/>
      <c r="C672" s="10"/>
      <c r="D672" s="11"/>
      <c r="E672" s="10"/>
    </row>
    <row r="673" spans="1:5" ht="14.25" customHeight="1" x14ac:dyDescent="0.35">
      <c r="A673" s="28"/>
      <c r="B673" s="39"/>
      <c r="C673" s="10"/>
      <c r="D673" s="11"/>
      <c r="E673" s="10"/>
    </row>
    <row r="674" spans="1:5" ht="14.25" customHeight="1" x14ac:dyDescent="0.35">
      <c r="A674" s="28"/>
      <c r="B674" s="39"/>
      <c r="C674" s="10"/>
      <c r="D674" s="11"/>
      <c r="E674" s="10"/>
    </row>
    <row r="675" spans="1:5" ht="14.25" customHeight="1" x14ac:dyDescent="0.35">
      <c r="A675" s="28"/>
      <c r="B675" s="39"/>
      <c r="C675" s="10"/>
      <c r="D675" s="11"/>
      <c r="E675" s="10"/>
    </row>
    <row r="676" spans="1:5" ht="14.25" customHeight="1" x14ac:dyDescent="0.35">
      <c r="A676" s="28"/>
      <c r="B676" s="39"/>
      <c r="C676" s="10"/>
      <c r="D676" s="11"/>
      <c r="E676" s="10"/>
    </row>
    <row r="677" spans="1:5" ht="14.25" customHeight="1" x14ac:dyDescent="0.35">
      <c r="A677" s="28"/>
      <c r="B677" s="39"/>
      <c r="C677" s="10"/>
      <c r="D677" s="11"/>
      <c r="E677" s="10"/>
    </row>
    <row r="678" spans="1:5" ht="14.25" customHeight="1" x14ac:dyDescent="0.35">
      <c r="A678" s="28"/>
      <c r="B678" s="39"/>
      <c r="C678" s="10"/>
      <c r="D678" s="11"/>
      <c r="E678" s="10"/>
    </row>
    <row r="679" spans="1:5" ht="14.25" customHeight="1" x14ac:dyDescent="0.35">
      <c r="A679" s="28"/>
      <c r="B679" s="39"/>
      <c r="C679" s="10"/>
      <c r="D679" s="11"/>
      <c r="E679" s="10"/>
    </row>
    <row r="680" spans="1:5" ht="14.25" customHeight="1" x14ac:dyDescent="0.35">
      <c r="A680" s="28"/>
      <c r="B680" s="39"/>
      <c r="C680" s="10"/>
      <c r="D680" s="11"/>
      <c r="E680" s="10"/>
    </row>
    <row r="681" spans="1:5" ht="14.25" customHeight="1" x14ac:dyDescent="0.35">
      <c r="A681" s="28"/>
      <c r="B681" s="39"/>
      <c r="C681" s="10"/>
      <c r="D681" s="11"/>
      <c r="E681" s="10"/>
    </row>
    <row r="682" spans="1:5" ht="14.25" customHeight="1" x14ac:dyDescent="0.35">
      <c r="A682" s="28"/>
      <c r="B682" s="39"/>
      <c r="C682" s="10"/>
      <c r="D682" s="11"/>
      <c r="E682" s="10"/>
    </row>
    <row r="683" spans="1:5" ht="14.25" customHeight="1" x14ac:dyDescent="0.35">
      <c r="A683" s="28"/>
      <c r="B683" s="39"/>
      <c r="C683" s="10"/>
      <c r="D683" s="11"/>
      <c r="E683" s="10"/>
    </row>
    <row r="684" spans="1:5" ht="14.25" customHeight="1" x14ac:dyDescent="0.35">
      <c r="A684" s="28"/>
      <c r="B684" s="39"/>
      <c r="C684" s="10"/>
      <c r="D684" s="11"/>
      <c r="E684" s="10"/>
    </row>
    <row r="685" spans="1:5" ht="14.25" customHeight="1" x14ac:dyDescent="0.35">
      <c r="A685" s="28"/>
      <c r="B685" s="39"/>
      <c r="C685" s="10"/>
      <c r="D685" s="11"/>
      <c r="E685" s="10"/>
    </row>
    <row r="686" spans="1:5" ht="14.25" customHeight="1" x14ac:dyDescent="0.35">
      <c r="A686" s="28"/>
      <c r="B686" s="39"/>
      <c r="C686" s="10"/>
      <c r="D686" s="11"/>
      <c r="E686" s="10"/>
    </row>
    <row r="687" spans="1:5" ht="14.25" customHeight="1" x14ac:dyDescent="0.35">
      <c r="A687" s="28"/>
      <c r="B687" s="39"/>
      <c r="C687" s="10"/>
      <c r="D687" s="11"/>
      <c r="E687" s="10"/>
    </row>
    <row r="688" spans="1:5" ht="14.25" customHeight="1" x14ac:dyDescent="0.35">
      <c r="A688" s="28"/>
      <c r="B688" s="39"/>
      <c r="C688" s="10"/>
      <c r="D688" s="11"/>
      <c r="E688" s="10"/>
    </row>
    <row r="689" spans="1:5" ht="14.25" customHeight="1" x14ac:dyDescent="0.35">
      <c r="A689" s="28"/>
      <c r="B689" s="39"/>
      <c r="C689" s="10"/>
      <c r="D689" s="11"/>
      <c r="E689" s="10"/>
    </row>
    <row r="690" spans="1:5" ht="14.25" customHeight="1" x14ac:dyDescent="0.35">
      <c r="A690" s="28"/>
      <c r="B690" s="39"/>
      <c r="C690" s="10"/>
      <c r="D690" s="11"/>
      <c r="E690" s="10"/>
    </row>
    <row r="691" spans="1:5" ht="14.25" customHeight="1" x14ac:dyDescent="0.35">
      <c r="A691" s="28"/>
      <c r="B691" s="39"/>
      <c r="C691" s="10"/>
      <c r="D691" s="11"/>
      <c r="E691" s="10"/>
    </row>
    <row r="692" spans="1:5" ht="14.25" customHeight="1" x14ac:dyDescent="0.35">
      <c r="A692" s="28"/>
      <c r="B692" s="39"/>
      <c r="C692" s="10"/>
      <c r="D692" s="11"/>
      <c r="E692" s="10"/>
    </row>
    <row r="693" spans="1:5" ht="14.25" customHeight="1" x14ac:dyDescent="0.35">
      <c r="A693" s="28"/>
      <c r="B693" s="39"/>
      <c r="C693" s="10"/>
      <c r="D693" s="11"/>
      <c r="E693" s="10"/>
    </row>
    <row r="694" spans="1:5" ht="14.25" customHeight="1" x14ac:dyDescent="0.35">
      <c r="A694" s="28"/>
      <c r="B694" s="39"/>
      <c r="C694" s="10"/>
      <c r="D694" s="11"/>
      <c r="E694" s="10"/>
    </row>
    <row r="695" spans="1:5" ht="14.25" customHeight="1" x14ac:dyDescent="0.35">
      <c r="A695" s="28"/>
      <c r="B695" s="39"/>
      <c r="C695" s="10"/>
      <c r="D695" s="11"/>
      <c r="E695" s="10"/>
    </row>
    <row r="696" spans="1:5" ht="14.25" customHeight="1" x14ac:dyDescent="0.35">
      <c r="A696" s="28"/>
      <c r="B696" s="39"/>
      <c r="C696" s="10"/>
      <c r="D696" s="11"/>
      <c r="E696" s="10"/>
    </row>
    <row r="697" spans="1:5" ht="14.25" customHeight="1" x14ac:dyDescent="0.35">
      <c r="A697" s="28"/>
      <c r="B697" s="39"/>
      <c r="C697" s="10"/>
      <c r="D697" s="11"/>
      <c r="E697" s="10"/>
    </row>
    <row r="698" spans="1:5" ht="14.25" customHeight="1" x14ac:dyDescent="0.35">
      <c r="A698" s="28"/>
      <c r="B698" s="39"/>
      <c r="C698" s="10"/>
      <c r="D698" s="11"/>
      <c r="E698" s="10"/>
    </row>
    <row r="699" spans="1:5" ht="14.25" customHeight="1" x14ac:dyDescent="0.35">
      <c r="A699" s="28"/>
      <c r="B699" s="39"/>
      <c r="C699" s="10"/>
      <c r="D699" s="11"/>
      <c r="E699" s="10"/>
    </row>
    <row r="700" spans="1:5" ht="14.25" customHeight="1" x14ac:dyDescent="0.35">
      <c r="A700" s="28"/>
      <c r="B700" s="39"/>
      <c r="C700" s="10"/>
      <c r="D700" s="11"/>
      <c r="E700" s="10"/>
    </row>
    <row r="701" spans="1:5" ht="14.25" customHeight="1" x14ac:dyDescent="0.35">
      <c r="A701" s="28"/>
      <c r="B701" s="39"/>
      <c r="C701" s="10"/>
      <c r="D701" s="11"/>
      <c r="E701" s="10"/>
    </row>
    <row r="702" spans="1:5" ht="14.25" customHeight="1" x14ac:dyDescent="0.35">
      <c r="A702" s="28"/>
      <c r="B702" s="39"/>
      <c r="C702" s="10"/>
      <c r="D702" s="11"/>
      <c r="E702" s="10"/>
    </row>
    <row r="703" spans="1:5" ht="14.25" customHeight="1" x14ac:dyDescent="0.35">
      <c r="A703" s="28"/>
      <c r="B703" s="39"/>
      <c r="C703" s="10"/>
      <c r="D703" s="11"/>
      <c r="E703" s="10"/>
    </row>
    <row r="704" spans="1:5" ht="14.25" customHeight="1" x14ac:dyDescent="0.35">
      <c r="A704" s="28"/>
      <c r="B704" s="39"/>
      <c r="C704" s="10"/>
      <c r="D704" s="11"/>
      <c r="E704" s="10"/>
    </row>
    <row r="705" spans="1:5" ht="14.25" customHeight="1" x14ac:dyDescent="0.35">
      <c r="A705" s="28"/>
      <c r="B705" s="39"/>
      <c r="C705" s="10"/>
      <c r="D705" s="11"/>
      <c r="E705" s="10"/>
    </row>
    <row r="706" spans="1:5" ht="14.25" customHeight="1" x14ac:dyDescent="0.35">
      <c r="A706" s="28"/>
      <c r="B706" s="39"/>
      <c r="C706" s="10"/>
      <c r="D706" s="11"/>
      <c r="E706" s="10"/>
    </row>
    <row r="707" spans="1:5" ht="14.25" customHeight="1" x14ac:dyDescent="0.35">
      <c r="A707" s="28"/>
      <c r="B707" s="39"/>
      <c r="C707" s="10"/>
      <c r="D707" s="11"/>
      <c r="E707" s="10"/>
    </row>
    <row r="708" spans="1:5" ht="14.25" customHeight="1" x14ac:dyDescent="0.35">
      <c r="A708" s="28"/>
      <c r="B708" s="39"/>
      <c r="C708" s="10"/>
      <c r="D708" s="11"/>
      <c r="E708" s="10"/>
    </row>
    <row r="709" spans="1:5" ht="14.25" customHeight="1" x14ac:dyDescent="0.35">
      <c r="A709" s="28"/>
      <c r="B709" s="39"/>
      <c r="C709" s="10"/>
      <c r="D709" s="11"/>
      <c r="E709" s="10"/>
    </row>
    <row r="710" spans="1:5" ht="14.25" customHeight="1" x14ac:dyDescent="0.35">
      <c r="A710" s="28"/>
      <c r="B710" s="39"/>
      <c r="C710" s="10"/>
      <c r="D710" s="11"/>
      <c r="E710" s="10"/>
    </row>
    <row r="711" spans="1:5" ht="14.25" customHeight="1" x14ac:dyDescent="0.35">
      <c r="A711" s="28"/>
      <c r="B711" s="39"/>
      <c r="C711" s="10"/>
      <c r="D711" s="11"/>
      <c r="E711" s="10"/>
    </row>
    <row r="712" spans="1:5" ht="14.25" customHeight="1" x14ac:dyDescent="0.35">
      <c r="A712" s="28"/>
      <c r="B712" s="39"/>
      <c r="C712" s="10"/>
      <c r="D712" s="11"/>
      <c r="E712" s="10"/>
    </row>
    <row r="713" spans="1:5" ht="14.25" customHeight="1" x14ac:dyDescent="0.35">
      <c r="A713" s="28"/>
      <c r="B713" s="39"/>
      <c r="C713" s="10"/>
      <c r="D713" s="11"/>
      <c r="E713" s="10"/>
    </row>
    <row r="714" spans="1:5" ht="14.25" customHeight="1" x14ac:dyDescent="0.35">
      <c r="A714" s="28"/>
      <c r="B714" s="39"/>
      <c r="C714" s="10"/>
      <c r="D714" s="11"/>
      <c r="E714" s="10"/>
    </row>
    <row r="715" spans="1:5" ht="14.25" customHeight="1" x14ac:dyDescent="0.35">
      <c r="A715" s="28"/>
      <c r="B715" s="39"/>
      <c r="C715" s="10"/>
      <c r="D715" s="11"/>
      <c r="E715" s="10"/>
    </row>
    <row r="716" spans="1:5" ht="14.25" customHeight="1" x14ac:dyDescent="0.35">
      <c r="A716" s="28"/>
      <c r="B716" s="39"/>
      <c r="C716" s="10"/>
      <c r="D716" s="11"/>
      <c r="E716" s="10"/>
    </row>
    <row r="717" spans="1:5" ht="14.25" customHeight="1" x14ac:dyDescent="0.35">
      <c r="A717" s="28"/>
      <c r="B717" s="39"/>
      <c r="C717" s="10"/>
      <c r="D717" s="11"/>
      <c r="E717" s="10"/>
    </row>
    <row r="718" spans="1:5" ht="14.25" customHeight="1" x14ac:dyDescent="0.35">
      <c r="A718" s="28"/>
      <c r="B718" s="39"/>
      <c r="C718" s="10"/>
      <c r="D718" s="11"/>
      <c r="E718" s="10"/>
    </row>
    <row r="719" spans="1:5" ht="14.25" customHeight="1" x14ac:dyDescent="0.35">
      <c r="A719" s="28"/>
      <c r="B719" s="39"/>
      <c r="C719" s="10"/>
      <c r="D719" s="11"/>
      <c r="E719" s="10"/>
    </row>
    <row r="720" spans="1:5" ht="14.25" customHeight="1" x14ac:dyDescent="0.35">
      <c r="A720" s="28"/>
      <c r="B720" s="39"/>
      <c r="C720" s="10"/>
      <c r="D720" s="11"/>
      <c r="E720" s="10"/>
    </row>
    <row r="721" spans="1:5" ht="14.25" customHeight="1" x14ac:dyDescent="0.35">
      <c r="A721" s="28"/>
      <c r="B721" s="39"/>
      <c r="C721" s="10"/>
      <c r="D721" s="11"/>
      <c r="E721" s="10"/>
    </row>
    <row r="722" spans="1:5" ht="14.25" customHeight="1" x14ac:dyDescent="0.35">
      <c r="A722" s="28"/>
      <c r="B722" s="39"/>
      <c r="C722" s="10"/>
      <c r="D722" s="11"/>
      <c r="E722" s="10"/>
    </row>
    <row r="723" spans="1:5" ht="14.25" customHeight="1" x14ac:dyDescent="0.35">
      <c r="A723" s="28"/>
      <c r="B723" s="39"/>
      <c r="C723" s="10"/>
      <c r="D723" s="11"/>
      <c r="E723" s="10"/>
    </row>
    <row r="724" spans="1:5" ht="14.25" customHeight="1" x14ac:dyDescent="0.35">
      <c r="A724" s="28"/>
      <c r="B724" s="39"/>
      <c r="C724" s="10"/>
      <c r="D724" s="11"/>
      <c r="E724" s="10"/>
    </row>
    <row r="725" spans="1:5" ht="14.25" customHeight="1" x14ac:dyDescent="0.35">
      <c r="A725" s="28"/>
      <c r="B725" s="39"/>
      <c r="C725" s="10"/>
      <c r="D725" s="11"/>
      <c r="E725" s="10"/>
    </row>
    <row r="726" spans="1:5" ht="14.25" customHeight="1" x14ac:dyDescent="0.35">
      <c r="A726" s="28"/>
      <c r="B726" s="39"/>
      <c r="C726" s="10"/>
      <c r="D726" s="11"/>
      <c r="E726" s="10"/>
    </row>
    <row r="727" spans="1:5" ht="14.25" customHeight="1" x14ac:dyDescent="0.35">
      <c r="A727" s="28"/>
      <c r="B727" s="39"/>
      <c r="C727" s="10"/>
      <c r="D727" s="11"/>
      <c r="E727" s="10"/>
    </row>
    <row r="728" spans="1:5" ht="14.25" customHeight="1" x14ac:dyDescent="0.35">
      <c r="A728" s="28"/>
      <c r="B728" s="39"/>
      <c r="C728" s="10"/>
      <c r="D728" s="11"/>
      <c r="E728" s="10"/>
    </row>
    <row r="729" spans="1:5" ht="14.25" customHeight="1" x14ac:dyDescent="0.35">
      <c r="A729" s="28"/>
      <c r="B729" s="39"/>
      <c r="C729" s="10"/>
      <c r="D729" s="11"/>
      <c r="E729" s="10"/>
    </row>
    <row r="730" spans="1:5" ht="14.25" customHeight="1" x14ac:dyDescent="0.35">
      <c r="A730" s="28"/>
      <c r="B730" s="39"/>
      <c r="C730" s="10"/>
      <c r="D730" s="11"/>
      <c r="E730" s="10"/>
    </row>
    <row r="731" spans="1:5" ht="14.25" customHeight="1" x14ac:dyDescent="0.35">
      <c r="A731" s="28"/>
      <c r="B731" s="39"/>
      <c r="C731" s="10"/>
      <c r="D731" s="11"/>
      <c r="E731" s="10"/>
    </row>
    <row r="732" spans="1:5" ht="14.25" customHeight="1" x14ac:dyDescent="0.35">
      <c r="A732" s="28"/>
      <c r="B732" s="39"/>
      <c r="C732" s="10"/>
      <c r="D732" s="11"/>
      <c r="E732" s="10"/>
    </row>
    <row r="733" spans="1:5" ht="14.25" customHeight="1" x14ac:dyDescent="0.35">
      <c r="A733" s="28"/>
      <c r="B733" s="39"/>
      <c r="C733" s="10"/>
      <c r="D733" s="11"/>
      <c r="E733" s="10"/>
    </row>
    <row r="734" spans="1:5" ht="14.25" customHeight="1" x14ac:dyDescent="0.35">
      <c r="A734" s="28"/>
      <c r="B734" s="39"/>
      <c r="C734" s="10"/>
      <c r="D734" s="11"/>
      <c r="E734" s="10"/>
    </row>
    <row r="735" spans="1:5" ht="14.25" customHeight="1" x14ac:dyDescent="0.35">
      <c r="A735" s="28"/>
      <c r="B735" s="39"/>
      <c r="C735" s="10"/>
      <c r="D735" s="11"/>
      <c r="E735" s="10"/>
    </row>
    <row r="736" spans="1:5" ht="14.25" customHeight="1" x14ac:dyDescent="0.35">
      <c r="A736" s="28"/>
      <c r="B736" s="39"/>
      <c r="C736" s="10"/>
      <c r="D736" s="11"/>
      <c r="E736" s="10"/>
    </row>
    <row r="737" spans="1:5" ht="14.25" customHeight="1" x14ac:dyDescent="0.35">
      <c r="A737" s="28"/>
      <c r="B737" s="39"/>
      <c r="C737" s="10"/>
      <c r="D737" s="11"/>
      <c r="E737" s="10"/>
    </row>
    <row r="738" spans="1:5" ht="14.25" customHeight="1" x14ac:dyDescent="0.35">
      <c r="A738" s="28"/>
      <c r="B738" s="39"/>
      <c r="C738" s="10"/>
      <c r="D738" s="11"/>
      <c r="E738" s="10"/>
    </row>
    <row r="739" spans="1:5" ht="14.25" customHeight="1" x14ac:dyDescent="0.35">
      <c r="A739" s="28"/>
      <c r="B739" s="39"/>
      <c r="C739" s="10"/>
      <c r="D739" s="11"/>
      <c r="E739" s="10"/>
    </row>
    <row r="740" spans="1:5" ht="14.25" customHeight="1" x14ac:dyDescent="0.35">
      <c r="A740" s="28"/>
      <c r="B740" s="39"/>
      <c r="C740" s="10"/>
      <c r="D740" s="11"/>
      <c r="E740" s="10"/>
    </row>
    <row r="741" spans="1:5" ht="14.25" customHeight="1" x14ac:dyDescent="0.35">
      <c r="A741" s="28"/>
      <c r="B741" s="39"/>
      <c r="C741" s="10"/>
      <c r="D741" s="11"/>
      <c r="E741" s="10"/>
    </row>
    <row r="742" spans="1:5" ht="14.25" customHeight="1" x14ac:dyDescent="0.35">
      <c r="A742" s="28"/>
      <c r="B742" s="39"/>
      <c r="C742" s="10"/>
      <c r="D742" s="11"/>
      <c r="E742" s="10"/>
    </row>
    <row r="743" spans="1:5" ht="14.25" customHeight="1" x14ac:dyDescent="0.35">
      <c r="A743" s="28"/>
      <c r="B743" s="39"/>
      <c r="C743" s="10"/>
      <c r="D743" s="11"/>
      <c r="E743" s="10"/>
    </row>
    <row r="744" spans="1:5" ht="14.25" customHeight="1" x14ac:dyDescent="0.35">
      <c r="A744" s="28"/>
      <c r="B744" s="39"/>
      <c r="C744" s="10"/>
      <c r="D744" s="11"/>
      <c r="E744" s="10"/>
    </row>
    <row r="745" spans="1:5" ht="14.25" customHeight="1" x14ac:dyDescent="0.35">
      <c r="A745" s="28"/>
      <c r="B745" s="39"/>
      <c r="C745" s="10"/>
      <c r="D745" s="11"/>
      <c r="E745" s="10"/>
    </row>
    <row r="746" spans="1:5" ht="14.25" customHeight="1" x14ac:dyDescent="0.35">
      <c r="A746" s="28"/>
      <c r="B746" s="39"/>
      <c r="C746" s="10"/>
      <c r="D746" s="11"/>
      <c r="E746" s="10"/>
    </row>
    <row r="747" spans="1:5" ht="14.25" customHeight="1" x14ac:dyDescent="0.35">
      <c r="A747" s="28"/>
      <c r="B747" s="39"/>
      <c r="C747" s="10"/>
      <c r="D747" s="11"/>
      <c r="E747" s="10"/>
    </row>
    <row r="748" spans="1:5" ht="14.25" customHeight="1" x14ac:dyDescent="0.35">
      <c r="A748" s="28"/>
      <c r="B748" s="39"/>
      <c r="C748" s="10"/>
      <c r="D748" s="11"/>
      <c r="E748" s="10"/>
    </row>
    <row r="749" spans="1:5" ht="14.25" customHeight="1" x14ac:dyDescent="0.35">
      <c r="A749" s="28"/>
      <c r="B749" s="39"/>
      <c r="C749" s="10"/>
      <c r="D749" s="11"/>
      <c r="E749" s="10"/>
    </row>
    <row r="750" spans="1:5" ht="14.25" customHeight="1" x14ac:dyDescent="0.35">
      <c r="A750" s="28"/>
      <c r="B750" s="39"/>
      <c r="C750" s="10"/>
      <c r="D750" s="11"/>
      <c r="E750" s="10"/>
    </row>
    <row r="751" spans="1:5" ht="14.25" customHeight="1" x14ac:dyDescent="0.35">
      <c r="A751" s="28"/>
      <c r="B751" s="39"/>
      <c r="C751" s="10"/>
      <c r="D751" s="11"/>
      <c r="E751" s="10"/>
    </row>
    <row r="752" spans="1:5" ht="14.25" customHeight="1" x14ac:dyDescent="0.35">
      <c r="A752" s="28"/>
      <c r="B752" s="39"/>
      <c r="C752" s="10"/>
      <c r="D752" s="11"/>
      <c r="E752" s="10"/>
    </row>
    <row r="753" spans="1:5" ht="14.25" customHeight="1" x14ac:dyDescent="0.35">
      <c r="A753" s="28"/>
      <c r="B753" s="39"/>
      <c r="C753" s="10"/>
      <c r="D753" s="11"/>
      <c r="E753" s="10"/>
    </row>
    <row r="754" spans="1:5" ht="14.25" customHeight="1" x14ac:dyDescent="0.35">
      <c r="A754" s="28"/>
      <c r="B754" s="39"/>
      <c r="C754" s="10"/>
      <c r="D754" s="11"/>
      <c r="E754" s="10"/>
    </row>
    <row r="755" spans="1:5" ht="14.25" customHeight="1" x14ac:dyDescent="0.35">
      <c r="A755" s="28"/>
      <c r="B755" s="39"/>
      <c r="C755" s="10"/>
      <c r="D755" s="11"/>
      <c r="E755" s="10"/>
    </row>
    <row r="756" spans="1:5" ht="14.25" customHeight="1" x14ac:dyDescent="0.35">
      <c r="A756" s="28"/>
      <c r="B756" s="39"/>
      <c r="C756" s="10"/>
      <c r="D756" s="11"/>
      <c r="E756" s="10"/>
    </row>
    <row r="757" spans="1:5" ht="14.25" customHeight="1" x14ac:dyDescent="0.35">
      <c r="A757" s="28"/>
      <c r="B757" s="39"/>
      <c r="C757" s="10"/>
      <c r="D757" s="11"/>
      <c r="E757" s="10"/>
    </row>
    <row r="758" spans="1:5" ht="14.25" customHeight="1" x14ac:dyDescent="0.35">
      <c r="A758" s="28"/>
      <c r="B758" s="39"/>
      <c r="C758" s="10"/>
      <c r="D758" s="11"/>
      <c r="E758" s="10"/>
    </row>
    <row r="759" spans="1:5" ht="14.25" customHeight="1" x14ac:dyDescent="0.35">
      <c r="A759" s="28"/>
      <c r="B759" s="39"/>
      <c r="C759" s="10"/>
      <c r="D759" s="11"/>
      <c r="E759" s="10"/>
    </row>
    <row r="760" spans="1:5" ht="14.25" customHeight="1" x14ac:dyDescent="0.35">
      <c r="A760" s="28"/>
      <c r="B760" s="39"/>
      <c r="C760" s="10"/>
      <c r="D760" s="11"/>
      <c r="E760" s="10"/>
    </row>
    <row r="761" spans="1:5" ht="14.25" customHeight="1" x14ac:dyDescent="0.35">
      <c r="A761" s="28"/>
      <c r="B761" s="39"/>
      <c r="C761" s="10"/>
      <c r="D761" s="11"/>
      <c r="E761" s="10"/>
    </row>
    <row r="762" spans="1:5" ht="14.25" customHeight="1" x14ac:dyDescent="0.35">
      <c r="A762" s="28"/>
      <c r="B762" s="39"/>
      <c r="C762" s="10"/>
      <c r="D762" s="11"/>
      <c r="E762" s="10"/>
    </row>
    <row r="763" spans="1:5" ht="14.25" customHeight="1" x14ac:dyDescent="0.35">
      <c r="A763" s="28"/>
      <c r="B763" s="39"/>
      <c r="C763" s="10"/>
      <c r="D763" s="11"/>
      <c r="E763" s="10"/>
    </row>
    <row r="764" spans="1:5" ht="14.25" customHeight="1" x14ac:dyDescent="0.35">
      <c r="A764" s="28"/>
      <c r="B764" s="39"/>
      <c r="C764" s="10"/>
      <c r="D764" s="11"/>
      <c r="E764" s="10"/>
    </row>
    <row r="765" spans="1:5" ht="14.25" customHeight="1" x14ac:dyDescent="0.35">
      <c r="A765" s="28"/>
      <c r="B765" s="39"/>
      <c r="C765" s="10"/>
      <c r="D765" s="11"/>
      <c r="E765" s="10"/>
    </row>
    <row r="766" spans="1:5" ht="14.25" customHeight="1" x14ac:dyDescent="0.35">
      <c r="A766" s="28"/>
      <c r="B766" s="39"/>
      <c r="C766" s="10"/>
      <c r="D766" s="11"/>
      <c r="E766" s="10"/>
    </row>
    <row r="767" spans="1:5" ht="14.25" customHeight="1" x14ac:dyDescent="0.35">
      <c r="A767" s="28"/>
      <c r="B767" s="39"/>
      <c r="C767" s="10"/>
      <c r="D767" s="11"/>
      <c r="E767" s="10"/>
    </row>
    <row r="768" spans="1:5" ht="14.25" customHeight="1" x14ac:dyDescent="0.35">
      <c r="A768" s="28"/>
      <c r="B768" s="39"/>
      <c r="C768" s="10"/>
      <c r="D768" s="11"/>
      <c r="E768" s="10"/>
    </row>
    <row r="769" spans="1:5" ht="14.25" customHeight="1" x14ac:dyDescent="0.35">
      <c r="A769" s="28"/>
      <c r="B769" s="39"/>
      <c r="C769" s="10"/>
      <c r="D769" s="11"/>
      <c r="E769" s="10"/>
    </row>
    <row r="770" spans="1:5" ht="14.25" customHeight="1" x14ac:dyDescent="0.35">
      <c r="A770" s="28"/>
      <c r="B770" s="39"/>
      <c r="C770" s="10"/>
      <c r="D770" s="11"/>
      <c r="E770" s="10"/>
    </row>
    <row r="771" spans="1:5" ht="14.25" customHeight="1" x14ac:dyDescent="0.35">
      <c r="A771" s="28"/>
      <c r="B771" s="39"/>
      <c r="C771" s="10"/>
      <c r="D771" s="11"/>
      <c r="E771" s="10"/>
    </row>
    <row r="772" spans="1:5" ht="14.25" customHeight="1" x14ac:dyDescent="0.35">
      <c r="A772" s="28"/>
      <c r="B772" s="39"/>
      <c r="C772" s="10"/>
      <c r="D772" s="11"/>
      <c r="E772" s="10"/>
    </row>
    <row r="773" spans="1:5" ht="14.25" customHeight="1" x14ac:dyDescent="0.35">
      <c r="A773" s="28"/>
      <c r="B773" s="39"/>
      <c r="C773" s="10"/>
      <c r="D773" s="11"/>
      <c r="E773" s="10"/>
    </row>
    <row r="774" spans="1:5" ht="14.25" customHeight="1" x14ac:dyDescent="0.35">
      <c r="A774" s="28"/>
      <c r="B774" s="39"/>
      <c r="C774" s="10"/>
      <c r="D774" s="11"/>
      <c r="E774" s="10"/>
    </row>
    <row r="775" spans="1:5" ht="14.25" customHeight="1" x14ac:dyDescent="0.35">
      <c r="A775" s="28"/>
      <c r="B775" s="39"/>
      <c r="C775" s="10"/>
      <c r="D775" s="11"/>
      <c r="E775" s="10"/>
    </row>
    <row r="776" spans="1:5" ht="14.25" customHeight="1" x14ac:dyDescent="0.35">
      <c r="A776" s="28"/>
      <c r="B776" s="39"/>
      <c r="C776" s="10"/>
      <c r="D776" s="11"/>
      <c r="E776" s="10"/>
    </row>
    <row r="777" spans="1:5" ht="14.25" customHeight="1" x14ac:dyDescent="0.35">
      <c r="A777" s="28"/>
      <c r="B777" s="39"/>
      <c r="C777" s="10"/>
      <c r="D777" s="11"/>
      <c r="E777" s="10"/>
    </row>
    <row r="778" spans="1:5" ht="14.25" customHeight="1" x14ac:dyDescent="0.35">
      <c r="A778" s="28"/>
      <c r="B778" s="39"/>
      <c r="C778" s="10"/>
      <c r="D778" s="11"/>
      <c r="E778" s="10"/>
    </row>
    <row r="779" spans="1:5" ht="14.25" customHeight="1" x14ac:dyDescent="0.35">
      <c r="A779" s="28"/>
      <c r="B779" s="39"/>
      <c r="C779" s="10"/>
      <c r="D779" s="11"/>
      <c r="E779" s="10"/>
    </row>
    <row r="780" spans="1:5" ht="14.25" customHeight="1" x14ac:dyDescent="0.35">
      <c r="A780" s="28"/>
      <c r="B780" s="39"/>
      <c r="C780" s="10"/>
      <c r="D780" s="11"/>
      <c r="E780" s="10"/>
    </row>
    <row r="781" spans="1:5" ht="14.25" customHeight="1" x14ac:dyDescent="0.35">
      <c r="A781" s="28"/>
      <c r="B781" s="39"/>
      <c r="C781" s="10"/>
      <c r="D781" s="11"/>
      <c r="E781" s="10"/>
    </row>
    <row r="782" spans="1:5" ht="14.25" customHeight="1" x14ac:dyDescent="0.35">
      <c r="A782" s="28"/>
      <c r="B782" s="39"/>
      <c r="C782" s="10"/>
      <c r="D782" s="11"/>
      <c r="E782" s="10"/>
    </row>
    <row r="783" spans="1:5" ht="14.25" customHeight="1" x14ac:dyDescent="0.35">
      <c r="A783" s="28"/>
      <c r="B783" s="39"/>
      <c r="C783" s="10"/>
      <c r="D783" s="11"/>
      <c r="E783" s="10"/>
    </row>
    <row r="784" spans="1:5" ht="14.25" customHeight="1" x14ac:dyDescent="0.35">
      <c r="A784" s="28"/>
      <c r="B784" s="39"/>
      <c r="C784" s="10"/>
      <c r="D784" s="11"/>
      <c r="E784" s="10"/>
    </row>
    <row r="785" spans="1:5" ht="14.25" customHeight="1" x14ac:dyDescent="0.35">
      <c r="A785" s="28"/>
      <c r="B785" s="39"/>
      <c r="C785" s="10"/>
      <c r="D785" s="11"/>
      <c r="E785" s="10"/>
    </row>
    <row r="786" spans="1:5" ht="14.25" customHeight="1" x14ac:dyDescent="0.35">
      <c r="A786" s="28"/>
      <c r="B786" s="39"/>
      <c r="C786" s="10"/>
      <c r="D786" s="11"/>
      <c r="E786" s="10"/>
    </row>
    <row r="787" spans="1:5" ht="14.25" customHeight="1" x14ac:dyDescent="0.35">
      <c r="A787" s="28"/>
      <c r="B787" s="39"/>
      <c r="C787" s="10"/>
      <c r="D787" s="11"/>
      <c r="E787" s="10"/>
    </row>
    <row r="788" spans="1:5" ht="14.25" customHeight="1" x14ac:dyDescent="0.35">
      <c r="A788" s="28"/>
      <c r="B788" s="39"/>
      <c r="C788" s="10"/>
      <c r="D788" s="11"/>
      <c r="E788" s="10"/>
    </row>
    <row r="789" spans="1:5" ht="14.25" customHeight="1" x14ac:dyDescent="0.35">
      <c r="A789" s="28"/>
      <c r="B789" s="39"/>
      <c r="C789" s="10"/>
      <c r="D789" s="11"/>
      <c r="E789" s="10"/>
    </row>
    <row r="790" spans="1:5" ht="14.25" customHeight="1" x14ac:dyDescent="0.35">
      <c r="A790" s="28"/>
      <c r="B790" s="39"/>
      <c r="C790" s="10"/>
      <c r="D790" s="11"/>
      <c r="E790" s="10"/>
    </row>
    <row r="791" spans="1:5" ht="14.25" customHeight="1" x14ac:dyDescent="0.35">
      <c r="A791" s="28"/>
      <c r="B791" s="39"/>
      <c r="C791" s="10"/>
      <c r="D791" s="11"/>
      <c r="E791" s="10"/>
    </row>
    <row r="792" spans="1:5" ht="14.25" customHeight="1" x14ac:dyDescent="0.35">
      <c r="A792" s="28"/>
      <c r="B792" s="39"/>
      <c r="C792" s="10"/>
      <c r="D792" s="11"/>
      <c r="E792" s="10"/>
    </row>
    <row r="793" spans="1:5" ht="14.25" customHeight="1" x14ac:dyDescent="0.35">
      <c r="A793" s="28"/>
      <c r="B793" s="39"/>
      <c r="C793" s="10"/>
      <c r="D793" s="11"/>
      <c r="E793" s="10"/>
    </row>
    <row r="794" spans="1:5" ht="14.25" customHeight="1" x14ac:dyDescent="0.35">
      <c r="A794" s="28"/>
      <c r="B794" s="39"/>
      <c r="C794" s="10"/>
      <c r="D794" s="11"/>
      <c r="E794" s="10"/>
    </row>
    <row r="795" spans="1:5" ht="14.25" customHeight="1" x14ac:dyDescent="0.35">
      <c r="A795" s="28"/>
      <c r="B795" s="39"/>
      <c r="C795" s="10"/>
      <c r="D795" s="11"/>
      <c r="E795" s="10"/>
    </row>
    <row r="796" spans="1:5" ht="14.25" customHeight="1" x14ac:dyDescent="0.35">
      <c r="A796" s="28"/>
      <c r="B796" s="39"/>
      <c r="C796" s="10"/>
      <c r="D796" s="11"/>
      <c r="E796" s="10"/>
    </row>
    <row r="797" spans="1:5" ht="14.25" customHeight="1" x14ac:dyDescent="0.35">
      <c r="A797" s="28"/>
      <c r="B797" s="39"/>
      <c r="C797" s="10"/>
      <c r="D797" s="11"/>
      <c r="E797" s="10"/>
    </row>
    <row r="798" spans="1:5" ht="14.25" customHeight="1" x14ac:dyDescent="0.35">
      <c r="A798" s="28"/>
      <c r="B798" s="39"/>
      <c r="C798" s="10"/>
      <c r="D798" s="11"/>
      <c r="E798" s="10"/>
    </row>
    <row r="799" spans="1:5" ht="14.25" customHeight="1" x14ac:dyDescent="0.35">
      <c r="A799" s="28"/>
      <c r="B799" s="39"/>
      <c r="C799" s="10"/>
      <c r="D799" s="11"/>
      <c r="E799" s="10"/>
    </row>
    <row r="800" spans="1:5" ht="14.25" customHeight="1" x14ac:dyDescent="0.35">
      <c r="A800" s="28"/>
      <c r="B800" s="39"/>
      <c r="C800" s="10"/>
      <c r="D800" s="11"/>
      <c r="E800" s="10"/>
    </row>
    <row r="801" spans="1:5" ht="14.25" customHeight="1" x14ac:dyDescent="0.35">
      <c r="A801" s="28"/>
      <c r="B801" s="39"/>
      <c r="C801" s="10"/>
      <c r="D801" s="11"/>
      <c r="E801" s="10"/>
    </row>
    <row r="802" spans="1:5" ht="14.25" customHeight="1" x14ac:dyDescent="0.35">
      <c r="A802" s="28"/>
      <c r="B802" s="39"/>
      <c r="C802" s="10"/>
      <c r="D802" s="11"/>
      <c r="E802" s="10"/>
    </row>
    <row r="803" spans="1:5" ht="14.25" customHeight="1" x14ac:dyDescent="0.35">
      <c r="A803" s="28"/>
      <c r="B803" s="39"/>
      <c r="C803" s="10"/>
      <c r="D803" s="11"/>
      <c r="E803" s="10"/>
    </row>
    <row r="804" spans="1:5" ht="14.25" customHeight="1" x14ac:dyDescent="0.35">
      <c r="A804" s="28"/>
      <c r="B804" s="39"/>
      <c r="C804" s="10"/>
      <c r="D804" s="11"/>
      <c r="E804" s="10"/>
    </row>
    <row r="805" spans="1:5" ht="14.25" customHeight="1" x14ac:dyDescent="0.35">
      <c r="A805" s="28"/>
      <c r="B805" s="39"/>
      <c r="C805" s="10"/>
      <c r="D805" s="11"/>
      <c r="E805" s="10"/>
    </row>
    <row r="806" spans="1:5" ht="14.25" customHeight="1" x14ac:dyDescent="0.35">
      <c r="A806" s="28"/>
      <c r="B806" s="39"/>
      <c r="C806" s="10"/>
      <c r="D806" s="11"/>
      <c r="E806" s="10"/>
    </row>
    <row r="807" spans="1:5" ht="14.25" customHeight="1" x14ac:dyDescent="0.35">
      <c r="A807" s="28"/>
      <c r="B807" s="39"/>
      <c r="C807" s="10"/>
      <c r="D807" s="11"/>
      <c r="E807" s="10"/>
    </row>
    <row r="808" spans="1:5" ht="14.25" customHeight="1" x14ac:dyDescent="0.35">
      <c r="A808" s="28"/>
      <c r="B808" s="39"/>
      <c r="C808" s="10"/>
      <c r="D808" s="11"/>
      <c r="E808" s="10"/>
    </row>
    <row r="809" spans="1:5" ht="14.25" customHeight="1" x14ac:dyDescent="0.35">
      <c r="A809" s="28"/>
      <c r="B809" s="39"/>
      <c r="C809" s="10"/>
      <c r="D809" s="11"/>
      <c r="E809" s="10"/>
    </row>
    <row r="810" spans="1:5" ht="14.25" customHeight="1" x14ac:dyDescent="0.35">
      <c r="A810" s="28"/>
      <c r="B810" s="39"/>
      <c r="C810" s="10"/>
      <c r="D810" s="11"/>
      <c r="E810" s="10"/>
    </row>
    <row r="811" spans="1:5" ht="14.25" customHeight="1" x14ac:dyDescent="0.35">
      <c r="A811" s="28"/>
      <c r="B811" s="39"/>
      <c r="C811" s="10"/>
      <c r="D811" s="11"/>
      <c r="E811" s="10"/>
    </row>
    <row r="812" spans="1:5" ht="14.25" customHeight="1" x14ac:dyDescent="0.35">
      <c r="A812" s="28"/>
      <c r="B812" s="39"/>
      <c r="C812" s="10"/>
      <c r="D812" s="11"/>
      <c r="E812" s="10"/>
    </row>
    <row r="813" spans="1:5" ht="14.25" customHeight="1" x14ac:dyDescent="0.35">
      <c r="A813" s="28"/>
      <c r="B813" s="39"/>
      <c r="C813" s="10"/>
      <c r="D813" s="11"/>
      <c r="E813" s="10"/>
    </row>
    <row r="814" spans="1:5" ht="14.25" customHeight="1" x14ac:dyDescent="0.35">
      <c r="A814" s="28"/>
      <c r="B814" s="39"/>
      <c r="C814" s="10"/>
      <c r="D814" s="11"/>
      <c r="E814" s="10"/>
    </row>
    <row r="815" spans="1:5" ht="14.25" customHeight="1" x14ac:dyDescent="0.35">
      <c r="A815" s="28"/>
      <c r="B815" s="39"/>
      <c r="C815" s="10"/>
      <c r="D815" s="11"/>
      <c r="E815" s="10"/>
    </row>
    <row r="816" spans="1:5" ht="14.25" customHeight="1" x14ac:dyDescent="0.35">
      <c r="A816" s="28"/>
      <c r="B816" s="39"/>
      <c r="C816" s="10"/>
      <c r="D816" s="11"/>
      <c r="E816" s="10"/>
    </row>
    <row r="817" spans="1:5" ht="14.25" customHeight="1" x14ac:dyDescent="0.35">
      <c r="A817" s="28"/>
      <c r="B817" s="39"/>
      <c r="C817" s="10"/>
      <c r="D817" s="11"/>
      <c r="E817" s="10"/>
    </row>
    <row r="818" spans="1:5" ht="14.25" customHeight="1" x14ac:dyDescent="0.35">
      <c r="A818" s="28"/>
      <c r="B818" s="39"/>
      <c r="C818" s="10"/>
      <c r="D818" s="11"/>
      <c r="E818" s="10"/>
    </row>
    <row r="819" spans="1:5" ht="14.25" customHeight="1" x14ac:dyDescent="0.35">
      <c r="A819" s="28"/>
      <c r="B819" s="39"/>
      <c r="C819" s="10"/>
      <c r="D819" s="11"/>
      <c r="E819" s="10"/>
    </row>
    <row r="820" spans="1:5" ht="14.25" customHeight="1" x14ac:dyDescent="0.35">
      <c r="A820" s="28"/>
      <c r="B820" s="39"/>
      <c r="C820" s="10"/>
      <c r="D820" s="11"/>
      <c r="E820" s="10"/>
    </row>
    <row r="821" spans="1:5" ht="14.25" customHeight="1" x14ac:dyDescent="0.35">
      <c r="A821" s="28"/>
      <c r="B821" s="39"/>
      <c r="C821" s="10"/>
      <c r="D821" s="11"/>
      <c r="E821" s="10"/>
    </row>
    <row r="822" spans="1:5" ht="14.25" customHeight="1" x14ac:dyDescent="0.35">
      <c r="A822" s="28"/>
      <c r="B822" s="39"/>
      <c r="C822" s="10"/>
      <c r="D822" s="11"/>
      <c r="E822" s="10"/>
    </row>
    <row r="823" spans="1:5" ht="14.25" customHeight="1" x14ac:dyDescent="0.35">
      <c r="A823" s="28"/>
      <c r="B823" s="39"/>
      <c r="C823" s="10"/>
      <c r="D823" s="11"/>
      <c r="E823" s="10"/>
    </row>
    <row r="824" spans="1:5" ht="14.25" customHeight="1" x14ac:dyDescent="0.35">
      <c r="A824" s="28"/>
      <c r="B824" s="39"/>
      <c r="C824" s="10"/>
      <c r="D824" s="11"/>
      <c r="E824" s="10"/>
    </row>
    <row r="825" spans="1:5" ht="14.25" customHeight="1" x14ac:dyDescent="0.35">
      <c r="A825" s="28"/>
      <c r="B825" s="39"/>
      <c r="C825" s="10"/>
      <c r="D825" s="11"/>
      <c r="E825" s="10"/>
    </row>
    <row r="826" spans="1:5" ht="14.25" customHeight="1" x14ac:dyDescent="0.35">
      <c r="A826" s="28"/>
      <c r="B826" s="39"/>
      <c r="C826" s="10"/>
      <c r="D826" s="11"/>
      <c r="E826" s="10"/>
    </row>
    <row r="827" spans="1:5" ht="14.25" customHeight="1" x14ac:dyDescent="0.35">
      <c r="A827" s="28"/>
      <c r="B827" s="39"/>
      <c r="C827" s="10"/>
      <c r="D827" s="11"/>
      <c r="E827" s="10"/>
    </row>
    <row r="828" spans="1:5" ht="14.25" customHeight="1" x14ac:dyDescent="0.35">
      <c r="A828" s="28"/>
      <c r="B828" s="39"/>
      <c r="C828" s="10"/>
      <c r="D828" s="11"/>
      <c r="E828" s="10"/>
    </row>
    <row r="829" spans="1:5" ht="14.25" customHeight="1" x14ac:dyDescent="0.35">
      <c r="A829" s="28"/>
      <c r="B829" s="39"/>
      <c r="C829" s="10"/>
      <c r="D829" s="11"/>
      <c r="E829" s="10"/>
    </row>
    <row r="830" spans="1:5" ht="14.25" customHeight="1" x14ac:dyDescent="0.35">
      <c r="A830" s="28"/>
      <c r="B830" s="39"/>
      <c r="C830" s="10"/>
      <c r="D830" s="11"/>
      <c r="E830" s="10"/>
    </row>
    <row r="831" spans="1:5" ht="14.25" customHeight="1" x14ac:dyDescent="0.35">
      <c r="A831" s="28"/>
      <c r="B831" s="39"/>
      <c r="C831" s="10"/>
      <c r="D831" s="11"/>
      <c r="E831" s="10"/>
    </row>
    <row r="832" spans="1:5" ht="14.25" customHeight="1" x14ac:dyDescent="0.35">
      <c r="A832" s="28"/>
      <c r="B832" s="39"/>
      <c r="C832" s="10"/>
      <c r="D832" s="11"/>
      <c r="E832" s="10"/>
    </row>
    <row r="833" spans="1:5" ht="14.25" customHeight="1" x14ac:dyDescent="0.35">
      <c r="A833" s="28"/>
      <c r="B833" s="39"/>
      <c r="C833" s="10"/>
      <c r="D833" s="11"/>
      <c r="E833" s="10"/>
    </row>
    <row r="834" spans="1:5" ht="14.25" customHeight="1" x14ac:dyDescent="0.35">
      <c r="A834" s="28"/>
      <c r="B834" s="39"/>
      <c r="C834" s="10"/>
      <c r="D834" s="11"/>
      <c r="E834" s="10"/>
    </row>
    <row r="835" spans="1:5" ht="14.25" customHeight="1" x14ac:dyDescent="0.35">
      <c r="A835" s="28"/>
      <c r="B835" s="39"/>
      <c r="C835" s="10"/>
      <c r="D835" s="11"/>
      <c r="E835" s="10"/>
    </row>
    <row r="836" spans="1:5" ht="14.25" customHeight="1" x14ac:dyDescent="0.35">
      <c r="A836" s="28"/>
      <c r="B836" s="39"/>
      <c r="C836" s="10"/>
      <c r="D836" s="11"/>
      <c r="E836" s="10"/>
    </row>
    <row r="837" spans="1:5" ht="14.25" customHeight="1" x14ac:dyDescent="0.35">
      <c r="A837" s="28"/>
      <c r="B837" s="39"/>
      <c r="C837" s="10"/>
      <c r="D837" s="11"/>
      <c r="E837" s="10"/>
    </row>
    <row r="838" spans="1:5" ht="14.25" customHeight="1" x14ac:dyDescent="0.35">
      <c r="A838" s="28"/>
      <c r="B838" s="39"/>
      <c r="C838" s="10"/>
      <c r="D838" s="11"/>
      <c r="E838" s="10"/>
    </row>
    <row r="839" spans="1:5" ht="14.25" customHeight="1" x14ac:dyDescent="0.35">
      <c r="A839" s="28"/>
      <c r="B839" s="39"/>
      <c r="C839" s="10"/>
      <c r="D839" s="11"/>
      <c r="E839" s="10"/>
    </row>
    <row r="840" spans="1:5" ht="14.25" customHeight="1" x14ac:dyDescent="0.35">
      <c r="A840" s="28"/>
      <c r="B840" s="39"/>
      <c r="C840" s="10"/>
      <c r="D840" s="11"/>
      <c r="E840" s="10"/>
    </row>
    <row r="841" spans="1:5" ht="14.25" customHeight="1" x14ac:dyDescent="0.35">
      <c r="A841" s="28"/>
      <c r="B841" s="39"/>
      <c r="C841" s="10"/>
      <c r="D841" s="11"/>
      <c r="E841" s="10"/>
    </row>
    <row r="842" spans="1:5" ht="14.25" customHeight="1" x14ac:dyDescent="0.35">
      <c r="A842" s="28"/>
      <c r="B842" s="39"/>
      <c r="C842" s="10"/>
      <c r="D842" s="11"/>
      <c r="E842" s="10"/>
    </row>
    <row r="843" spans="1:5" ht="14.25" customHeight="1" x14ac:dyDescent="0.35">
      <c r="A843" s="28"/>
      <c r="B843" s="39"/>
      <c r="C843" s="10"/>
      <c r="D843" s="11"/>
      <c r="E843" s="10"/>
    </row>
    <row r="844" spans="1:5" ht="14.25" customHeight="1" x14ac:dyDescent="0.35">
      <c r="A844" s="28"/>
      <c r="B844" s="39"/>
      <c r="C844" s="10"/>
      <c r="D844" s="11"/>
      <c r="E844" s="10"/>
    </row>
    <row r="845" spans="1:5" ht="14.25" customHeight="1" x14ac:dyDescent="0.35">
      <c r="A845" s="28"/>
      <c r="B845" s="39"/>
      <c r="C845" s="10"/>
      <c r="D845" s="11"/>
      <c r="E845" s="10"/>
    </row>
    <row r="846" spans="1:5" ht="14.25" customHeight="1" x14ac:dyDescent="0.35">
      <c r="A846" s="28"/>
      <c r="B846" s="39"/>
      <c r="C846" s="10"/>
      <c r="D846" s="11"/>
      <c r="E846" s="10"/>
    </row>
    <row r="847" spans="1:5" ht="14.25" customHeight="1" x14ac:dyDescent="0.35">
      <c r="A847" s="28"/>
      <c r="B847" s="39"/>
      <c r="C847" s="10"/>
      <c r="D847" s="11"/>
      <c r="E847" s="10"/>
    </row>
    <row r="848" spans="1:5" ht="14.25" customHeight="1" x14ac:dyDescent="0.35">
      <c r="A848" s="28"/>
      <c r="B848" s="39"/>
      <c r="C848" s="10"/>
      <c r="D848" s="11"/>
      <c r="E848" s="10"/>
    </row>
    <row r="849" spans="1:5" ht="14.25" customHeight="1" x14ac:dyDescent="0.35">
      <c r="A849" s="28"/>
      <c r="B849" s="39"/>
      <c r="C849" s="10"/>
      <c r="D849" s="11"/>
      <c r="E849" s="10"/>
    </row>
    <row r="850" spans="1:5" ht="14.25" customHeight="1" x14ac:dyDescent="0.35">
      <c r="A850" s="28"/>
      <c r="B850" s="39"/>
      <c r="C850" s="10"/>
      <c r="D850" s="11"/>
      <c r="E850" s="10"/>
    </row>
    <row r="851" spans="1:5" ht="14.25" customHeight="1" x14ac:dyDescent="0.35">
      <c r="A851" s="28"/>
      <c r="B851" s="39"/>
      <c r="C851" s="10"/>
      <c r="D851" s="11"/>
      <c r="E851" s="10"/>
    </row>
    <row r="852" spans="1:5" ht="14.25" customHeight="1" x14ac:dyDescent="0.35">
      <c r="A852" s="28"/>
      <c r="B852" s="39"/>
      <c r="C852" s="10"/>
      <c r="D852" s="11"/>
      <c r="E852" s="10"/>
    </row>
    <row r="853" spans="1:5" ht="14.25" customHeight="1" x14ac:dyDescent="0.35">
      <c r="A853" s="28"/>
      <c r="B853" s="39"/>
      <c r="C853" s="10"/>
      <c r="D853" s="11"/>
      <c r="E853" s="10"/>
    </row>
    <row r="854" spans="1:5" ht="14.25" customHeight="1" x14ac:dyDescent="0.35">
      <c r="A854" s="28"/>
      <c r="B854" s="39"/>
      <c r="C854" s="10"/>
      <c r="D854" s="11"/>
      <c r="E854" s="10"/>
    </row>
    <row r="855" spans="1:5" ht="14.25" customHeight="1" x14ac:dyDescent="0.35">
      <c r="A855" s="28"/>
      <c r="B855" s="39"/>
      <c r="C855" s="10"/>
      <c r="D855" s="11"/>
      <c r="E855" s="10"/>
    </row>
    <row r="856" spans="1:5" ht="14.25" customHeight="1" x14ac:dyDescent="0.35">
      <c r="A856" s="28"/>
      <c r="B856" s="39"/>
      <c r="C856" s="10"/>
      <c r="D856" s="11"/>
      <c r="E856" s="10"/>
    </row>
    <row r="857" spans="1:5" ht="14.25" customHeight="1" x14ac:dyDescent="0.35">
      <c r="A857" s="28"/>
      <c r="B857" s="39"/>
      <c r="C857" s="10"/>
      <c r="D857" s="11"/>
      <c r="E857" s="10"/>
    </row>
    <row r="858" spans="1:5" ht="14.25" customHeight="1" x14ac:dyDescent="0.35">
      <c r="A858" s="28"/>
      <c r="B858" s="39"/>
      <c r="C858" s="10"/>
      <c r="D858" s="11"/>
      <c r="E858" s="10"/>
    </row>
    <row r="859" spans="1:5" ht="14.25" customHeight="1" x14ac:dyDescent="0.35">
      <c r="A859" s="28"/>
      <c r="B859" s="39"/>
      <c r="C859" s="10"/>
      <c r="D859" s="11"/>
      <c r="E859" s="10"/>
    </row>
    <row r="860" spans="1:5" ht="14.25" customHeight="1" x14ac:dyDescent="0.35">
      <c r="A860" s="28"/>
      <c r="B860" s="39"/>
      <c r="C860" s="10"/>
      <c r="D860" s="11"/>
      <c r="E860" s="10"/>
    </row>
    <row r="861" spans="1:5" ht="14.25" customHeight="1" x14ac:dyDescent="0.35">
      <c r="A861" s="28"/>
      <c r="B861" s="39"/>
      <c r="C861" s="10"/>
      <c r="D861" s="11"/>
      <c r="E861" s="10"/>
    </row>
    <row r="862" spans="1:5" ht="14.25" customHeight="1" x14ac:dyDescent="0.35">
      <c r="A862" s="28"/>
      <c r="B862" s="39"/>
      <c r="C862" s="10"/>
      <c r="D862" s="11"/>
      <c r="E862" s="10"/>
    </row>
    <row r="863" spans="1:5" ht="14.25" customHeight="1" x14ac:dyDescent="0.35">
      <c r="A863" s="28"/>
      <c r="B863" s="39"/>
      <c r="C863" s="10"/>
      <c r="D863" s="11"/>
      <c r="E863" s="10"/>
    </row>
    <row r="864" spans="1:5" ht="14.25" customHeight="1" x14ac:dyDescent="0.35">
      <c r="A864" s="28"/>
      <c r="B864" s="39"/>
      <c r="C864" s="10"/>
      <c r="D864" s="11"/>
      <c r="E864" s="10"/>
    </row>
    <row r="865" spans="1:5" ht="14.25" customHeight="1" x14ac:dyDescent="0.35">
      <c r="A865" s="28"/>
      <c r="B865" s="39"/>
      <c r="C865" s="10"/>
      <c r="D865" s="11"/>
      <c r="E865" s="10"/>
    </row>
    <row r="866" spans="1:5" ht="14.25" customHeight="1" x14ac:dyDescent="0.35">
      <c r="A866" s="28"/>
      <c r="B866" s="39"/>
      <c r="C866" s="10"/>
      <c r="D866" s="11"/>
      <c r="E866" s="10"/>
    </row>
    <row r="867" spans="1:5" ht="14.25" customHeight="1" x14ac:dyDescent="0.35">
      <c r="A867" s="28"/>
      <c r="B867" s="39"/>
      <c r="C867" s="10"/>
      <c r="D867" s="11"/>
      <c r="E867" s="10"/>
    </row>
    <row r="868" spans="1:5" ht="14.25" customHeight="1" x14ac:dyDescent="0.35">
      <c r="A868" s="28"/>
      <c r="B868" s="39"/>
      <c r="C868" s="10"/>
      <c r="D868" s="11"/>
      <c r="E868" s="10"/>
    </row>
    <row r="869" spans="1:5" ht="14.25" customHeight="1" x14ac:dyDescent="0.35">
      <c r="A869" s="28"/>
      <c r="B869" s="39"/>
      <c r="C869" s="10"/>
      <c r="D869" s="11"/>
      <c r="E869" s="10"/>
    </row>
    <row r="870" spans="1:5" ht="14.25" customHeight="1" x14ac:dyDescent="0.35">
      <c r="A870" s="28"/>
      <c r="B870" s="39"/>
      <c r="C870" s="10"/>
      <c r="D870" s="11"/>
      <c r="E870" s="10"/>
    </row>
    <row r="871" spans="1:5" ht="14.25" customHeight="1" x14ac:dyDescent="0.35">
      <c r="A871" s="28"/>
      <c r="B871" s="39"/>
      <c r="C871" s="10"/>
      <c r="D871" s="11"/>
      <c r="E871" s="10"/>
    </row>
    <row r="872" spans="1:5" ht="14.25" customHeight="1" x14ac:dyDescent="0.35">
      <c r="A872" s="28"/>
      <c r="B872" s="39"/>
      <c r="C872" s="10"/>
      <c r="D872" s="11"/>
      <c r="E872" s="10"/>
    </row>
    <row r="873" spans="1:5" ht="14.25" customHeight="1" x14ac:dyDescent="0.35">
      <c r="A873" s="28"/>
      <c r="B873" s="39"/>
      <c r="C873" s="10"/>
      <c r="D873" s="11"/>
      <c r="E873" s="10"/>
    </row>
    <row r="874" spans="1:5" ht="14.25" customHeight="1" x14ac:dyDescent="0.35">
      <c r="A874" s="28"/>
      <c r="B874" s="39"/>
      <c r="C874" s="10"/>
      <c r="D874" s="11"/>
      <c r="E874" s="10"/>
    </row>
    <row r="875" spans="1:5" ht="14.25" customHeight="1" x14ac:dyDescent="0.35">
      <c r="A875" s="28"/>
      <c r="B875" s="39"/>
      <c r="C875" s="10"/>
      <c r="D875" s="11"/>
      <c r="E875" s="10"/>
    </row>
    <row r="876" spans="1:5" ht="14.25" customHeight="1" x14ac:dyDescent="0.35">
      <c r="A876" s="28"/>
      <c r="B876" s="39"/>
      <c r="C876" s="10"/>
      <c r="D876" s="11"/>
      <c r="E876" s="10"/>
    </row>
    <row r="877" spans="1:5" ht="14.25" customHeight="1" x14ac:dyDescent="0.35">
      <c r="A877" s="28"/>
      <c r="B877" s="39"/>
      <c r="C877" s="10"/>
      <c r="D877" s="11"/>
      <c r="E877" s="10"/>
    </row>
    <row r="878" spans="1:5" ht="14.25" customHeight="1" x14ac:dyDescent="0.35">
      <c r="A878" s="28"/>
      <c r="B878" s="39"/>
      <c r="C878" s="10"/>
      <c r="D878" s="11"/>
      <c r="E878" s="10"/>
    </row>
    <row r="879" spans="1:5" ht="14.25" customHeight="1" x14ac:dyDescent="0.35">
      <c r="A879" s="28"/>
      <c r="B879" s="39"/>
      <c r="C879" s="10"/>
      <c r="D879" s="11"/>
      <c r="E879" s="10"/>
    </row>
    <row r="880" spans="1:5" ht="14.25" customHeight="1" x14ac:dyDescent="0.35">
      <c r="A880" s="28"/>
      <c r="B880" s="39"/>
      <c r="C880" s="10"/>
      <c r="D880" s="11"/>
      <c r="E880" s="10"/>
    </row>
    <row r="881" spans="1:5" ht="14.25" customHeight="1" x14ac:dyDescent="0.35">
      <c r="A881" s="28"/>
      <c r="B881" s="39"/>
      <c r="C881" s="10"/>
      <c r="D881" s="11"/>
      <c r="E881" s="10"/>
    </row>
    <row r="882" spans="1:5" ht="14.25" customHeight="1" x14ac:dyDescent="0.35">
      <c r="A882" s="28"/>
      <c r="B882" s="39"/>
      <c r="C882" s="10"/>
      <c r="D882" s="11"/>
      <c r="E882" s="10"/>
    </row>
    <row r="883" spans="1:5" ht="14.25" customHeight="1" x14ac:dyDescent="0.35">
      <c r="A883" s="28"/>
      <c r="B883" s="39"/>
      <c r="C883" s="10"/>
      <c r="D883" s="11"/>
      <c r="E883" s="10"/>
    </row>
    <row r="884" spans="1:5" ht="14.25" customHeight="1" x14ac:dyDescent="0.35">
      <c r="A884" s="28"/>
      <c r="B884" s="39"/>
      <c r="C884" s="10"/>
      <c r="D884" s="11"/>
      <c r="E884" s="10"/>
    </row>
    <row r="885" spans="1:5" ht="14.25" customHeight="1" x14ac:dyDescent="0.35">
      <c r="A885" s="28"/>
      <c r="B885" s="39"/>
      <c r="C885" s="10"/>
      <c r="D885" s="11"/>
      <c r="E885" s="10"/>
    </row>
    <row r="886" spans="1:5" ht="14.25" customHeight="1" x14ac:dyDescent="0.35">
      <c r="A886" s="28"/>
      <c r="B886" s="39"/>
      <c r="C886" s="10"/>
      <c r="D886" s="11"/>
      <c r="E886" s="10"/>
    </row>
    <row r="887" spans="1:5" ht="14.25" customHeight="1" x14ac:dyDescent="0.35">
      <c r="A887" s="28"/>
      <c r="B887" s="39"/>
      <c r="C887" s="10"/>
      <c r="D887" s="11"/>
      <c r="E887" s="10"/>
    </row>
    <row r="888" spans="1:5" ht="14.25" customHeight="1" x14ac:dyDescent="0.35">
      <c r="A888" s="28"/>
      <c r="B888" s="39"/>
      <c r="C888" s="10"/>
      <c r="D888" s="11"/>
      <c r="E888" s="10"/>
    </row>
    <row r="889" spans="1:5" ht="14.25" customHeight="1" x14ac:dyDescent="0.35">
      <c r="A889" s="28"/>
      <c r="B889" s="39"/>
      <c r="C889" s="10"/>
      <c r="D889" s="11"/>
      <c r="E889" s="10"/>
    </row>
    <row r="890" spans="1:5" ht="14.25" customHeight="1" x14ac:dyDescent="0.35">
      <c r="A890" s="28"/>
      <c r="B890" s="39"/>
      <c r="C890" s="10"/>
      <c r="D890" s="11"/>
      <c r="E890" s="10"/>
    </row>
    <row r="891" spans="1:5" ht="14.25" customHeight="1" x14ac:dyDescent="0.35">
      <c r="A891" s="28"/>
      <c r="B891" s="39"/>
      <c r="C891" s="10"/>
      <c r="D891" s="11"/>
      <c r="E891" s="10"/>
    </row>
    <row r="892" spans="1:5" ht="14.25" customHeight="1" x14ac:dyDescent="0.35">
      <c r="A892" s="28"/>
      <c r="B892" s="39"/>
      <c r="C892" s="10"/>
      <c r="D892" s="11"/>
      <c r="E892" s="10"/>
    </row>
    <row r="893" spans="1:5" ht="14.25" customHeight="1" x14ac:dyDescent="0.35">
      <c r="A893" s="28"/>
      <c r="B893" s="39"/>
      <c r="C893" s="10"/>
      <c r="D893" s="11"/>
      <c r="E893" s="10"/>
    </row>
    <row r="894" spans="1:5" ht="14.25" customHeight="1" x14ac:dyDescent="0.35">
      <c r="A894" s="28"/>
      <c r="B894" s="39"/>
      <c r="C894" s="10"/>
      <c r="D894" s="11"/>
      <c r="E894" s="10"/>
    </row>
    <row r="895" spans="1:5" ht="14.25" customHeight="1" x14ac:dyDescent="0.35">
      <c r="A895" s="28"/>
      <c r="B895" s="39"/>
      <c r="C895" s="10"/>
      <c r="D895" s="11"/>
      <c r="E895" s="10"/>
    </row>
    <row r="896" spans="1:5" ht="14.25" customHeight="1" x14ac:dyDescent="0.35">
      <c r="A896" s="28"/>
      <c r="B896" s="39"/>
      <c r="C896" s="10"/>
      <c r="D896" s="11"/>
      <c r="E896" s="10"/>
    </row>
    <row r="897" spans="1:5" ht="14.25" customHeight="1" x14ac:dyDescent="0.35">
      <c r="A897" s="28"/>
      <c r="B897" s="39"/>
      <c r="C897" s="10"/>
      <c r="D897" s="11"/>
      <c r="E897" s="10"/>
    </row>
    <row r="898" spans="1:5" ht="14.25" customHeight="1" x14ac:dyDescent="0.35">
      <c r="A898" s="28"/>
      <c r="B898" s="39"/>
      <c r="C898" s="10"/>
      <c r="D898" s="11"/>
      <c r="E898" s="10"/>
    </row>
    <row r="899" spans="1:5" ht="14.25" customHeight="1" x14ac:dyDescent="0.35">
      <c r="A899" s="28"/>
      <c r="B899" s="39"/>
      <c r="C899" s="10"/>
      <c r="D899" s="11"/>
      <c r="E899" s="10"/>
    </row>
    <row r="900" spans="1:5" ht="14.25" customHeight="1" x14ac:dyDescent="0.35">
      <c r="A900" s="28"/>
      <c r="B900" s="39"/>
      <c r="C900" s="10"/>
      <c r="D900" s="11"/>
      <c r="E900" s="10"/>
    </row>
    <row r="901" spans="1:5" ht="14.25" customHeight="1" x14ac:dyDescent="0.35">
      <c r="A901" s="28"/>
      <c r="B901" s="39"/>
      <c r="C901" s="10"/>
      <c r="D901" s="11"/>
      <c r="E901" s="10"/>
    </row>
    <row r="902" spans="1:5" ht="14.25" customHeight="1" x14ac:dyDescent="0.35">
      <c r="A902" s="28"/>
      <c r="B902" s="39"/>
      <c r="C902" s="10"/>
      <c r="D902" s="11"/>
      <c r="E902" s="10"/>
    </row>
    <row r="903" spans="1:5" ht="14.25" customHeight="1" x14ac:dyDescent="0.35">
      <c r="A903" s="28"/>
      <c r="B903" s="39"/>
      <c r="C903" s="10"/>
      <c r="D903" s="11"/>
      <c r="E903" s="10"/>
    </row>
    <row r="904" spans="1:5" ht="14.25" customHeight="1" x14ac:dyDescent="0.35">
      <c r="A904" s="28"/>
      <c r="B904" s="39"/>
      <c r="C904" s="10"/>
      <c r="D904" s="11"/>
      <c r="E904" s="10"/>
    </row>
    <row r="905" spans="1:5" ht="14.25" customHeight="1" x14ac:dyDescent="0.35">
      <c r="A905" s="28"/>
      <c r="B905" s="39"/>
      <c r="C905" s="10"/>
      <c r="D905" s="11"/>
      <c r="E905" s="10"/>
    </row>
    <row r="906" spans="1:5" ht="14.25" customHeight="1" x14ac:dyDescent="0.35">
      <c r="A906" s="28"/>
      <c r="B906" s="39"/>
      <c r="C906" s="10"/>
      <c r="D906" s="11"/>
      <c r="E906" s="10"/>
    </row>
    <row r="907" spans="1:5" ht="14.25" customHeight="1" x14ac:dyDescent="0.35">
      <c r="A907" s="28"/>
      <c r="B907" s="39"/>
      <c r="C907" s="10"/>
      <c r="D907" s="11"/>
      <c r="E907" s="10"/>
    </row>
    <row r="908" spans="1:5" ht="14.25" customHeight="1" x14ac:dyDescent="0.35">
      <c r="A908" s="28"/>
      <c r="B908" s="39"/>
      <c r="C908" s="10"/>
      <c r="D908" s="11"/>
      <c r="E908" s="10"/>
    </row>
    <row r="909" spans="1:5" ht="14.25" customHeight="1" x14ac:dyDescent="0.35">
      <c r="A909" s="28"/>
      <c r="B909" s="39"/>
      <c r="C909" s="10"/>
      <c r="D909" s="11"/>
      <c r="E909" s="10"/>
    </row>
    <row r="910" spans="1:5" ht="14.25" customHeight="1" x14ac:dyDescent="0.35">
      <c r="A910" s="28"/>
      <c r="B910" s="39"/>
      <c r="C910" s="10"/>
      <c r="D910" s="11"/>
      <c r="E910" s="10"/>
    </row>
    <row r="911" spans="1:5" ht="14.25" customHeight="1" x14ac:dyDescent="0.35">
      <c r="A911" s="28"/>
      <c r="B911" s="39"/>
      <c r="C911" s="10"/>
      <c r="D911" s="11"/>
      <c r="E911" s="10"/>
    </row>
    <row r="912" spans="1:5" ht="14.25" customHeight="1" x14ac:dyDescent="0.35">
      <c r="A912" s="28"/>
      <c r="B912" s="39"/>
      <c r="C912" s="10"/>
      <c r="D912" s="11"/>
      <c r="E912" s="10"/>
    </row>
    <row r="913" spans="1:5" ht="14.25" customHeight="1" x14ac:dyDescent="0.35">
      <c r="A913" s="28"/>
      <c r="B913" s="39"/>
      <c r="C913" s="10"/>
      <c r="D913" s="11"/>
      <c r="E913" s="10"/>
    </row>
    <row r="914" spans="1:5" ht="14.25" customHeight="1" x14ac:dyDescent="0.35">
      <c r="A914" s="28"/>
      <c r="B914" s="39"/>
      <c r="C914" s="10"/>
      <c r="D914" s="11"/>
      <c r="E914" s="10"/>
    </row>
    <row r="915" spans="1:5" ht="14.25" customHeight="1" x14ac:dyDescent="0.35">
      <c r="A915" s="28"/>
      <c r="B915" s="39"/>
      <c r="C915" s="10"/>
      <c r="D915" s="11"/>
      <c r="E915" s="10"/>
    </row>
    <row r="916" spans="1:5" ht="14.25" customHeight="1" x14ac:dyDescent="0.35">
      <c r="A916" s="28"/>
      <c r="B916" s="39"/>
      <c r="C916" s="10"/>
      <c r="D916" s="11"/>
      <c r="E916" s="10"/>
    </row>
    <row r="917" spans="1:5" ht="14.25" customHeight="1" x14ac:dyDescent="0.35">
      <c r="A917" s="28"/>
      <c r="B917" s="39"/>
      <c r="C917" s="10"/>
      <c r="D917" s="11"/>
      <c r="E917" s="10"/>
    </row>
    <row r="918" spans="1:5" ht="14.25" customHeight="1" x14ac:dyDescent="0.35">
      <c r="A918" s="28"/>
      <c r="B918" s="39"/>
      <c r="C918" s="10"/>
      <c r="D918" s="11"/>
      <c r="E918" s="10"/>
    </row>
    <row r="919" spans="1:5" ht="14.25" customHeight="1" x14ac:dyDescent="0.35">
      <c r="A919" s="28"/>
      <c r="B919" s="39"/>
      <c r="C919" s="10"/>
      <c r="D919" s="11"/>
      <c r="E919" s="10"/>
    </row>
    <row r="920" spans="1:5" ht="14.25" customHeight="1" x14ac:dyDescent="0.35">
      <c r="A920" s="28"/>
      <c r="B920" s="39"/>
      <c r="C920" s="10"/>
      <c r="D920" s="11"/>
      <c r="E920" s="10"/>
    </row>
    <row r="921" spans="1:5" ht="14.25" customHeight="1" x14ac:dyDescent="0.35">
      <c r="A921" s="28"/>
      <c r="B921" s="39"/>
      <c r="C921" s="10"/>
      <c r="D921" s="11"/>
      <c r="E921" s="10"/>
    </row>
    <row r="922" spans="1:5" ht="14.25" customHeight="1" x14ac:dyDescent="0.35">
      <c r="A922" s="28"/>
      <c r="B922" s="39"/>
      <c r="C922" s="10"/>
      <c r="D922" s="11"/>
      <c r="E922" s="10"/>
    </row>
    <row r="923" spans="1:5" ht="14.25" customHeight="1" x14ac:dyDescent="0.35">
      <c r="A923" s="28"/>
      <c r="B923" s="39"/>
      <c r="C923" s="10"/>
      <c r="D923" s="11"/>
      <c r="E923" s="10"/>
    </row>
    <row r="924" spans="1:5" ht="14.25" customHeight="1" x14ac:dyDescent="0.35">
      <c r="A924" s="28"/>
      <c r="B924" s="39"/>
      <c r="C924" s="10"/>
      <c r="D924" s="11"/>
      <c r="E924" s="10"/>
    </row>
    <row r="925" spans="1:5" ht="14.25" customHeight="1" x14ac:dyDescent="0.35">
      <c r="A925" s="28"/>
      <c r="B925" s="39"/>
      <c r="C925" s="10"/>
      <c r="D925" s="11"/>
      <c r="E925" s="10"/>
    </row>
    <row r="926" spans="1:5" ht="14.25" customHeight="1" x14ac:dyDescent="0.35">
      <c r="A926" s="28"/>
      <c r="B926" s="39"/>
      <c r="C926" s="10"/>
      <c r="D926" s="11"/>
      <c r="E926" s="10"/>
    </row>
    <row r="927" spans="1:5" ht="14.25" customHeight="1" x14ac:dyDescent="0.35">
      <c r="A927" s="28"/>
      <c r="B927" s="39"/>
      <c r="C927" s="10"/>
      <c r="D927" s="11"/>
      <c r="E927" s="10"/>
    </row>
    <row r="928" spans="1:5" ht="14.25" customHeight="1" x14ac:dyDescent="0.35">
      <c r="A928" s="28"/>
      <c r="B928" s="39"/>
      <c r="C928" s="10"/>
      <c r="D928" s="11"/>
      <c r="E928" s="10"/>
    </row>
    <row r="929" spans="1:5" ht="14.25" customHeight="1" x14ac:dyDescent="0.35">
      <c r="A929" s="28"/>
      <c r="B929" s="39"/>
      <c r="C929" s="10"/>
      <c r="D929" s="11"/>
      <c r="E929" s="10"/>
    </row>
    <row r="930" spans="1:5" ht="14.25" customHeight="1" x14ac:dyDescent="0.35">
      <c r="A930" s="28"/>
      <c r="B930" s="39"/>
      <c r="C930" s="10"/>
      <c r="D930" s="11"/>
      <c r="E930" s="10"/>
    </row>
    <row r="931" spans="1:5" ht="14.25" customHeight="1" x14ac:dyDescent="0.35">
      <c r="A931" s="28"/>
      <c r="B931" s="39"/>
      <c r="C931" s="10"/>
      <c r="D931" s="11"/>
      <c r="E931" s="10"/>
    </row>
    <row r="932" spans="1:5" ht="14.25" customHeight="1" x14ac:dyDescent="0.35">
      <c r="A932" s="28"/>
      <c r="B932" s="39"/>
      <c r="C932" s="10"/>
      <c r="D932" s="11"/>
      <c r="E932" s="10"/>
    </row>
    <row r="933" spans="1:5" ht="14.25" customHeight="1" x14ac:dyDescent="0.35">
      <c r="A933" s="28"/>
      <c r="B933" s="39"/>
      <c r="C933" s="10"/>
      <c r="D933" s="11"/>
      <c r="E933" s="10"/>
    </row>
    <row r="934" spans="1:5" ht="14.25" customHeight="1" x14ac:dyDescent="0.35">
      <c r="A934" s="28"/>
      <c r="B934" s="39"/>
      <c r="C934" s="10"/>
      <c r="D934" s="11"/>
      <c r="E934" s="10"/>
    </row>
    <row r="935" spans="1:5" ht="14.25" customHeight="1" x14ac:dyDescent="0.35">
      <c r="A935" s="28"/>
      <c r="B935" s="39"/>
      <c r="C935" s="10"/>
      <c r="D935" s="11"/>
      <c r="E935" s="10"/>
    </row>
    <row r="936" spans="1:5" ht="14.25" customHeight="1" x14ac:dyDescent="0.35">
      <c r="A936" s="28"/>
      <c r="B936" s="39"/>
      <c r="C936" s="10"/>
      <c r="D936" s="11"/>
      <c r="E936" s="10"/>
    </row>
    <row r="937" spans="1:5" ht="14.25" customHeight="1" x14ac:dyDescent="0.35">
      <c r="A937" s="28"/>
      <c r="B937" s="39"/>
      <c r="C937" s="10"/>
      <c r="D937" s="11"/>
      <c r="E937" s="10"/>
    </row>
    <row r="938" spans="1:5" ht="14.25" customHeight="1" x14ac:dyDescent="0.35">
      <c r="A938" s="28"/>
      <c r="B938" s="39"/>
      <c r="C938" s="10"/>
      <c r="D938" s="11"/>
      <c r="E938" s="10"/>
    </row>
    <row r="939" spans="1:5" ht="14.25" customHeight="1" x14ac:dyDescent="0.35">
      <c r="A939" s="28"/>
      <c r="B939" s="39"/>
      <c r="C939" s="10"/>
      <c r="D939" s="11"/>
      <c r="E939" s="10"/>
    </row>
    <row r="940" spans="1:5" ht="14.25" customHeight="1" x14ac:dyDescent="0.35">
      <c r="A940" s="28"/>
      <c r="B940" s="39"/>
      <c r="C940" s="10"/>
      <c r="D940" s="11"/>
      <c r="E940" s="10"/>
    </row>
    <row r="941" spans="1:5" ht="14.25" customHeight="1" x14ac:dyDescent="0.35">
      <c r="A941" s="28"/>
      <c r="B941" s="39"/>
      <c r="C941" s="10"/>
      <c r="D941" s="11"/>
      <c r="E941" s="10"/>
    </row>
    <row r="942" spans="1:5" ht="14.25" customHeight="1" x14ac:dyDescent="0.35">
      <c r="A942" s="28"/>
      <c r="B942" s="39"/>
      <c r="C942" s="10"/>
      <c r="D942" s="11"/>
      <c r="E942" s="10"/>
    </row>
    <row r="943" spans="1:5" ht="14.25" customHeight="1" x14ac:dyDescent="0.35">
      <c r="A943" s="28"/>
      <c r="B943" s="39"/>
      <c r="C943" s="10"/>
      <c r="D943" s="11"/>
      <c r="E943" s="10"/>
    </row>
    <row r="944" spans="1:5" ht="14.25" customHeight="1" x14ac:dyDescent="0.35">
      <c r="A944" s="28"/>
      <c r="B944" s="39"/>
      <c r="C944" s="10"/>
      <c r="D944" s="11"/>
      <c r="E944" s="10"/>
    </row>
    <row r="945" spans="1:5" ht="14.25" customHeight="1" x14ac:dyDescent="0.35">
      <c r="A945" s="28"/>
      <c r="B945" s="39"/>
      <c r="C945" s="10"/>
      <c r="D945" s="11"/>
      <c r="E945" s="10"/>
    </row>
    <row r="946" spans="1:5" ht="14.25" customHeight="1" x14ac:dyDescent="0.35">
      <c r="A946" s="28"/>
      <c r="B946" s="39"/>
      <c r="C946" s="10"/>
      <c r="D946" s="11"/>
      <c r="E946" s="10"/>
    </row>
    <row r="947" spans="1:5" ht="14.25" customHeight="1" x14ac:dyDescent="0.35">
      <c r="A947" s="28"/>
      <c r="B947" s="39"/>
      <c r="C947" s="10"/>
      <c r="D947" s="11"/>
      <c r="E947" s="10"/>
    </row>
    <row r="948" spans="1:5" ht="14.25" customHeight="1" x14ac:dyDescent="0.35">
      <c r="A948" s="28"/>
      <c r="B948" s="39"/>
      <c r="C948" s="10"/>
      <c r="D948" s="11"/>
      <c r="E948" s="10"/>
    </row>
    <row r="949" spans="1:5" ht="14.25" customHeight="1" x14ac:dyDescent="0.35">
      <c r="A949" s="28"/>
      <c r="B949" s="39"/>
      <c r="C949" s="10"/>
      <c r="D949" s="11"/>
      <c r="E949" s="10"/>
    </row>
    <row r="950" spans="1:5" ht="14.25" customHeight="1" x14ac:dyDescent="0.35">
      <c r="A950" s="28"/>
      <c r="B950" s="39"/>
      <c r="C950" s="10"/>
      <c r="D950" s="11"/>
      <c r="E950" s="10"/>
    </row>
    <row r="951" spans="1:5" ht="14.25" customHeight="1" x14ac:dyDescent="0.35">
      <c r="A951" s="28"/>
      <c r="B951" s="39"/>
      <c r="C951" s="10"/>
      <c r="D951" s="11"/>
      <c r="E951" s="10"/>
    </row>
    <row r="952" spans="1:5" ht="14.25" customHeight="1" x14ac:dyDescent="0.35">
      <c r="A952" s="28"/>
      <c r="B952" s="39"/>
      <c r="C952" s="10"/>
      <c r="D952" s="11"/>
      <c r="E952" s="10"/>
    </row>
    <row r="953" spans="1:5" ht="14.25" customHeight="1" x14ac:dyDescent="0.35">
      <c r="A953" s="28"/>
      <c r="B953" s="39"/>
      <c r="C953" s="10"/>
      <c r="D953" s="11"/>
      <c r="E953" s="10"/>
    </row>
    <row r="954" spans="1:5" ht="14.25" customHeight="1" x14ac:dyDescent="0.35">
      <c r="A954" s="28"/>
      <c r="B954" s="39"/>
      <c r="C954" s="10"/>
      <c r="D954" s="11"/>
      <c r="E954" s="10"/>
    </row>
    <row r="955" spans="1:5" ht="14.25" customHeight="1" x14ac:dyDescent="0.35">
      <c r="A955" s="28"/>
      <c r="B955" s="39"/>
      <c r="C955" s="10"/>
      <c r="D955" s="11"/>
      <c r="E955" s="10"/>
    </row>
    <row r="956" spans="1:5" ht="14.25" customHeight="1" x14ac:dyDescent="0.35">
      <c r="A956" s="28"/>
      <c r="B956" s="39"/>
      <c r="C956" s="10"/>
      <c r="D956" s="11"/>
      <c r="E956" s="10"/>
    </row>
    <row r="957" spans="1:5" ht="14.25" customHeight="1" x14ac:dyDescent="0.35">
      <c r="A957" s="28"/>
      <c r="B957" s="39"/>
      <c r="C957" s="10"/>
      <c r="D957" s="11"/>
      <c r="E957" s="10"/>
    </row>
    <row r="958" spans="1:5" ht="14.25" customHeight="1" x14ac:dyDescent="0.35">
      <c r="A958" s="28"/>
      <c r="B958" s="39"/>
      <c r="C958" s="10"/>
      <c r="D958" s="11"/>
      <c r="E958" s="10"/>
    </row>
    <row r="959" spans="1:5" ht="14.25" customHeight="1" x14ac:dyDescent="0.35">
      <c r="A959" s="28"/>
      <c r="B959" s="39"/>
      <c r="C959" s="10"/>
      <c r="D959" s="11"/>
      <c r="E959" s="10"/>
    </row>
    <row r="960" spans="1:5" ht="14.25" customHeight="1" x14ac:dyDescent="0.35">
      <c r="A960" s="28"/>
      <c r="B960" s="39"/>
      <c r="C960" s="10"/>
      <c r="D960" s="11"/>
      <c r="E960" s="10"/>
    </row>
    <row r="961" spans="1:5" ht="14.25" customHeight="1" x14ac:dyDescent="0.35">
      <c r="A961" s="28"/>
      <c r="B961" s="39"/>
      <c r="C961" s="10"/>
      <c r="D961" s="11"/>
      <c r="E961" s="10"/>
    </row>
    <row r="962" spans="1:5" ht="14.25" customHeight="1" x14ac:dyDescent="0.35">
      <c r="A962" s="28"/>
      <c r="B962" s="39"/>
      <c r="C962" s="10"/>
      <c r="D962" s="11"/>
      <c r="E962" s="10"/>
    </row>
    <row r="963" spans="1:5" ht="14.25" customHeight="1" x14ac:dyDescent="0.35">
      <c r="A963" s="28"/>
      <c r="B963" s="39"/>
      <c r="C963" s="10"/>
      <c r="D963" s="11"/>
      <c r="E963" s="10"/>
    </row>
    <row r="964" spans="1:5" ht="14.25" customHeight="1" x14ac:dyDescent="0.35">
      <c r="A964" s="28"/>
      <c r="B964" s="39"/>
      <c r="C964" s="10"/>
      <c r="D964" s="11"/>
      <c r="E964" s="10"/>
    </row>
    <row r="965" spans="1:5" ht="14.25" customHeight="1" x14ac:dyDescent="0.35">
      <c r="A965" s="28"/>
      <c r="B965" s="39"/>
      <c r="C965" s="10"/>
      <c r="D965" s="11"/>
      <c r="E965" s="10"/>
    </row>
    <row r="966" spans="1:5" ht="14.25" customHeight="1" x14ac:dyDescent="0.35">
      <c r="A966" s="28"/>
      <c r="B966" s="39"/>
      <c r="C966" s="10"/>
      <c r="D966" s="11"/>
      <c r="E966" s="10"/>
    </row>
    <row r="967" spans="1:5" ht="14.25" customHeight="1" x14ac:dyDescent="0.35">
      <c r="A967" s="28"/>
      <c r="B967" s="39"/>
      <c r="C967" s="10"/>
      <c r="D967" s="11"/>
      <c r="E967" s="10"/>
    </row>
    <row r="968" spans="1:5" ht="14.25" customHeight="1" x14ac:dyDescent="0.35">
      <c r="A968" s="28"/>
      <c r="B968" s="39"/>
      <c r="C968" s="10"/>
      <c r="D968" s="11"/>
      <c r="E968" s="10"/>
    </row>
    <row r="969" spans="1:5" ht="14.25" customHeight="1" x14ac:dyDescent="0.35">
      <c r="A969" s="28"/>
      <c r="B969" s="39"/>
      <c r="C969" s="10"/>
      <c r="D969" s="11"/>
      <c r="E969" s="10"/>
    </row>
    <row r="970" spans="1:5" ht="14.25" customHeight="1" x14ac:dyDescent="0.35">
      <c r="A970" s="28"/>
      <c r="B970" s="39"/>
      <c r="C970" s="10"/>
      <c r="D970" s="11"/>
      <c r="E970" s="10"/>
    </row>
    <row r="971" spans="1:5" ht="14.25" customHeight="1" x14ac:dyDescent="0.35">
      <c r="A971" s="28"/>
      <c r="B971" s="39"/>
      <c r="C971" s="10"/>
      <c r="D971" s="11"/>
      <c r="E971" s="10"/>
    </row>
    <row r="972" spans="1:5" ht="14.25" customHeight="1" x14ac:dyDescent="0.35">
      <c r="A972" s="28"/>
      <c r="B972" s="39"/>
      <c r="C972" s="10"/>
      <c r="D972" s="11"/>
      <c r="E972" s="10"/>
    </row>
    <row r="973" spans="1:5" ht="14.25" customHeight="1" x14ac:dyDescent="0.35">
      <c r="A973" s="28"/>
      <c r="B973" s="39"/>
      <c r="C973" s="10"/>
      <c r="D973" s="11"/>
      <c r="E973" s="10"/>
    </row>
    <row r="974" spans="1:5" ht="14.25" customHeight="1" x14ac:dyDescent="0.35">
      <c r="A974" s="28"/>
      <c r="B974" s="39"/>
      <c r="C974" s="10"/>
      <c r="D974" s="11"/>
      <c r="E974" s="10"/>
    </row>
    <row r="975" spans="1:5" ht="14.25" customHeight="1" x14ac:dyDescent="0.35">
      <c r="A975" s="28"/>
      <c r="B975" s="39"/>
      <c r="C975" s="10"/>
      <c r="D975" s="11"/>
      <c r="E975" s="10"/>
    </row>
    <row r="976" spans="1:5" ht="14.25" customHeight="1" x14ac:dyDescent="0.35">
      <c r="A976" s="28"/>
      <c r="B976" s="39"/>
      <c r="C976" s="10"/>
      <c r="D976" s="11"/>
      <c r="E976" s="10"/>
    </row>
    <row r="977" spans="1:5" ht="14.25" customHeight="1" x14ac:dyDescent="0.35">
      <c r="A977" s="28"/>
      <c r="B977" s="39"/>
      <c r="C977" s="10"/>
      <c r="D977" s="11"/>
      <c r="E977" s="10"/>
    </row>
    <row r="978" spans="1:5" ht="14.25" customHeight="1" x14ac:dyDescent="0.35">
      <c r="A978" s="28"/>
      <c r="B978" s="39"/>
      <c r="C978" s="10"/>
      <c r="D978" s="11"/>
      <c r="E978" s="10"/>
    </row>
    <row r="979" spans="1:5" ht="14.25" customHeight="1" x14ac:dyDescent="0.35">
      <c r="A979" s="28"/>
      <c r="B979" s="39"/>
      <c r="C979" s="10"/>
      <c r="D979" s="11"/>
      <c r="E979" s="10"/>
    </row>
    <row r="980" spans="1:5" ht="14.25" customHeight="1" x14ac:dyDescent="0.35">
      <c r="A980" s="28"/>
      <c r="B980" s="39"/>
      <c r="C980" s="10"/>
      <c r="D980" s="11"/>
      <c r="E980" s="10"/>
    </row>
    <row r="981" spans="1:5" ht="14.25" customHeight="1" x14ac:dyDescent="0.35">
      <c r="A981" s="28"/>
      <c r="B981" s="39"/>
      <c r="C981" s="10"/>
      <c r="D981" s="11"/>
      <c r="E981" s="10"/>
    </row>
    <row r="982" spans="1:5" ht="14.25" customHeight="1" x14ac:dyDescent="0.35">
      <c r="A982" s="28"/>
      <c r="B982" s="39"/>
      <c r="C982" s="10"/>
      <c r="D982" s="11"/>
      <c r="E982" s="10"/>
    </row>
    <row r="983" spans="1:5" ht="14.25" customHeight="1" x14ac:dyDescent="0.35">
      <c r="A983" s="28"/>
      <c r="B983" s="39"/>
      <c r="C983" s="10"/>
      <c r="D983" s="11"/>
      <c r="E983" s="10"/>
    </row>
    <row r="984" spans="1:5" ht="14.25" customHeight="1" x14ac:dyDescent="0.35">
      <c r="A984" s="28"/>
      <c r="B984" s="39"/>
      <c r="C984" s="10"/>
      <c r="D984" s="11"/>
      <c r="E984" s="10"/>
    </row>
    <row r="985" spans="1:5" ht="14.25" customHeight="1" x14ac:dyDescent="0.35">
      <c r="A985" s="28"/>
      <c r="B985" s="39"/>
      <c r="C985" s="10"/>
      <c r="D985" s="11"/>
      <c r="E985" s="10"/>
    </row>
    <row r="986" spans="1:5" ht="14.25" customHeight="1" x14ac:dyDescent="0.35">
      <c r="A986" s="28"/>
      <c r="B986" s="39"/>
      <c r="C986" s="10"/>
      <c r="D986" s="11"/>
      <c r="E986" s="10"/>
    </row>
    <row r="987" spans="1:5" ht="14.25" customHeight="1" x14ac:dyDescent="0.35">
      <c r="A987" s="28"/>
      <c r="B987" s="39"/>
      <c r="C987" s="10"/>
      <c r="D987" s="11"/>
      <c r="E987" s="10"/>
    </row>
    <row r="988" spans="1:5" ht="14.25" customHeight="1" x14ac:dyDescent="0.35">
      <c r="A988" s="28"/>
      <c r="B988" s="39"/>
      <c r="C988" s="10"/>
      <c r="D988" s="11"/>
      <c r="E988" s="10"/>
    </row>
    <row r="989" spans="1:5" ht="14.25" customHeight="1" x14ac:dyDescent="0.35">
      <c r="A989" s="28"/>
      <c r="B989" s="39"/>
      <c r="C989" s="10"/>
      <c r="D989" s="11"/>
      <c r="E989" s="10"/>
    </row>
    <row r="990" spans="1:5" ht="14.25" customHeight="1" x14ac:dyDescent="0.35">
      <c r="A990" s="28"/>
      <c r="B990" s="39"/>
      <c r="C990" s="10"/>
      <c r="D990" s="11"/>
      <c r="E990" s="10"/>
    </row>
    <row r="991" spans="1:5" ht="14.25" customHeight="1" x14ac:dyDescent="0.35">
      <c r="A991" s="28"/>
      <c r="B991" s="39"/>
      <c r="C991" s="10"/>
      <c r="D991" s="11"/>
      <c r="E991" s="10"/>
    </row>
    <row r="992" spans="1:5" ht="14.25" customHeight="1" x14ac:dyDescent="0.35">
      <c r="A992" s="28"/>
      <c r="B992" s="39"/>
      <c r="C992" s="10"/>
      <c r="D992" s="11"/>
      <c r="E992" s="10"/>
    </row>
    <row r="993" spans="1:5" ht="14.25" customHeight="1" x14ac:dyDescent="0.35">
      <c r="A993" s="28"/>
      <c r="B993" s="39"/>
      <c r="C993" s="10"/>
      <c r="D993" s="11"/>
      <c r="E993" s="10"/>
    </row>
    <row r="994" spans="1:5" ht="14.25" customHeight="1" x14ac:dyDescent="0.35">
      <c r="A994" s="28"/>
      <c r="B994" s="39"/>
      <c r="C994" s="10"/>
      <c r="D994" s="11"/>
      <c r="E994" s="10"/>
    </row>
    <row r="995" spans="1:5" ht="14.25" customHeight="1" x14ac:dyDescent="0.35">
      <c r="A995" s="28"/>
      <c r="B995" s="39"/>
      <c r="C995" s="10"/>
      <c r="D995" s="11"/>
      <c r="E995" s="10"/>
    </row>
    <row r="996" spans="1:5" ht="14.25" customHeight="1" x14ac:dyDescent="0.35">
      <c r="A996" s="28"/>
      <c r="B996" s="39"/>
      <c r="D996" s="11"/>
      <c r="E996" s="10"/>
    </row>
    <row r="997" spans="1:5" ht="14.25" customHeight="1" x14ac:dyDescent="0.35">
      <c r="A997" s="28"/>
      <c r="B997" s="39"/>
      <c r="D997" s="11"/>
      <c r="E997" s="10"/>
    </row>
    <row r="998" spans="1:5" ht="14.25" customHeight="1" x14ac:dyDescent="0.35">
      <c r="B998" s="39"/>
      <c r="D998" s="11"/>
      <c r="E998" s="10"/>
    </row>
    <row r="999" spans="1:5" ht="14.25" customHeight="1" x14ac:dyDescent="0.35">
      <c r="B999" s="39"/>
      <c r="D999" s="11"/>
    </row>
    <row r="1000" spans="1:5" ht="14.25" customHeight="1" x14ac:dyDescent="0.35">
      <c r="B1000" s="39"/>
      <c r="D1000" s="11"/>
    </row>
    <row r="1001" spans="1:5" ht="14.25" customHeight="1" x14ac:dyDescent="0.35">
      <c r="B1001" s="3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5A8C-BD70-4F05-AB25-3D1A584D826C}">
  <dimension ref="A1:S97"/>
  <sheetViews>
    <sheetView tabSelected="1" workbookViewId="0">
      <selection sqref="A1:E97"/>
    </sheetView>
  </sheetViews>
  <sheetFormatPr baseColWidth="10" defaultRowHeight="14.5" x14ac:dyDescent="0.35"/>
  <cols>
    <col min="1" max="1" width="8.54296875" bestFit="1" customWidth="1"/>
    <col min="2" max="2" width="10.81640625" bestFit="1" customWidth="1"/>
    <col min="3" max="3" width="11.08984375" customWidth="1"/>
    <col min="4" max="4" width="6.54296875" style="57" bestFit="1" customWidth="1"/>
    <col min="5" max="5" width="9.08984375" style="57" bestFit="1" customWidth="1"/>
    <col min="6" max="6" width="5.26953125" bestFit="1" customWidth="1"/>
    <col min="7" max="7" width="4.26953125" bestFit="1" customWidth="1"/>
    <col min="8" max="8" width="5.26953125" bestFit="1" customWidth="1"/>
    <col min="9" max="9" width="6.26953125" bestFit="1" customWidth="1"/>
    <col min="10" max="10" width="4.90625" bestFit="1" customWidth="1"/>
    <col min="11" max="11" width="6.26953125" bestFit="1" customWidth="1"/>
    <col min="12" max="12" width="5.7265625" bestFit="1" customWidth="1"/>
    <col min="13" max="14" width="6.453125" bestFit="1" customWidth="1"/>
    <col min="15" max="15" width="13.453125" bestFit="1" customWidth="1"/>
    <col min="16" max="16" width="6.90625" bestFit="1" customWidth="1"/>
    <col min="17" max="17" width="7.6328125" bestFit="1" customWidth="1"/>
    <col min="18" max="18" width="6.81640625" bestFit="1" customWidth="1"/>
    <col min="19" max="19" width="5.6328125" bestFit="1" customWidth="1"/>
  </cols>
  <sheetData>
    <row r="1" spans="1:19" ht="15" thickBot="1" x14ac:dyDescent="0.4">
      <c r="A1" s="106" t="s">
        <v>160</v>
      </c>
      <c r="B1" s="107" t="s">
        <v>159</v>
      </c>
      <c r="C1" s="107" t="s">
        <v>258</v>
      </c>
      <c r="D1" s="108" t="s">
        <v>161</v>
      </c>
      <c r="E1" s="176" t="s">
        <v>209</v>
      </c>
      <c r="F1" s="175" t="s">
        <v>263</v>
      </c>
      <c r="G1" s="175" t="s">
        <v>264</v>
      </c>
      <c r="H1" s="175" t="s">
        <v>86</v>
      </c>
      <c r="I1" s="108" t="s">
        <v>265</v>
      </c>
      <c r="J1" s="108" t="s">
        <v>207</v>
      </c>
      <c r="K1" s="175" t="s">
        <v>210</v>
      </c>
      <c r="L1" s="175" t="s">
        <v>211</v>
      </c>
      <c r="M1" s="175" t="s">
        <v>266</v>
      </c>
      <c r="N1" s="175" t="s">
        <v>267</v>
      </c>
      <c r="O1" s="175" t="s">
        <v>268</v>
      </c>
      <c r="P1" s="175" t="s">
        <v>269</v>
      </c>
      <c r="Q1" s="107" t="s">
        <v>270</v>
      </c>
      <c r="R1" s="107" t="s">
        <v>271</v>
      </c>
      <c r="S1" s="176" t="s">
        <v>262</v>
      </c>
    </row>
    <row r="2" spans="1:19" x14ac:dyDescent="0.35">
      <c r="A2" s="41" t="s">
        <v>156</v>
      </c>
      <c r="B2" s="165" t="s">
        <v>154</v>
      </c>
      <c r="C2" s="165" t="s">
        <v>259</v>
      </c>
      <c r="D2" s="168" t="s">
        <v>162</v>
      </c>
      <c r="E2" s="177" t="s">
        <v>199</v>
      </c>
      <c r="F2" s="169">
        <v>10.31201461010852</v>
      </c>
      <c r="G2" s="169">
        <v>0.23109150846632459</v>
      </c>
      <c r="H2" s="169">
        <v>5.6901141137310702</v>
      </c>
      <c r="I2" s="169">
        <v>375.93319702148438</v>
      </c>
      <c r="J2" s="169">
        <v>2.4475723612152898</v>
      </c>
      <c r="K2" s="169">
        <f>F2/G2</f>
        <v>44.623078877046751</v>
      </c>
      <c r="L2" s="169">
        <f>F2/H2</f>
        <v>1.8122685070979743</v>
      </c>
      <c r="M2" s="168">
        <v>-0.13100000000000001</v>
      </c>
      <c r="N2" s="168">
        <v>-0.52200000000000002</v>
      </c>
      <c r="O2" s="168">
        <f>M2-N2</f>
        <v>0.39100000000000001</v>
      </c>
      <c r="P2" s="169">
        <f>(H2/O2)</f>
        <v>14.552721518493785</v>
      </c>
      <c r="Q2" s="173">
        <f>O2+P2</f>
        <v>14.943721518493785</v>
      </c>
      <c r="R2" s="173">
        <v>171.21</v>
      </c>
      <c r="S2" s="82">
        <f>Q2/R2</f>
        <v>8.7282994676092421E-2</v>
      </c>
    </row>
    <row r="3" spans="1:19" x14ac:dyDescent="0.35">
      <c r="A3" s="41" t="s">
        <v>157</v>
      </c>
      <c r="B3" s="165" t="s">
        <v>155</v>
      </c>
      <c r="C3" s="165" t="s">
        <v>259</v>
      </c>
      <c r="D3" s="168" t="s">
        <v>162</v>
      </c>
      <c r="E3" s="177" t="s">
        <v>199</v>
      </c>
      <c r="F3" s="169">
        <v>10.13119068942069</v>
      </c>
      <c r="G3" s="169">
        <v>0.19367052349429048</v>
      </c>
      <c r="H3" s="169">
        <v>4.9629625999122506</v>
      </c>
      <c r="I3" s="169">
        <v>513.39324951171875</v>
      </c>
      <c r="J3" s="169">
        <v>2.5344899397523868</v>
      </c>
      <c r="K3" s="169">
        <f t="shared" ref="K3:K66" si="0">F3/G3</f>
        <v>52.311474697487263</v>
      </c>
      <c r="L3" s="169">
        <f t="shared" ref="L3:L66" si="1">F3/H3</f>
        <v>2.041359467347148</v>
      </c>
      <c r="M3" s="168">
        <v>-0.216</v>
      </c>
      <c r="N3" s="168">
        <v>-0.58799999999999997</v>
      </c>
      <c r="O3" s="168">
        <f t="shared" ref="O3:O66" si="2">M3-N3</f>
        <v>0.372</v>
      </c>
      <c r="P3" s="169">
        <f t="shared" ref="P3:P66" si="3">(H3/O3)</f>
        <v>13.341297311592072</v>
      </c>
      <c r="Q3" s="173">
        <f t="shared" ref="Q3:Q25" si="4">O3+P3</f>
        <v>13.713297311592072</v>
      </c>
      <c r="R3" s="173">
        <v>206.8</v>
      </c>
      <c r="S3" s="82">
        <f t="shared" ref="S3:S25" si="5">Q3/R3</f>
        <v>6.6311882551218906E-2</v>
      </c>
    </row>
    <row r="4" spans="1:19" x14ac:dyDescent="0.35">
      <c r="A4" s="41" t="s">
        <v>156</v>
      </c>
      <c r="B4" s="165" t="s">
        <v>154</v>
      </c>
      <c r="C4" s="165" t="s">
        <v>259</v>
      </c>
      <c r="D4" s="168" t="s">
        <v>163</v>
      </c>
      <c r="E4" s="177" t="s">
        <v>199</v>
      </c>
      <c r="F4" s="169">
        <v>12.945201831384543</v>
      </c>
      <c r="G4" s="169">
        <v>0.23122241368688048</v>
      </c>
      <c r="H4" s="169">
        <v>5.9196817765065033</v>
      </c>
      <c r="I4" s="169">
        <v>467.02981567382813</v>
      </c>
      <c r="J4" s="169">
        <v>2.5404750274229984</v>
      </c>
      <c r="K4" s="169">
        <f t="shared" si="0"/>
        <v>55.985929845515884</v>
      </c>
      <c r="L4" s="169">
        <f t="shared" si="1"/>
        <v>2.1868070481018567</v>
      </c>
      <c r="M4" s="168">
        <v>-0.192</v>
      </c>
      <c r="N4" s="168">
        <v>-0.57799999999999996</v>
      </c>
      <c r="O4" s="168">
        <f t="shared" si="2"/>
        <v>0.38599999999999995</v>
      </c>
      <c r="P4" s="169">
        <f t="shared" si="3"/>
        <v>15.335963151571255</v>
      </c>
      <c r="Q4" s="173">
        <f t="shared" si="4"/>
        <v>15.721963151571254</v>
      </c>
      <c r="R4" s="173">
        <v>213.45</v>
      </c>
      <c r="S4" s="82">
        <f t="shared" si="5"/>
        <v>7.365642141752754E-2</v>
      </c>
    </row>
    <row r="5" spans="1:19" x14ac:dyDescent="0.35">
      <c r="A5" s="41" t="s">
        <v>157</v>
      </c>
      <c r="B5" s="165" t="s">
        <v>155</v>
      </c>
      <c r="C5" s="165" t="s">
        <v>259</v>
      </c>
      <c r="D5" s="168" t="s">
        <v>163</v>
      </c>
      <c r="E5" s="177" t="s">
        <v>199</v>
      </c>
      <c r="F5" s="169">
        <v>10.479177433967324</v>
      </c>
      <c r="G5" s="169">
        <v>0.20842426328082861</v>
      </c>
      <c r="H5" s="169">
        <v>5.4349838715058727</v>
      </c>
      <c r="I5" s="169">
        <v>471.80172729492188</v>
      </c>
      <c r="J5" s="169">
        <v>2.5808455275783206</v>
      </c>
      <c r="K5" s="169">
        <f t="shared" si="0"/>
        <v>50.278107111971863</v>
      </c>
      <c r="L5" s="169">
        <f t="shared" si="1"/>
        <v>1.9280972458642927</v>
      </c>
      <c r="M5" s="168">
        <v>-0.27600000000000002</v>
      </c>
      <c r="N5" s="168">
        <v>-0.623</v>
      </c>
      <c r="O5" s="168">
        <f t="shared" si="2"/>
        <v>0.34699999999999998</v>
      </c>
      <c r="P5" s="169">
        <f t="shared" si="3"/>
        <v>15.662777727682631</v>
      </c>
      <c r="Q5" s="173">
        <f t="shared" si="4"/>
        <v>16.009777727682632</v>
      </c>
      <c r="R5" s="173">
        <v>141.63</v>
      </c>
      <c r="S5" s="82">
        <f t="shared" si="5"/>
        <v>0.11303945299500552</v>
      </c>
    </row>
    <row r="6" spans="1:19" x14ac:dyDescent="0.35">
      <c r="A6" s="41" t="s">
        <v>156</v>
      </c>
      <c r="B6" s="165" t="s">
        <v>154</v>
      </c>
      <c r="C6" s="165" t="s">
        <v>259</v>
      </c>
      <c r="D6" s="168" t="s">
        <v>164</v>
      </c>
      <c r="E6" s="177" t="s">
        <v>199</v>
      </c>
      <c r="F6" s="169">
        <v>13.818123860157671</v>
      </c>
      <c r="G6" s="169">
        <v>0.22464999526834212</v>
      </c>
      <c r="H6" s="169">
        <v>5.8260336116981675</v>
      </c>
      <c r="I6" s="169">
        <v>380.37515258789063</v>
      </c>
      <c r="J6" s="169">
        <v>2.5700915900746137</v>
      </c>
      <c r="K6" s="169">
        <f t="shared" si="0"/>
        <v>61.509566664588903</v>
      </c>
      <c r="L6" s="169">
        <f t="shared" si="1"/>
        <v>2.3717892448152176</v>
      </c>
      <c r="M6" s="168">
        <v>-0.20300000000000001</v>
      </c>
      <c r="N6" s="168">
        <v>-0.65800000000000003</v>
      </c>
      <c r="O6" s="168">
        <f t="shared" si="2"/>
        <v>0.45500000000000002</v>
      </c>
      <c r="P6" s="169">
        <f t="shared" si="3"/>
        <v>12.804469476259708</v>
      </c>
      <c r="Q6" s="173">
        <f t="shared" si="4"/>
        <v>13.259469476259708</v>
      </c>
      <c r="R6" s="173">
        <v>156.35</v>
      </c>
      <c r="S6" s="82">
        <f t="shared" si="5"/>
        <v>8.4806328597759564E-2</v>
      </c>
    </row>
    <row r="7" spans="1:19" x14ac:dyDescent="0.35">
      <c r="A7" s="41" t="s">
        <v>157</v>
      </c>
      <c r="B7" s="165" t="s">
        <v>155</v>
      </c>
      <c r="C7" s="165" t="s">
        <v>259</v>
      </c>
      <c r="D7" s="168" t="s">
        <v>164</v>
      </c>
      <c r="E7" s="177" t="s">
        <v>199</v>
      </c>
      <c r="F7" s="169">
        <v>12.62953006824875</v>
      </c>
      <c r="G7" s="169">
        <v>0.25055602103789787</v>
      </c>
      <c r="H7" s="169">
        <v>6.6523522544636737</v>
      </c>
      <c r="I7" s="169">
        <v>643.76239013671875</v>
      </c>
      <c r="J7" s="169">
        <v>2.6360140018508842</v>
      </c>
      <c r="K7" s="169">
        <f t="shared" si="0"/>
        <v>50.406013058207328</v>
      </c>
      <c r="L7" s="169">
        <f t="shared" si="1"/>
        <v>1.8985059096614192</v>
      </c>
      <c r="M7" s="168">
        <v>-0.45800000000000002</v>
      </c>
      <c r="N7" s="168">
        <v>-0.64800000000000002</v>
      </c>
      <c r="O7" s="168">
        <f t="shared" si="2"/>
        <v>0.19</v>
      </c>
      <c r="P7" s="169">
        <f t="shared" si="3"/>
        <v>35.012380286650917</v>
      </c>
      <c r="Q7" s="173">
        <f t="shared" si="4"/>
        <v>35.202380286650914</v>
      </c>
      <c r="R7" s="173">
        <v>126.13</v>
      </c>
      <c r="S7" s="82">
        <f t="shared" si="5"/>
        <v>0.27909601432372089</v>
      </c>
    </row>
    <row r="8" spans="1:19" x14ac:dyDescent="0.35">
      <c r="A8" s="41" t="s">
        <v>156</v>
      </c>
      <c r="B8" s="165" t="s">
        <v>154</v>
      </c>
      <c r="C8" s="165" t="s">
        <v>259</v>
      </c>
      <c r="D8" s="168" t="s">
        <v>165</v>
      </c>
      <c r="E8" s="177" t="s">
        <v>199</v>
      </c>
      <c r="F8" s="169">
        <v>13.469134965489177</v>
      </c>
      <c r="G8" s="169">
        <v>0.28814006234195555</v>
      </c>
      <c r="H8" s="169">
        <v>7.4413697866996147</v>
      </c>
      <c r="I8" s="169">
        <v>351.99539184570313</v>
      </c>
      <c r="J8" s="169">
        <v>2.5735135602659827</v>
      </c>
      <c r="K8" s="169">
        <f t="shared" si="0"/>
        <v>46.74509631189165</v>
      </c>
      <c r="L8" s="169">
        <f t="shared" si="1"/>
        <v>1.8100343554439844</v>
      </c>
      <c r="M8" s="168">
        <v>-0.27300000000000002</v>
      </c>
      <c r="N8" s="168">
        <v>-0.64500000000000002</v>
      </c>
      <c r="O8" s="168">
        <f t="shared" si="2"/>
        <v>0.372</v>
      </c>
      <c r="P8" s="169">
        <f t="shared" si="3"/>
        <v>20.003682222310793</v>
      </c>
      <c r="Q8" s="173">
        <f t="shared" si="4"/>
        <v>20.375682222310793</v>
      </c>
      <c r="R8" s="173">
        <v>147.27000000000001</v>
      </c>
      <c r="S8" s="82">
        <f t="shared" si="5"/>
        <v>0.13835595995322056</v>
      </c>
    </row>
    <row r="9" spans="1:19" x14ac:dyDescent="0.35">
      <c r="A9" s="41" t="s">
        <v>157</v>
      </c>
      <c r="B9" s="165" t="s">
        <v>155</v>
      </c>
      <c r="C9" s="165" t="s">
        <v>259</v>
      </c>
      <c r="D9" s="168" t="s">
        <v>165</v>
      </c>
      <c r="E9" s="177" t="s">
        <v>199</v>
      </c>
      <c r="F9" s="169">
        <v>14.416817407891097</v>
      </c>
      <c r="G9" s="169">
        <v>0.2747109763993737</v>
      </c>
      <c r="H9" s="169">
        <v>7.2609340356086243</v>
      </c>
      <c r="I9" s="169">
        <v>493.25323486328125</v>
      </c>
      <c r="J9" s="169">
        <v>2.6294821325368405</v>
      </c>
      <c r="K9" s="169">
        <f t="shared" si="0"/>
        <v>52.479946731112726</v>
      </c>
      <c r="L9" s="169">
        <f t="shared" si="1"/>
        <v>1.9855320730348232</v>
      </c>
      <c r="M9" s="168">
        <v>-0.28599999999999998</v>
      </c>
      <c r="N9" s="168">
        <v>-0.84099999999999997</v>
      </c>
      <c r="O9" s="168">
        <f t="shared" si="2"/>
        <v>0.55499999999999994</v>
      </c>
      <c r="P9" s="169">
        <f t="shared" si="3"/>
        <v>13.082764028123648</v>
      </c>
      <c r="Q9" s="173">
        <f t="shared" si="4"/>
        <v>13.637764028123648</v>
      </c>
      <c r="R9" s="173">
        <v>125.83</v>
      </c>
      <c r="S9" s="82">
        <f t="shared" si="5"/>
        <v>0.10838245273880354</v>
      </c>
    </row>
    <row r="10" spans="1:19" x14ac:dyDescent="0.35">
      <c r="A10" s="41" t="s">
        <v>156</v>
      </c>
      <c r="B10" s="165" t="s">
        <v>154</v>
      </c>
      <c r="C10" s="165" t="s">
        <v>259</v>
      </c>
      <c r="D10" s="168" t="s">
        <v>166</v>
      </c>
      <c r="E10" s="177" t="s">
        <v>199</v>
      </c>
      <c r="F10" s="169">
        <v>23.091252144698935</v>
      </c>
      <c r="G10" s="169">
        <v>0.28352937684895935</v>
      </c>
      <c r="H10" s="169">
        <v>8.0637182205376572</v>
      </c>
      <c r="I10" s="169">
        <v>414.07333374023438</v>
      </c>
      <c r="J10" s="169">
        <v>2.8279698805662812</v>
      </c>
      <c r="K10" s="169">
        <f t="shared" si="0"/>
        <v>81.442185643429866</v>
      </c>
      <c r="L10" s="169">
        <f t="shared" si="1"/>
        <v>2.8635985922582621</v>
      </c>
      <c r="M10" s="168">
        <v>-0.23300000000000001</v>
      </c>
      <c r="N10" s="168">
        <v>-0.70399999999999996</v>
      </c>
      <c r="O10" s="168">
        <f t="shared" si="2"/>
        <v>0.47099999999999997</v>
      </c>
      <c r="P10" s="169">
        <f t="shared" si="3"/>
        <v>17.120420850398425</v>
      </c>
      <c r="Q10" s="173">
        <f t="shared" si="4"/>
        <v>17.591420850398425</v>
      </c>
      <c r="R10" s="173">
        <v>209.3</v>
      </c>
      <c r="S10" s="82">
        <f t="shared" si="5"/>
        <v>8.404883349449796E-2</v>
      </c>
    </row>
    <row r="11" spans="1:19" x14ac:dyDescent="0.35">
      <c r="A11" s="41" t="s">
        <v>157</v>
      </c>
      <c r="B11" s="165" t="s">
        <v>155</v>
      </c>
      <c r="C11" s="165" t="s">
        <v>259</v>
      </c>
      <c r="D11" s="168" t="s">
        <v>166</v>
      </c>
      <c r="E11" s="177" t="s">
        <v>199</v>
      </c>
      <c r="F11" s="169">
        <v>11.864976560781818</v>
      </c>
      <c r="G11" s="169">
        <v>0.2080225352762517</v>
      </c>
      <c r="H11" s="169">
        <v>5.6859934576954858</v>
      </c>
      <c r="I11" s="169">
        <v>554.99029541015625</v>
      </c>
      <c r="J11" s="169">
        <v>2.700768039778747</v>
      </c>
      <c r="K11" s="169">
        <f t="shared" si="0"/>
        <v>57.036977003598459</v>
      </c>
      <c r="L11" s="169">
        <f t="shared" si="1"/>
        <v>2.0867024644081553</v>
      </c>
      <c r="M11" s="168">
        <v>-0.41799999999999998</v>
      </c>
      <c r="N11" s="168">
        <v>-0.82</v>
      </c>
      <c r="O11" s="168">
        <f t="shared" si="2"/>
        <v>0.40199999999999997</v>
      </c>
      <c r="P11" s="169">
        <f t="shared" si="3"/>
        <v>14.144262332575837</v>
      </c>
      <c r="Q11" s="173">
        <f t="shared" si="4"/>
        <v>14.546262332575836</v>
      </c>
      <c r="R11" s="173">
        <v>171.36</v>
      </c>
      <c r="S11" s="82">
        <f t="shared" si="5"/>
        <v>8.4887151800746005E-2</v>
      </c>
    </row>
    <row r="12" spans="1:19" x14ac:dyDescent="0.35">
      <c r="A12" s="41" t="s">
        <v>156</v>
      </c>
      <c r="B12" s="165" t="s">
        <v>154</v>
      </c>
      <c r="C12" s="165" t="s">
        <v>259</v>
      </c>
      <c r="D12" s="168" t="s">
        <v>167</v>
      </c>
      <c r="E12" s="177" t="s">
        <v>199</v>
      </c>
      <c r="F12" s="169">
        <v>13.887079238566963</v>
      </c>
      <c r="G12" s="169">
        <v>0.24400468767389494</v>
      </c>
      <c r="H12" s="169">
        <v>6.4491830175292115</v>
      </c>
      <c r="I12" s="169">
        <v>435.31939697265625</v>
      </c>
      <c r="J12" s="169">
        <v>2.6203325210153667</v>
      </c>
      <c r="K12" s="169">
        <f t="shared" si="0"/>
        <v>56.913165771334015</v>
      </c>
      <c r="L12" s="169">
        <f t="shared" si="1"/>
        <v>2.1533082873941036</v>
      </c>
      <c r="M12" s="168">
        <v>-0.245</v>
      </c>
      <c r="N12" s="168">
        <v>-0.82699999999999996</v>
      </c>
      <c r="O12" s="168">
        <f t="shared" si="2"/>
        <v>0.58199999999999996</v>
      </c>
      <c r="P12" s="169">
        <f t="shared" si="3"/>
        <v>11.081070476854316</v>
      </c>
      <c r="Q12" s="173">
        <f t="shared" si="4"/>
        <v>11.663070476854317</v>
      </c>
      <c r="R12" s="173">
        <v>125.28</v>
      </c>
      <c r="S12" s="82">
        <f t="shared" si="5"/>
        <v>9.3096028710522971E-2</v>
      </c>
    </row>
    <row r="13" spans="1:19" x14ac:dyDescent="0.35">
      <c r="A13" s="41" t="s">
        <v>157</v>
      </c>
      <c r="B13" s="165" t="s">
        <v>155</v>
      </c>
      <c r="C13" s="165" t="s">
        <v>259</v>
      </c>
      <c r="D13" s="168" t="s">
        <v>167</v>
      </c>
      <c r="E13" s="177" t="s">
        <v>199</v>
      </c>
      <c r="F13" s="169">
        <v>18.29800066245884</v>
      </c>
      <c r="G13" s="169">
        <v>0.31362494144230146</v>
      </c>
      <c r="H13" s="169">
        <v>8.186805432056623</v>
      </c>
      <c r="I13" s="169">
        <v>439.33651733398438</v>
      </c>
      <c r="J13" s="169">
        <v>2.6036148934532592</v>
      </c>
      <c r="K13" s="169">
        <f t="shared" si="0"/>
        <v>58.343576178316091</v>
      </c>
      <c r="L13" s="169">
        <f t="shared" si="1"/>
        <v>2.2350599161438924</v>
      </c>
      <c r="M13" s="168">
        <v>-0.42799999999999999</v>
      </c>
      <c r="N13" s="168">
        <v>-0.77600000000000002</v>
      </c>
      <c r="O13" s="168">
        <f t="shared" si="2"/>
        <v>0.34800000000000003</v>
      </c>
      <c r="P13" s="169">
        <f t="shared" si="3"/>
        <v>23.525302965679948</v>
      </c>
      <c r="Q13" s="173">
        <f t="shared" si="4"/>
        <v>23.873302965679947</v>
      </c>
      <c r="R13" s="173">
        <v>128.13</v>
      </c>
      <c r="S13" s="82">
        <f t="shared" si="5"/>
        <v>0.18632094720736711</v>
      </c>
    </row>
    <row r="14" spans="1:19" x14ac:dyDescent="0.35">
      <c r="A14" s="41" t="s">
        <v>156</v>
      </c>
      <c r="B14" s="165" t="s">
        <v>154</v>
      </c>
      <c r="C14" s="165" t="s">
        <v>260</v>
      </c>
      <c r="D14" s="168" t="s">
        <v>168</v>
      </c>
      <c r="E14" s="177" t="s">
        <v>199</v>
      </c>
      <c r="F14" s="169">
        <v>15.422181672541766</v>
      </c>
      <c r="G14" s="169">
        <v>0.27241129200257924</v>
      </c>
      <c r="H14" s="169">
        <v>7.6995939942369089</v>
      </c>
      <c r="I14" s="169">
        <v>449.91290283203125</v>
      </c>
      <c r="J14" s="169">
        <v>2.803929969614503</v>
      </c>
      <c r="K14" s="169">
        <f t="shared" si="0"/>
        <v>56.613591746394071</v>
      </c>
      <c r="L14" s="169">
        <f t="shared" si="1"/>
        <v>2.0029863502004339</v>
      </c>
      <c r="M14" s="168">
        <v>-0.23599999999999999</v>
      </c>
      <c r="N14" s="168">
        <v>-0.499</v>
      </c>
      <c r="O14" s="168">
        <f t="shared" si="2"/>
        <v>0.26300000000000001</v>
      </c>
      <c r="P14" s="169">
        <f t="shared" si="3"/>
        <v>29.276022791775318</v>
      </c>
      <c r="Q14" s="173">
        <f t="shared" si="4"/>
        <v>29.53902279177532</v>
      </c>
      <c r="R14" s="173">
        <v>67.67</v>
      </c>
      <c r="S14" s="82">
        <f t="shared" si="5"/>
        <v>0.43651577939670932</v>
      </c>
    </row>
    <row r="15" spans="1:19" x14ac:dyDescent="0.35">
      <c r="A15" s="41" t="s">
        <v>157</v>
      </c>
      <c r="B15" s="165" t="s">
        <v>155</v>
      </c>
      <c r="C15" s="165" t="s">
        <v>260</v>
      </c>
      <c r="D15" s="168" t="s">
        <v>168</v>
      </c>
      <c r="E15" s="177" t="s">
        <v>199</v>
      </c>
      <c r="F15" s="169">
        <v>21.51386056557585</v>
      </c>
      <c r="G15" s="169">
        <v>0.29468219502610643</v>
      </c>
      <c r="H15" s="169">
        <v>8.0387634120633074</v>
      </c>
      <c r="I15" s="169">
        <v>433.87222290039063</v>
      </c>
      <c r="J15" s="169">
        <v>2.7133856814533441</v>
      </c>
      <c r="K15" s="169">
        <f t="shared" si="0"/>
        <v>73.006991697173618</v>
      </c>
      <c r="L15" s="169">
        <f t="shared" si="1"/>
        <v>2.6762649256838738</v>
      </c>
      <c r="M15" s="168">
        <v>-0.29099999999999998</v>
      </c>
      <c r="N15" s="168">
        <v>-0.74299999999999999</v>
      </c>
      <c r="O15" s="168">
        <f t="shared" si="2"/>
        <v>0.45200000000000001</v>
      </c>
      <c r="P15" s="169">
        <f t="shared" si="3"/>
        <v>17.784874805449796</v>
      </c>
      <c r="Q15" s="173">
        <f t="shared" si="4"/>
        <v>18.236874805449798</v>
      </c>
      <c r="R15" s="173">
        <v>77.69</v>
      </c>
      <c r="S15" s="82">
        <f t="shared" si="5"/>
        <v>0.23473902439760327</v>
      </c>
    </row>
    <row r="16" spans="1:19" x14ac:dyDescent="0.35">
      <c r="A16" s="41" t="s">
        <v>156</v>
      </c>
      <c r="B16" s="165" t="s">
        <v>154</v>
      </c>
      <c r="C16" s="165" t="s">
        <v>260</v>
      </c>
      <c r="D16" s="168" t="s">
        <v>169</v>
      </c>
      <c r="E16" s="177" t="s">
        <v>199</v>
      </c>
      <c r="F16" s="169">
        <v>22.458415235990312</v>
      </c>
      <c r="G16" s="169">
        <v>0.30812488329370413</v>
      </c>
      <c r="H16" s="169">
        <v>8.5292153206194161</v>
      </c>
      <c r="I16" s="169">
        <v>419.87966918945313</v>
      </c>
      <c r="J16" s="169">
        <v>2.7558273236851245</v>
      </c>
      <c r="K16" s="169">
        <f t="shared" si="0"/>
        <v>72.887379285700163</v>
      </c>
      <c r="L16" s="169">
        <f t="shared" si="1"/>
        <v>2.6331162236808576</v>
      </c>
      <c r="M16" s="168">
        <v>-0.20499999999999999</v>
      </c>
      <c r="N16" s="168">
        <v>-0.53800000000000003</v>
      </c>
      <c r="O16" s="168">
        <f t="shared" si="2"/>
        <v>0.33300000000000007</v>
      </c>
      <c r="P16" s="169">
        <f>(H16/O16)</f>
        <v>25.613259221079321</v>
      </c>
      <c r="Q16" s="173">
        <f t="shared" si="4"/>
        <v>25.94625922107932</v>
      </c>
      <c r="R16" s="173">
        <v>90.91</v>
      </c>
      <c r="S16" s="82">
        <f t="shared" si="5"/>
        <v>0.28540599737189881</v>
      </c>
    </row>
    <row r="17" spans="1:19" x14ac:dyDescent="0.35">
      <c r="A17" s="41" t="s">
        <v>157</v>
      </c>
      <c r="B17" s="165" t="s">
        <v>155</v>
      </c>
      <c r="C17" s="165" t="s">
        <v>260</v>
      </c>
      <c r="D17" s="168" t="s">
        <v>169</v>
      </c>
      <c r="E17" s="177" t="s">
        <v>199</v>
      </c>
      <c r="F17" s="169">
        <v>21.749707050792583</v>
      </c>
      <c r="G17" s="169">
        <v>0.27232364302792023</v>
      </c>
      <c r="H17" s="169">
        <v>7.9187603184576894</v>
      </c>
      <c r="I17" s="169">
        <v>438.45452880859375</v>
      </c>
      <c r="J17" s="169">
        <v>2.8825918561554151</v>
      </c>
      <c r="K17" s="169">
        <f t="shared" si="0"/>
        <v>79.867127249625824</v>
      </c>
      <c r="L17" s="169">
        <f t="shared" si="1"/>
        <v>2.7466050462591474</v>
      </c>
      <c r="M17" s="168">
        <v>-0.26500000000000001</v>
      </c>
      <c r="N17" s="168">
        <v>-0.67400000000000004</v>
      </c>
      <c r="O17" s="168">
        <f t="shared" si="2"/>
        <v>0.40900000000000003</v>
      </c>
      <c r="P17" s="169">
        <f t="shared" si="3"/>
        <v>19.361272172268187</v>
      </c>
      <c r="Q17" s="173">
        <f t="shared" si="4"/>
        <v>19.770272172268186</v>
      </c>
      <c r="R17" s="173">
        <v>84.18</v>
      </c>
      <c r="S17" s="82">
        <f t="shared" si="5"/>
        <v>0.23485711775086937</v>
      </c>
    </row>
    <row r="18" spans="1:19" x14ac:dyDescent="0.35">
      <c r="A18" s="41" t="s">
        <v>156</v>
      </c>
      <c r="B18" s="165" t="s">
        <v>154</v>
      </c>
      <c r="C18" s="165" t="s">
        <v>260</v>
      </c>
      <c r="D18" s="168" t="s">
        <v>170</v>
      </c>
      <c r="E18" s="177" t="s">
        <v>199</v>
      </c>
      <c r="F18" s="169">
        <v>19.739050900922667</v>
      </c>
      <c r="G18" s="169">
        <v>0.3020262413308924</v>
      </c>
      <c r="H18" s="169">
        <v>8.4502577855178043</v>
      </c>
      <c r="I18" s="169">
        <v>349.94705200195313</v>
      </c>
      <c r="J18" s="169">
        <v>2.7826438551843675</v>
      </c>
      <c r="K18" s="169">
        <f t="shared" si="0"/>
        <v>65.355416847031705</v>
      </c>
      <c r="L18" s="169">
        <f t="shared" si="1"/>
        <v>2.3359110931209446</v>
      </c>
      <c r="M18" s="168">
        <v>-0.24199999999999999</v>
      </c>
      <c r="N18" s="168">
        <v>-0.69599999999999995</v>
      </c>
      <c r="O18" s="168">
        <f t="shared" si="2"/>
        <v>0.45399999999999996</v>
      </c>
      <c r="P18" s="169">
        <f t="shared" si="3"/>
        <v>18.612902611272698</v>
      </c>
      <c r="Q18" s="173">
        <f t="shared" si="4"/>
        <v>19.066902611272699</v>
      </c>
      <c r="R18" s="173">
        <v>114.29</v>
      </c>
      <c r="S18" s="82">
        <f t="shared" si="5"/>
        <v>0.16682914175582025</v>
      </c>
    </row>
    <row r="19" spans="1:19" x14ac:dyDescent="0.35">
      <c r="A19" s="41" t="s">
        <v>157</v>
      </c>
      <c r="B19" s="165" t="s">
        <v>155</v>
      </c>
      <c r="C19" s="165" t="s">
        <v>260</v>
      </c>
      <c r="D19" s="168" t="s">
        <v>170</v>
      </c>
      <c r="E19" s="177" t="s">
        <v>199</v>
      </c>
      <c r="F19" s="169">
        <v>22.083676532433838</v>
      </c>
      <c r="G19" s="169">
        <v>0.28388796006180594</v>
      </c>
      <c r="H19" s="169">
        <v>8.2700950788546894</v>
      </c>
      <c r="I19" s="169">
        <v>574.457763671875</v>
      </c>
      <c r="J19" s="169">
        <v>2.8904572049788846</v>
      </c>
      <c r="K19" s="169">
        <f t="shared" si="0"/>
        <v>77.790113140500736</v>
      </c>
      <c r="L19" s="169">
        <f t="shared" si="1"/>
        <v>2.6703050354158888</v>
      </c>
      <c r="M19" s="168">
        <v>-0.22700000000000001</v>
      </c>
      <c r="N19" s="168">
        <v>-0.628</v>
      </c>
      <c r="O19" s="168">
        <f t="shared" si="2"/>
        <v>0.40100000000000002</v>
      </c>
      <c r="P19" s="169">
        <f t="shared" si="3"/>
        <v>20.623678500884512</v>
      </c>
      <c r="Q19" s="173">
        <f t="shared" si="4"/>
        <v>21.024678500884512</v>
      </c>
      <c r="R19" s="173">
        <v>63.41</v>
      </c>
      <c r="S19" s="82">
        <f t="shared" si="5"/>
        <v>0.33156723704280894</v>
      </c>
    </row>
    <row r="20" spans="1:19" x14ac:dyDescent="0.35">
      <c r="A20" s="41" t="s">
        <v>156</v>
      </c>
      <c r="B20" s="165" t="s">
        <v>154</v>
      </c>
      <c r="C20" s="165" t="s">
        <v>260</v>
      </c>
      <c r="D20" s="168" t="s">
        <v>171</v>
      </c>
      <c r="E20" s="177" t="s">
        <v>199</v>
      </c>
      <c r="F20" s="169">
        <v>17.758750344320589</v>
      </c>
      <c r="G20" s="169">
        <v>0.27715913342067144</v>
      </c>
      <c r="H20" s="169">
        <v>8.0820551641889633</v>
      </c>
      <c r="I20" s="169">
        <v>368.38763427734375</v>
      </c>
      <c r="J20" s="169">
        <v>2.8912396787527199</v>
      </c>
      <c r="K20" s="169">
        <f t="shared" si="0"/>
        <v>64.0742021565149</v>
      </c>
      <c r="L20" s="169">
        <f t="shared" si="1"/>
        <v>2.1973062523760545</v>
      </c>
      <c r="M20" s="168">
        <v>-0.29899999999999999</v>
      </c>
      <c r="N20" s="168">
        <v>-1.1279999999999999</v>
      </c>
      <c r="O20" s="168">
        <f t="shared" si="2"/>
        <v>0.82899999999999996</v>
      </c>
      <c r="P20" s="169">
        <f t="shared" si="3"/>
        <v>9.7491618385874101</v>
      </c>
      <c r="Q20" s="173">
        <f t="shared" si="4"/>
        <v>10.578161838587411</v>
      </c>
      <c r="R20" s="173">
        <v>94.13</v>
      </c>
      <c r="S20" s="82">
        <f t="shared" si="5"/>
        <v>0.1123782198936302</v>
      </c>
    </row>
    <row r="21" spans="1:19" x14ac:dyDescent="0.35">
      <c r="A21" s="41" t="s">
        <v>157</v>
      </c>
      <c r="B21" s="165" t="s">
        <v>155</v>
      </c>
      <c r="C21" s="165" t="s">
        <v>260</v>
      </c>
      <c r="D21" s="168" t="s">
        <v>171</v>
      </c>
      <c r="E21" s="177" t="s">
        <v>199</v>
      </c>
      <c r="F21" s="169">
        <v>23.111875504447461</v>
      </c>
      <c r="G21" s="169">
        <v>0.28157687913852997</v>
      </c>
      <c r="H21" s="169">
        <v>8.2813677048243264</v>
      </c>
      <c r="I21" s="169">
        <v>530.87933349609375</v>
      </c>
      <c r="J21" s="169">
        <v>2.9166838296246129</v>
      </c>
      <c r="K21" s="169">
        <f t="shared" si="0"/>
        <v>82.080160754523092</v>
      </c>
      <c r="L21" s="169">
        <f t="shared" si="1"/>
        <v>2.7908283182479137</v>
      </c>
      <c r="M21" s="168">
        <v>-0.28499999999999998</v>
      </c>
      <c r="N21" s="168">
        <v>-0.66</v>
      </c>
      <c r="O21" s="168">
        <f t="shared" si="2"/>
        <v>0.37500000000000006</v>
      </c>
      <c r="P21" s="169">
        <f t="shared" si="3"/>
        <v>22.083647212864868</v>
      </c>
      <c r="Q21" s="173">
        <f t="shared" si="4"/>
        <v>22.458647212864868</v>
      </c>
      <c r="R21" s="173">
        <v>113.07</v>
      </c>
      <c r="S21" s="82">
        <f t="shared" si="5"/>
        <v>0.19862604769492234</v>
      </c>
    </row>
    <row r="22" spans="1:19" x14ac:dyDescent="0.35">
      <c r="A22" s="83" t="s">
        <v>156</v>
      </c>
      <c r="B22" s="166" t="s">
        <v>154</v>
      </c>
      <c r="C22" s="165" t="s">
        <v>260</v>
      </c>
      <c r="D22" s="170" t="s">
        <v>172</v>
      </c>
      <c r="E22" s="178" t="s">
        <v>199</v>
      </c>
      <c r="F22" s="171">
        <v>14.252574163310811</v>
      </c>
      <c r="G22" s="171">
        <v>0.10175625210203483</v>
      </c>
      <c r="H22" s="171">
        <v>3.4280887675026426</v>
      </c>
      <c r="I22" s="169">
        <v>-3.2316195964813232</v>
      </c>
      <c r="J22" s="171">
        <v>3.2783461621337011</v>
      </c>
      <c r="K22" s="169">
        <f t="shared" si="0"/>
        <v>140.06583250549772</v>
      </c>
      <c r="L22" s="169">
        <f t="shared" si="1"/>
        <v>4.1575860865743532</v>
      </c>
      <c r="M22" s="168">
        <v>-0.253</v>
      </c>
      <c r="N22" s="168">
        <v>-0.77800000000000002</v>
      </c>
      <c r="O22" s="168">
        <f t="shared" si="2"/>
        <v>0.52500000000000002</v>
      </c>
      <c r="P22" s="169">
        <f t="shared" si="3"/>
        <v>6.5296928904812237</v>
      </c>
      <c r="Q22" s="173">
        <f t="shared" si="4"/>
        <v>7.0546928904812241</v>
      </c>
      <c r="R22" s="173">
        <v>65.930000000000007</v>
      </c>
      <c r="S22" s="82">
        <f t="shared" si="5"/>
        <v>0.10700277401002917</v>
      </c>
    </row>
    <row r="23" spans="1:19" x14ac:dyDescent="0.35">
      <c r="A23" s="41" t="s">
        <v>158</v>
      </c>
      <c r="B23" s="165" t="s">
        <v>155</v>
      </c>
      <c r="C23" s="165" t="s">
        <v>260</v>
      </c>
      <c r="D23" s="168" t="s">
        <v>172</v>
      </c>
      <c r="E23" s="177" t="s">
        <v>199</v>
      </c>
      <c r="F23" s="169">
        <v>20.63182972937668</v>
      </c>
      <c r="G23" s="169">
        <v>0.23647182582688112</v>
      </c>
      <c r="H23" s="169">
        <v>7.3233786441314042</v>
      </c>
      <c r="I23" s="169">
        <v>603.39068603515625</v>
      </c>
      <c r="J23" s="169">
        <v>3.0556744240566189</v>
      </c>
      <c r="K23" s="169">
        <f t="shared" si="0"/>
        <v>87.248574570067618</v>
      </c>
      <c r="L23" s="169">
        <f t="shared" si="1"/>
        <v>2.8172556318537501</v>
      </c>
      <c r="M23" s="168">
        <v>-0.26400000000000001</v>
      </c>
      <c r="N23" s="168">
        <v>-0.78700000000000003</v>
      </c>
      <c r="O23" s="168">
        <f t="shared" si="2"/>
        <v>0.52300000000000002</v>
      </c>
      <c r="P23" s="169">
        <f t="shared" si="3"/>
        <v>14.002636030843984</v>
      </c>
      <c r="Q23" s="173">
        <f t="shared" si="4"/>
        <v>14.525636030843984</v>
      </c>
      <c r="R23" s="173">
        <v>54.72</v>
      </c>
      <c r="S23" s="82">
        <f t="shared" si="5"/>
        <v>0.26545387483267513</v>
      </c>
    </row>
    <row r="24" spans="1:19" x14ac:dyDescent="0.35">
      <c r="A24" s="41" t="s">
        <v>156</v>
      </c>
      <c r="B24" s="165" t="s">
        <v>154</v>
      </c>
      <c r="C24" s="165" t="s">
        <v>260</v>
      </c>
      <c r="D24" s="168" t="s">
        <v>173</v>
      </c>
      <c r="E24" s="177" t="s">
        <v>199</v>
      </c>
      <c r="F24" s="169">
        <v>24.659646569582705</v>
      </c>
      <c r="G24" s="169">
        <v>0.24600497849903005</v>
      </c>
      <c r="H24" s="169">
        <v>7.6346456736471966</v>
      </c>
      <c r="I24" s="169">
        <v>555.428466796875</v>
      </c>
      <c r="J24" s="169">
        <v>3.0648581902660799</v>
      </c>
      <c r="K24" s="169">
        <f t="shared" si="0"/>
        <v>100.24043708399964</v>
      </c>
      <c r="L24" s="169">
        <f t="shared" si="1"/>
        <v>3.2299660814255424</v>
      </c>
      <c r="M24" s="168">
        <v>-0.223</v>
      </c>
      <c r="N24" s="168">
        <v>-0.83</v>
      </c>
      <c r="O24" s="168">
        <f t="shared" si="2"/>
        <v>0.60699999999999998</v>
      </c>
      <c r="P24" s="169">
        <f t="shared" si="3"/>
        <v>12.577669973059633</v>
      </c>
      <c r="Q24" s="173">
        <f t="shared" si="4"/>
        <v>13.184669973059632</v>
      </c>
      <c r="R24" s="173">
        <v>108.44</v>
      </c>
      <c r="S24" s="82">
        <f t="shared" si="5"/>
        <v>0.12158493151106264</v>
      </c>
    </row>
    <row r="25" spans="1:19" x14ac:dyDescent="0.35">
      <c r="A25" s="41" t="s">
        <v>157</v>
      </c>
      <c r="B25" s="165" t="s">
        <v>155</v>
      </c>
      <c r="C25" s="165" t="s">
        <v>260</v>
      </c>
      <c r="D25" s="168" t="s">
        <v>173</v>
      </c>
      <c r="E25" s="177" t="s">
        <v>199</v>
      </c>
      <c r="F25" s="169">
        <v>24.511477040715604</v>
      </c>
      <c r="G25" s="169">
        <v>0.24610781165581497</v>
      </c>
      <c r="H25" s="169">
        <v>7.7128624170786084</v>
      </c>
      <c r="I25" s="169">
        <v>526.91729736328125</v>
      </c>
      <c r="J25" s="169">
        <v>3.0945459234456827</v>
      </c>
      <c r="K25" s="169">
        <f t="shared" si="0"/>
        <v>99.596501532406577</v>
      </c>
      <c r="L25" s="169">
        <f t="shared" si="1"/>
        <v>3.1780000362044301</v>
      </c>
      <c r="M25" s="168">
        <v>-0.441</v>
      </c>
      <c r="N25" s="168">
        <v>-0.79</v>
      </c>
      <c r="O25" s="168">
        <f t="shared" si="2"/>
        <v>0.34900000000000003</v>
      </c>
      <c r="P25" s="169">
        <f t="shared" si="3"/>
        <v>22.099892312546153</v>
      </c>
      <c r="Q25" s="173">
        <f t="shared" si="4"/>
        <v>22.448892312546153</v>
      </c>
      <c r="R25" s="173">
        <v>76.36</v>
      </c>
      <c r="S25" s="82">
        <f t="shared" si="5"/>
        <v>0.2939875892161623</v>
      </c>
    </row>
    <row r="26" spans="1:19" x14ac:dyDescent="0.35">
      <c r="A26" s="41" t="s">
        <v>156</v>
      </c>
      <c r="B26" s="165" t="s">
        <v>154</v>
      </c>
      <c r="C26" s="165" t="s">
        <v>259</v>
      </c>
      <c r="D26" s="168" t="s">
        <v>162</v>
      </c>
      <c r="E26" s="177" t="s">
        <v>185</v>
      </c>
      <c r="F26" s="172">
        <v>11.028799956969367</v>
      </c>
      <c r="G26" s="172">
        <v>0.17468726659107095</v>
      </c>
      <c r="H26" s="172">
        <v>6.3185313915543171</v>
      </c>
      <c r="I26" s="172">
        <v>421.71646340000001</v>
      </c>
      <c r="J26" s="172">
        <v>3.5812941823592817</v>
      </c>
      <c r="K26" s="172">
        <f t="shared" si="0"/>
        <v>63.134538493792533</v>
      </c>
      <c r="L26" s="172">
        <f t="shared" si="1"/>
        <v>1.745468887233993</v>
      </c>
      <c r="M26" s="168">
        <v>-0.13400000000000001</v>
      </c>
      <c r="N26" s="168">
        <v>-0.64300000000000002</v>
      </c>
      <c r="O26" s="168">
        <f t="shared" si="2"/>
        <v>0.50900000000000001</v>
      </c>
      <c r="P26" s="169">
        <f t="shared" si="3"/>
        <v>12.413617665136183</v>
      </c>
      <c r="Q26" s="165"/>
      <c r="R26" s="165"/>
      <c r="S26" s="49"/>
    </row>
    <row r="27" spans="1:19" x14ac:dyDescent="0.35">
      <c r="A27" s="41" t="s">
        <v>157</v>
      </c>
      <c r="B27" s="165" t="s">
        <v>155</v>
      </c>
      <c r="C27" s="165" t="s">
        <v>259</v>
      </c>
      <c r="D27" s="168" t="s">
        <v>162</v>
      </c>
      <c r="E27" s="177" t="s">
        <v>185</v>
      </c>
      <c r="F27" s="172">
        <v>10.28953623535986</v>
      </c>
      <c r="G27" s="172">
        <v>0.14494809803530306</v>
      </c>
      <c r="H27" s="172">
        <v>5.7040420484345482</v>
      </c>
      <c r="I27" s="172">
        <v>327.61703491210938</v>
      </c>
      <c r="J27" s="172">
        <v>3.8801595932873334</v>
      </c>
      <c r="K27" s="172">
        <f t="shared" si="0"/>
        <v>70.987728537519516</v>
      </c>
      <c r="L27" s="172">
        <f t="shared" si="1"/>
        <v>1.8039025918793468</v>
      </c>
      <c r="M27" s="168">
        <v>-0.161</v>
      </c>
      <c r="N27" s="168">
        <v>-0.93799999999999994</v>
      </c>
      <c r="O27" s="168">
        <f t="shared" si="2"/>
        <v>0.77699999999999991</v>
      </c>
      <c r="P27" s="169">
        <f t="shared" si="3"/>
        <v>7.3411094574447215</v>
      </c>
      <c r="Q27" s="165"/>
      <c r="R27" s="165"/>
      <c r="S27" s="49"/>
    </row>
    <row r="28" spans="1:19" x14ac:dyDescent="0.35">
      <c r="A28" s="41" t="s">
        <v>156</v>
      </c>
      <c r="B28" s="165" t="s">
        <v>154</v>
      </c>
      <c r="C28" s="165" t="s">
        <v>259</v>
      </c>
      <c r="D28" s="168" t="s">
        <v>163</v>
      </c>
      <c r="E28" s="177" t="s">
        <v>185</v>
      </c>
      <c r="F28" s="172">
        <v>10.974929973136197</v>
      </c>
      <c r="G28" s="172">
        <v>0.23474216398536402</v>
      </c>
      <c r="H28" s="172">
        <v>7.8355226068002573</v>
      </c>
      <c r="I28" s="172">
        <v>438.320068359375</v>
      </c>
      <c r="J28" s="172">
        <v>3.3266205104518471</v>
      </c>
      <c r="K28" s="172">
        <f t="shared" si="0"/>
        <v>46.753126011995334</v>
      </c>
      <c r="L28" s="172">
        <f t="shared" si="1"/>
        <v>1.4006634303640864</v>
      </c>
      <c r="M28" s="168">
        <v>-0.17799999999999999</v>
      </c>
      <c r="N28" s="168">
        <v>-0.79600000000000004</v>
      </c>
      <c r="O28" s="168">
        <f t="shared" si="2"/>
        <v>0.6180000000000001</v>
      </c>
      <c r="P28" s="169">
        <f t="shared" si="3"/>
        <v>12.678839169579701</v>
      </c>
      <c r="Q28" s="165"/>
      <c r="R28" s="165"/>
      <c r="S28" s="49"/>
    </row>
    <row r="29" spans="1:19" x14ac:dyDescent="0.35">
      <c r="A29" s="41" t="s">
        <v>157</v>
      </c>
      <c r="B29" s="165" t="s">
        <v>155</v>
      </c>
      <c r="C29" s="165" t="s">
        <v>259</v>
      </c>
      <c r="D29" s="168" t="s">
        <v>163</v>
      </c>
      <c r="E29" s="177" t="s">
        <v>185</v>
      </c>
      <c r="F29" s="172">
        <v>11.271703646202424</v>
      </c>
      <c r="G29" s="172">
        <v>0.32176163939870239</v>
      </c>
      <c r="H29" s="172">
        <v>8.8288070133228853</v>
      </c>
      <c r="I29" s="172">
        <v>302.69775390625</v>
      </c>
      <c r="J29" s="172">
        <v>2.7654624884862904</v>
      </c>
      <c r="K29" s="172">
        <f t="shared" si="0"/>
        <v>35.03122270033996</v>
      </c>
      <c r="L29" s="172">
        <f t="shared" si="1"/>
        <v>1.2766961186480967</v>
      </c>
      <c r="M29" s="168">
        <v>-0.309</v>
      </c>
      <c r="N29" s="168">
        <v>-0.68500000000000005</v>
      </c>
      <c r="O29" s="168">
        <f t="shared" si="2"/>
        <v>0.37600000000000006</v>
      </c>
      <c r="P29" s="169">
        <f t="shared" si="3"/>
        <v>23.480869716284268</v>
      </c>
      <c r="Q29" s="165"/>
      <c r="R29" s="165"/>
      <c r="S29" s="49"/>
    </row>
    <row r="30" spans="1:19" x14ac:dyDescent="0.35">
      <c r="A30" s="41" t="s">
        <v>156</v>
      </c>
      <c r="B30" s="165" t="s">
        <v>154</v>
      </c>
      <c r="C30" s="165" t="s">
        <v>259</v>
      </c>
      <c r="D30" s="168" t="s">
        <v>164</v>
      </c>
      <c r="E30" s="177" t="s">
        <v>185</v>
      </c>
      <c r="F30" s="172">
        <v>12.382769510891009</v>
      </c>
      <c r="G30" s="172">
        <v>0.27684687900626886</v>
      </c>
      <c r="H30" s="172">
        <v>8.9012294953569508</v>
      </c>
      <c r="I30" s="172">
        <v>243.64192199707031</v>
      </c>
      <c r="J30" s="172">
        <v>3.2174370537335264</v>
      </c>
      <c r="K30" s="172">
        <f t="shared" si="0"/>
        <v>44.727863847837042</v>
      </c>
      <c r="L30" s="172">
        <f t="shared" si="1"/>
        <v>1.391130238508073</v>
      </c>
      <c r="M30" s="168">
        <v>-0.248</v>
      </c>
      <c r="N30" s="168">
        <v>-0.65600000000000003</v>
      </c>
      <c r="O30" s="168">
        <f t="shared" si="2"/>
        <v>0.40800000000000003</v>
      </c>
      <c r="P30" s="169">
        <f t="shared" si="3"/>
        <v>21.816738959208212</v>
      </c>
      <c r="Q30" s="165"/>
      <c r="R30" s="165"/>
      <c r="S30" s="49"/>
    </row>
    <row r="31" spans="1:19" x14ac:dyDescent="0.35">
      <c r="A31" s="41" t="s">
        <v>157</v>
      </c>
      <c r="B31" s="165" t="s">
        <v>155</v>
      </c>
      <c r="C31" s="165" t="s">
        <v>259</v>
      </c>
      <c r="D31" s="168" t="s">
        <v>164</v>
      </c>
      <c r="E31" s="177" t="s">
        <v>185</v>
      </c>
      <c r="F31" s="172">
        <v>10.753125315028248</v>
      </c>
      <c r="G31" s="172">
        <v>0.15992592476555012</v>
      </c>
      <c r="H31" s="172">
        <v>5.9480353362368827</v>
      </c>
      <c r="I31" s="172">
        <v>402.91473388671875</v>
      </c>
      <c r="J31" s="172">
        <v>3.6747451920860259</v>
      </c>
      <c r="K31" s="172">
        <f t="shared" si="0"/>
        <v>67.238162485489624</v>
      </c>
      <c r="L31" s="172">
        <f t="shared" si="1"/>
        <v>1.8078448945179568</v>
      </c>
      <c r="M31" s="168">
        <v>-0.36799999999999999</v>
      </c>
      <c r="N31" s="168">
        <v>-0.85799999999999998</v>
      </c>
      <c r="O31" s="168">
        <f t="shared" si="2"/>
        <v>0.49</v>
      </c>
      <c r="P31" s="169">
        <f t="shared" si="3"/>
        <v>12.138847624973231</v>
      </c>
      <c r="Q31" s="165"/>
      <c r="R31" s="165"/>
      <c r="S31" s="49"/>
    </row>
    <row r="32" spans="1:19" x14ac:dyDescent="0.35">
      <c r="A32" s="41" t="s">
        <v>156</v>
      </c>
      <c r="B32" s="165" t="s">
        <v>154</v>
      </c>
      <c r="C32" s="165" t="s">
        <v>259</v>
      </c>
      <c r="D32" s="168" t="s">
        <v>165</v>
      </c>
      <c r="E32" s="177" t="s">
        <v>185</v>
      </c>
      <c r="F32" s="172">
        <v>10.364180242321035</v>
      </c>
      <c r="G32" s="172">
        <v>0.22534011912893065</v>
      </c>
      <c r="H32" s="172">
        <v>7.5704497055861779</v>
      </c>
      <c r="I32" s="172">
        <v>390.89486694335938</v>
      </c>
      <c r="J32" s="172">
        <v>3.3438501161023626</v>
      </c>
      <c r="K32" s="172">
        <f t="shared" si="0"/>
        <v>45.993497662043325</v>
      </c>
      <c r="L32" s="172">
        <f t="shared" si="1"/>
        <v>1.3690309883009175</v>
      </c>
      <c r="M32" s="168">
        <v>-0.17399999999999999</v>
      </c>
      <c r="N32" s="168">
        <v>-0.66800000000000004</v>
      </c>
      <c r="O32" s="168">
        <f t="shared" si="2"/>
        <v>0.49400000000000005</v>
      </c>
      <c r="P32" s="169">
        <f t="shared" si="3"/>
        <v>15.324796974870804</v>
      </c>
      <c r="Q32" s="165"/>
      <c r="R32" s="165"/>
      <c r="S32" s="49"/>
    </row>
    <row r="33" spans="1:19" x14ac:dyDescent="0.35">
      <c r="A33" s="41" t="s">
        <v>157</v>
      </c>
      <c r="B33" s="165" t="s">
        <v>155</v>
      </c>
      <c r="C33" s="165" t="s">
        <v>259</v>
      </c>
      <c r="D33" s="168" t="s">
        <v>165</v>
      </c>
      <c r="E33" s="177" t="s">
        <v>185</v>
      </c>
      <c r="F33" s="172">
        <v>11.996863364836576</v>
      </c>
      <c r="G33" s="172">
        <v>0.27242078260733865</v>
      </c>
      <c r="H33" s="172">
        <v>8.4761433646743871</v>
      </c>
      <c r="I33" s="172">
        <v>561.88092041015625</v>
      </c>
      <c r="J33" s="172">
        <v>3.1136403016347121</v>
      </c>
      <c r="K33" s="172">
        <f t="shared" si="0"/>
        <v>44.03798876875188</v>
      </c>
      <c r="L33" s="172">
        <f t="shared" si="1"/>
        <v>1.4153681513735745</v>
      </c>
      <c r="M33" s="168">
        <v>-0.21199999999999999</v>
      </c>
      <c r="N33" s="168">
        <v>-0.79800000000000004</v>
      </c>
      <c r="O33" s="168">
        <f t="shared" si="2"/>
        <v>0.58600000000000008</v>
      </c>
      <c r="P33" s="169">
        <f t="shared" si="3"/>
        <v>14.46440847214059</v>
      </c>
      <c r="Q33" s="165"/>
      <c r="R33" s="165"/>
      <c r="S33" s="49"/>
    </row>
    <row r="34" spans="1:19" x14ac:dyDescent="0.35">
      <c r="A34" s="41" t="s">
        <v>156</v>
      </c>
      <c r="B34" s="165" t="s">
        <v>154</v>
      </c>
      <c r="C34" s="165" t="s">
        <v>259</v>
      </c>
      <c r="D34" s="168" t="s">
        <v>166</v>
      </c>
      <c r="E34" s="177" t="s">
        <v>185</v>
      </c>
      <c r="F34" s="172">
        <v>8.2501178819735763</v>
      </c>
      <c r="G34" s="172">
        <v>0.21426902525186803</v>
      </c>
      <c r="H34" s="172">
        <v>7.3097330137034886</v>
      </c>
      <c r="I34" s="172">
        <v>561.88092041015625</v>
      </c>
      <c r="J34" s="172">
        <v>3.3905934308170957</v>
      </c>
      <c r="K34" s="172">
        <f t="shared" si="0"/>
        <v>38.503548855350246</v>
      </c>
      <c r="L34" s="172">
        <f t="shared" si="1"/>
        <v>1.1286483195086821</v>
      </c>
      <c r="M34" s="168">
        <v>-0.188</v>
      </c>
      <c r="N34" s="168">
        <v>-0.79400000000000004</v>
      </c>
      <c r="O34" s="168">
        <f t="shared" si="2"/>
        <v>0.60600000000000009</v>
      </c>
      <c r="P34" s="169">
        <f t="shared" si="3"/>
        <v>12.062265699180672</v>
      </c>
      <c r="Q34" s="165"/>
      <c r="R34" s="165"/>
      <c r="S34" s="49"/>
    </row>
    <row r="35" spans="1:19" x14ac:dyDescent="0.35">
      <c r="A35" s="41" t="s">
        <v>157</v>
      </c>
      <c r="B35" s="165" t="s">
        <v>155</v>
      </c>
      <c r="C35" s="165" t="s">
        <v>259</v>
      </c>
      <c r="D35" s="168" t="s">
        <v>166</v>
      </c>
      <c r="E35" s="177" t="s">
        <v>185</v>
      </c>
      <c r="F35" s="172">
        <v>10.258298579231033</v>
      </c>
      <c r="G35" s="172">
        <v>0.29855472389702092</v>
      </c>
      <c r="H35" s="172">
        <v>8.9609342898424735</v>
      </c>
      <c r="I35" s="172">
        <v>488.49868774414063</v>
      </c>
      <c r="J35" s="172">
        <v>3.0116588410929817</v>
      </c>
      <c r="K35" s="172">
        <f t="shared" si="0"/>
        <v>34.359860213665151</v>
      </c>
      <c r="L35" s="172">
        <f t="shared" si="1"/>
        <v>1.1447800248752149</v>
      </c>
      <c r="M35" s="168">
        <v>-0.248</v>
      </c>
      <c r="N35" s="168">
        <v>-0.875</v>
      </c>
      <c r="O35" s="168">
        <f t="shared" si="2"/>
        <v>0.627</v>
      </c>
      <c r="P35" s="169">
        <f t="shared" si="3"/>
        <v>14.291761227818936</v>
      </c>
      <c r="Q35" s="165"/>
      <c r="R35" s="165"/>
      <c r="S35" s="49"/>
    </row>
    <row r="36" spans="1:19" x14ac:dyDescent="0.35">
      <c r="A36" s="41" t="s">
        <v>156</v>
      </c>
      <c r="B36" s="165" t="s">
        <v>154</v>
      </c>
      <c r="C36" s="165" t="s">
        <v>259</v>
      </c>
      <c r="D36" s="168" t="s">
        <v>167</v>
      </c>
      <c r="E36" s="177" t="s">
        <v>185</v>
      </c>
      <c r="F36" s="172">
        <v>8.6288717366271577</v>
      </c>
      <c r="G36" s="172">
        <v>0.16256295620059585</v>
      </c>
      <c r="H36" s="172">
        <v>6.498189528243091</v>
      </c>
      <c r="I36" s="172">
        <v>255.57655334472656</v>
      </c>
      <c r="J36" s="172">
        <v>3.9413952271911068</v>
      </c>
      <c r="K36" s="172">
        <f t="shared" si="0"/>
        <v>53.08018467614167</v>
      </c>
      <c r="L36" s="172">
        <f t="shared" si="1"/>
        <v>1.3278885909873017</v>
      </c>
      <c r="M36" s="168">
        <v>-0.20399999999999999</v>
      </c>
      <c r="N36" s="168">
        <v>-0.751</v>
      </c>
      <c r="O36" s="168">
        <f t="shared" si="2"/>
        <v>0.54700000000000004</v>
      </c>
      <c r="P36" s="169">
        <f t="shared" si="3"/>
        <v>11.879688351449891</v>
      </c>
      <c r="Q36" s="165"/>
      <c r="R36" s="165"/>
      <c r="S36" s="49"/>
    </row>
    <row r="37" spans="1:19" x14ac:dyDescent="0.35">
      <c r="A37" s="41" t="s">
        <v>157</v>
      </c>
      <c r="B37" s="165" t="s">
        <v>155</v>
      </c>
      <c r="C37" s="165" t="s">
        <v>259</v>
      </c>
      <c r="D37" s="168" t="s">
        <v>167</v>
      </c>
      <c r="E37" s="177" t="s">
        <v>185</v>
      </c>
      <c r="F37" s="172">
        <v>6.2795318736631831</v>
      </c>
      <c r="G37" s="172">
        <v>0.17625587613848778</v>
      </c>
      <c r="H37" s="172">
        <v>6.2501292609805104</v>
      </c>
      <c r="I37" s="172">
        <v>336.73455810546875</v>
      </c>
      <c r="J37" s="172">
        <v>3.5098480612193721</v>
      </c>
      <c r="K37" s="172">
        <f t="shared" si="0"/>
        <v>35.627361828942533</v>
      </c>
      <c r="L37" s="172">
        <f t="shared" si="1"/>
        <v>1.0047043207356099</v>
      </c>
      <c r="M37" s="168">
        <v>-0.32200000000000001</v>
      </c>
      <c r="N37" s="168">
        <v>-1.0609999999999999</v>
      </c>
      <c r="O37" s="168">
        <f t="shared" si="2"/>
        <v>0.73899999999999988</v>
      </c>
      <c r="P37" s="169">
        <f t="shared" si="3"/>
        <v>8.4575497442226126</v>
      </c>
      <c r="Q37" s="165"/>
      <c r="R37" s="165"/>
      <c r="S37" s="49"/>
    </row>
    <row r="38" spans="1:19" x14ac:dyDescent="0.35">
      <c r="A38" s="41" t="s">
        <v>156</v>
      </c>
      <c r="B38" s="165" t="s">
        <v>154</v>
      </c>
      <c r="C38" s="165" t="s">
        <v>260</v>
      </c>
      <c r="D38" s="168" t="s">
        <v>168</v>
      </c>
      <c r="E38" s="177" t="s">
        <v>185</v>
      </c>
      <c r="F38" s="172">
        <v>3.7806557145882609</v>
      </c>
      <c r="G38" s="172">
        <v>1.361789860706453E-2</v>
      </c>
      <c r="H38" s="172">
        <v>0.49091071903936712</v>
      </c>
      <c r="I38" s="172">
        <v>564.3699951171875</v>
      </c>
      <c r="J38" s="172">
        <v>3.5348569080177059</v>
      </c>
      <c r="K38" s="172">
        <f t="shared" si="0"/>
        <v>277.62401701441496</v>
      </c>
      <c r="L38" s="172">
        <f t="shared" si="1"/>
        <v>7.7013101730318549</v>
      </c>
      <c r="M38" s="168">
        <v>-1.1120000000000001</v>
      </c>
      <c r="N38" s="168">
        <v>-1.32</v>
      </c>
      <c r="O38" s="168">
        <f t="shared" si="2"/>
        <v>0.20799999999999996</v>
      </c>
      <c r="P38" s="169">
        <f t="shared" si="3"/>
        <v>2.3601476876892655</v>
      </c>
      <c r="Q38" s="165"/>
      <c r="R38" s="165"/>
      <c r="S38" s="49"/>
    </row>
    <row r="39" spans="1:19" x14ac:dyDescent="0.35">
      <c r="A39" s="41" t="s">
        <v>157</v>
      </c>
      <c r="B39" s="165" t="s">
        <v>155</v>
      </c>
      <c r="C39" s="165" t="s">
        <v>260</v>
      </c>
      <c r="D39" s="168" t="s">
        <v>168</v>
      </c>
      <c r="E39" s="177" t="s">
        <v>185</v>
      </c>
      <c r="F39" s="172">
        <v>10.658572097365754</v>
      </c>
      <c r="G39" s="172">
        <v>0.1342190206756943</v>
      </c>
      <c r="H39" s="172">
        <v>4.0870353976268952</v>
      </c>
      <c r="I39" s="172">
        <v>352.37338256835938</v>
      </c>
      <c r="J39" s="172">
        <v>3.0266743755446965</v>
      </c>
      <c r="K39" s="172">
        <f t="shared" si="0"/>
        <v>79.411785629992409</v>
      </c>
      <c r="L39" s="172">
        <f t="shared" si="1"/>
        <v>2.6078981609884195</v>
      </c>
      <c r="M39" s="168">
        <v>-0.39600000000000002</v>
      </c>
      <c r="N39" s="168">
        <v>-1.3129999999999999</v>
      </c>
      <c r="O39" s="168">
        <f t="shared" si="2"/>
        <v>0.91699999999999993</v>
      </c>
      <c r="P39" s="169">
        <f t="shared" si="3"/>
        <v>4.4569633561907258</v>
      </c>
      <c r="Q39" s="165"/>
      <c r="R39" s="165"/>
      <c r="S39" s="49"/>
    </row>
    <row r="40" spans="1:19" x14ac:dyDescent="0.35">
      <c r="A40" s="41" t="s">
        <v>156</v>
      </c>
      <c r="B40" s="165" t="s">
        <v>154</v>
      </c>
      <c r="C40" s="165" t="s">
        <v>260</v>
      </c>
      <c r="D40" s="168" t="s">
        <v>169</v>
      </c>
      <c r="E40" s="177" t="s">
        <v>185</v>
      </c>
      <c r="F40" s="172">
        <v>7.6568205909799154</v>
      </c>
      <c r="G40" s="172">
        <v>3.1422308357729044E-2</v>
      </c>
      <c r="H40" s="172">
        <v>1.1873212236007726</v>
      </c>
      <c r="I40" s="172">
        <v>725.01177978515625</v>
      </c>
      <c r="J40" s="172">
        <v>3.705012559163007</v>
      </c>
      <c r="K40" s="172">
        <f t="shared" si="0"/>
        <v>243.67466908574664</v>
      </c>
      <c r="L40" s="172">
        <f t="shared" si="1"/>
        <v>6.4488197791657269</v>
      </c>
      <c r="M40" s="168">
        <v>-0.64400000000000002</v>
      </c>
      <c r="N40" s="168">
        <v>-1.3560000000000001</v>
      </c>
      <c r="O40" s="168">
        <f t="shared" si="2"/>
        <v>0.71200000000000008</v>
      </c>
      <c r="P40" s="169">
        <f t="shared" si="3"/>
        <v>1.6675859882033321</v>
      </c>
      <c r="Q40" s="165"/>
      <c r="R40" s="165"/>
      <c r="S40" s="49"/>
    </row>
    <row r="41" spans="1:19" x14ac:dyDescent="0.35">
      <c r="A41" s="41" t="s">
        <v>157</v>
      </c>
      <c r="B41" s="165" t="s">
        <v>155</v>
      </c>
      <c r="C41" s="165" t="s">
        <v>260</v>
      </c>
      <c r="D41" s="168" t="s">
        <v>169</v>
      </c>
      <c r="E41" s="177" t="s">
        <v>185</v>
      </c>
      <c r="F41" s="172">
        <v>0.59983794982734917</v>
      </c>
      <c r="G41" s="172">
        <v>1.3109358646250424E-2</v>
      </c>
      <c r="H41" s="172">
        <v>0.57363209199610654</v>
      </c>
      <c r="I41" s="172">
        <v>396.36782836914063</v>
      </c>
      <c r="J41" s="172">
        <v>4.264213589824613</v>
      </c>
      <c r="K41" s="172">
        <f t="shared" si="0"/>
        <v>45.756468032775693</v>
      </c>
      <c r="L41" s="172">
        <f t="shared" si="1"/>
        <v>1.0456840860141774</v>
      </c>
      <c r="M41" s="168">
        <v>-0.86799999999999999</v>
      </c>
      <c r="N41" s="168">
        <v>-1.3220000000000001</v>
      </c>
      <c r="O41" s="168">
        <f t="shared" si="2"/>
        <v>0.45400000000000007</v>
      </c>
      <c r="P41" s="169">
        <f t="shared" si="3"/>
        <v>1.2635068105641112</v>
      </c>
      <c r="Q41" s="165"/>
      <c r="R41" s="165"/>
      <c r="S41" s="49"/>
    </row>
    <row r="42" spans="1:19" x14ac:dyDescent="0.35">
      <c r="A42" s="41" t="s">
        <v>156</v>
      </c>
      <c r="B42" s="165" t="s">
        <v>154</v>
      </c>
      <c r="C42" s="165" t="s">
        <v>260</v>
      </c>
      <c r="D42" s="168" t="s">
        <v>170</v>
      </c>
      <c r="E42" s="177" t="s">
        <v>185</v>
      </c>
      <c r="F42" s="172">
        <v>7.1231286746997163E-2</v>
      </c>
      <c r="G42" s="172">
        <v>2.2468802737124296E-3</v>
      </c>
      <c r="H42" s="172">
        <v>9.1574720197559731E-2</v>
      </c>
      <c r="I42" s="172">
        <v>733.975830078125</v>
      </c>
      <c r="J42" s="172">
        <v>3.9729965116685024</v>
      </c>
      <c r="K42" s="172">
        <f t="shared" si="0"/>
        <v>31.702306340205919</v>
      </c>
      <c r="L42" s="172">
        <f t="shared" si="1"/>
        <v>0.77784880579842952</v>
      </c>
      <c r="M42" s="168">
        <v>-1.397</v>
      </c>
      <c r="N42" s="168">
        <v>-1.788</v>
      </c>
      <c r="O42" s="168">
        <f t="shared" si="2"/>
        <v>0.39100000000000001</v>
      </c>
      <c r="P42" s="169">
        <f t="shared" si="3"/>
        <v>0.23420644551805556</v>
      </c>
      <c r="Q42" s="165"/>
      <c r="R42" s="165"/>
      <c r="S42" s="49"/>
    </row>
    <row r="43" spans="1:19" x14ac:dyDescent="0.35">
      <c r="A43" s="41" t="s">
        <v>157</v>
      </c>
      <c r="B43" s="165" t="s">
        <v>155</v>
      </c>
      <c r="C43" s="165" t="s">
        <v>260</v>
      </c>
      <c r="D43" s="168" t="s">
        <v>170</v>
      </c>
      <c r="E43" s="177" t="s">
        <v>185</v>
      </c>
      <c r="F43" s="172">
        <v>0.41514188746798708</v>
      </c>
      <c r="G43" s="172">
        <v>6.6412175591194882E-3</v>
      </c>
      <c r="H43" s="172">
        <v>0.30984720587724568</v>
      </c>
      <c r="I43" s="172">
        <v>508.34075927734375</v>
      </c>
      <c r="J43" s="172">
        <v>4.535383915354144</v>
      </c>
      <c r="K43" s="172">
        <f t="shared" si="0"/>
        <v>62.509906319501418</v>
      </c>
      <c r="L43" s="172">
        <f t="shared" si="1"/>
        <v>1.3398277589518</v>
      </c>
      <c r="M43" s="168">
        <v>-1.2170000000000001</v>
      </c>
      <c r="N43" s="168">
        <v>-1.875</v>
      </c>
      <c r="O43" s="168">
        <f t="shared" si="2"/>
        <v>0.65799999999999992</v>
      </c>
      <c r="P43" s="169">
        <f t="shared" si="3"/>
        <v>0.47089241014778982</v>
      </c>
      <c r="Q43" s="165"/>
      <c r="R43" s="165"/>
      <c r="S43" s="49"/>
    </row>
    <row r="44" spans="1:19" x14ac:dyDescent="0.35">
      <c r="A44" s="41" t="s">
        <v>156</v>
      </c>
      <c r="B44" s="165" t="s">
        <v>154</v>
      </c>
      <c r="C44" s="165" t="s">
        <v>260</v>
      </c>
      <c r="D44" s="168" t="s">
        <v>171</v>
      </c>
      <c r="E44" s="177" t="s">
        <v>185</v>
      </c>
      <c r="F44" s="172">
        <v>5.7205942812797286</v>
      </c>
      <c r="G44" s="172">
        <v>5.1107583698315424E-2</v>
      </c>
      <c r="H44" s="172">
        <v>2.126930902562544</v>
      </c>
      <c r="I44" s="172">
        <v>676.8751220703125</v>
      </c>
      <c r="J44" s="172">
        <v>4.0687005352246732</v>
      </c>
      <c r="K44" s="172">
        <f t="shared" si="0"/>
        <v>111.93239569000181</v>
      </c>
      <c r="L44" s="172">
        <f t="shared" si="1"/>
        <v>2.6896004352503926</v>
      </c>
      <c r="M44" s="168">
        <v>-0.48799999999999999</v>
      </c>
      <c r="N44" s="168">
        <v>-1.3140000000000001</v>
      </c>
      <c r="O44" s="168">
        <f t="shared" si="2"/>
        <v>0.82600000000000007</v>
      </c>
      <c r="P44" s="169">
        <f t="shared" si="3"/>
        <v>2.5749768796156705</v>
      </c>
      <c r="Q44" s="165"/>
      <c r="R44" s="165"/>
      <c r="S44" s="49"/>
    </row>
    <row r="45" spans="1:19" x14ac:dyDescent="0.35">
      <c r="A45" s="41" t="s">
        <v>157</v>
      </c>
      <c r="B45" s="165" t="s">
        <v>155</v>
      </c>
      <c r="C45" s="165" t="s">
        <v>260</v>
      </c>
      <c r="D45" s="168" t="s">
        <v>171</v>
      </c>
      <c r="E45" s="177" t="s">
        <v>185</v>
      </c>
      <c r="F45" s="172">
        <v>1.5489000925728438</v>
      </c>
      <c r="G45" s="172">
        <v>8.1803868750627007E-3</v>
      </c>
      <c r="H45" s="172">
        <v>0.38857267909134269</v>
      </c>
      <c r="I45" s="172">
        <v>501.50665283203125</v>
      </c>
      <c r="J45" s="172">
        <v>4.6142294813253333</v>
      </c>
      <c r="K45" s="172">
        <f t="shared" si="0"/>
        <v>189.34313452760409</v>
      </c>
      <c r="L45" s="172">
        <f t="shared" si="1"/>
        <v>3.9861271157685798</v>
      </c>
      <c r="M45" s="168">
        <v>-0.89500000000000002</v>
      </c>
      <c r="N45" s="168">
        <v>-1.4079999999999999</v>
      </c>
      <c r="O45" s="168">
        <f t="shared" si="2"/>
        <v>0.5129999999999999</v>
      </c>
      <c r="P45" s="169">
        <f t="shared" si="3"/>
        <v>0.75745161616246148</v>
      </c>
      <c r="Q45" s="165"/>
      <c r="R45" s="165"/>
      <c r="S45" s="49"/>
    </row>
    <row r="46" spans="1:19" x14ac:dyDescent="0.35">
      <c r="A46" s="41" t="s">
        <v>156</v>
      </c>
      <c r="B46" s="165" t="s">
        <v>154</v>
      </c>
      <c r="C46" s="165" t="s">
        <v>260</v>
      </c>
      <c r="D46" s="168" t="s">
        <v>172</v>
      </c>
      <c r="E46" s="177" t="s">
        <v>185</v>
      </c>
      <c r="F46" s="172">
        <v>0.55010455220183996</v>
      </c>
      <c r="G46" s="172">
        <v>3.7523759703400584E-3</v>
      </c>
      <c r="H46" s="172">
        <v>0.17748597749667216</v>
      </c>
      <c r="I46" s="172">
        <v>390.6298828125</v>
      </c>
      <c r="J46" s="172">
        <v>4.5924574324847445</v>
      </c>
      <c r="K46" s="172">
        <f t="shared" si="0"/>
        <v>146.601661600553</v>
      </c>
      <c r="L46" s="172">
        <f t="shared" si="1"/>
        <v>3.0994254304521287</v>
      </c>
      <c r="M46" s="168">
        <v>-0.99199999999999999</v>
      </c>
      <c r="N46" s="168">
        <v>-1.296</v>
      </c>
      <c r="O46" s="168">
        <f t="shared" si="2"/>
        <v>0.30400000000000005</v>
      </c>
      <c r="P46" s="169">
        <f t="shared" si="3"/>
        <v>0.58383545229168465</v>
      </c>
      <c r="Q46" s="165"/>
      <c r="R46" s="165"/>
      <c r="S46" s="49"/>
    </row>
    <row r="47" spans="1:19" x14ac:dyDescent="0.35">
      <c r="A47" s="41" t="s">
        <v>158</v>
      </c>
      <c r="B47" s="165" t="s">
        <v>155</v>
      </c>
      <c r="C47" s="165" t="s">
        <v>260</v>
      </c>
      <c r="D47" s="168" t="s">
        <v>172</v>
      </c>
      <c r="E47" s="177" t="s">
        <v>185</v>
      </c>
      <c r="F47" s="172">
        <v>6.7366301198931202</v>
      </c>
      <c r="G47" s="172">
        <v>0.12379531212977993</v>
      </c>
      <c r="H47" s="172">
        <v>4.5274024509049093</v>
      </c>
      <c r="I47" s="172">
        <v>318.65127563476563</v>
      </c>
      <c r="J47" s="172">
        <v>3.6038300862102259</v>
      </c>
      <c r="K47" s="172">
        <f t="shared" si="0"/>
        <v>54.417489677079388</v>
      </c>
      <c r="L47" s="172">
        <f t="shared" si="1"/>
        <v>1.487968033092937</v>
      </c>
      <c r="M47" s="168">
        <v>-0.622</v>
      </c>
      <c r="N47" s="168">
        <v>-1.373</v>
      </c>
      <c r="O47" s="168">
        <f t="shared" si="2"/>
        <v>0.751</v>
      </c>
      <c r="P47" s="169">
        <f t="shared" si="3"/>
        <v>6.0284986030691199</v>
      </c>
      <c r="Q47" s="165"/>
      <c r="R47" s="165"/>
      <c r="S47" s="49"/>
    </row>
    <row r="48" spans="1:19" x14ac:dyDescent="0.35">
      <c r="A48" s="41" t="s">
        <v>156</v>
      </c>
      <c r="B48" s="165" t="s">
        <v>154</v>
      </c>
      <c r="C48" s="165" t="s">
        <v>260</v>
      </c>
      <c r="D48" s="168" t="s">
        <v>173</v>
      </c>
      <c r="E48" s="177" t="s">
        <v>185</v>
      </c>
      <c r="F48" s="172">
        <v>1.0614246327866774</v>
      </c>
      <c r="G48" s="172">
        <v>2.4771478344890414E-2</v>
      </c>
      <c r="H48" s="172">
        <v>1.1735765745939328</v>
      </c>
      <c r="I48" s="172">
        <v>471.01336669921875</v>
      </c>
      <c r="J48" s="172">
        <v>4.6054296152141028</v>
      </c>
      <c r="K48" s="172">
        <f t="shared" si="0"/>
        <v>42.848659171995536</v>
      </c>
      <c r="L48" s="172">
        <f t="shared" si="1"/>
        <v>0.90443576990614272</v>
      </c>
      <c r="M48" s="168">
        <v>-0.70899999999999996</v>
      </c>
      <c r="N48" s="168">
        <v>-1.3089999999999999</v>
      </c>
      <c r="O48" s="168">
        <f t="shared" si="2"/>
        <v>0.6</v>
      </c>
      <c r="P48" s="169">
        <f t="shared" si="3"/>
        <v>1.9559609576565549</v>
      </c>
      <c r="Q48" s="165"/>
      <c r="R48" s="165"/>
      <c r="S48" s="49"/>
    </row>
    <row r="49" spans="1:19" x14ac:dyDescent="0.35">
      <c r="A49" s="41" t="s">
        <v>157</v>
      </c>
      <c r="B49" s="165" t="s">
        <v>155</v>
      </c>
      <c r="C49" s="165" t="s">
        <v>260</v>
      </c>
      <c r="D49" s="168" t="s">
        <v>173</v>
      </c>
      <c r="E49" s="177" t="s">
        <v>185</v>
      </c>
      <c r="F49" s="172">
        <v>0.23295302722158975</v>
      </c>
      <c r="G49" s="172">
        <v>1.2985367825507733E-2</v>
      </c>
      <c r="H49" s="172">
        <v>0.63403827393879852</v>
      </c>
      <c r="I49" s="172">
        <v>319.71575927734375</v>
      </c>
      <c r="J49" s="172">
        <v>4.7383088413523309</v>
      </c>
      <c r="K49" s="172">
        <f t="shared" si="0"/>
        <v>17.939655645640613</v>
      </c>
      <c r="L49" s="172">
        <f t="shared" si="1"/>
        <v>0.36741161661176924</v>
      </c>
      <c r="M49" s="168">
        <v>-1.028</v>
      </c>
      <c r="N49" s="168">
        <v>-1.4550000000000001</v>
      </c>
      <c r="O49" s="168">
        <f t="shared" si="2"/>
        <v>0.42700000000000005</v>
      </c>
      <c r="P49" s="169">
        <f t="shared" si="3"/>
        <v>1.4848671520814951</v>
      </c>
      <c r="Q49" s="165"/>
      <c r="R49" s="165"/>
      <c r="S49" s="49"/>
    </row>
    <row r="50" spans="1:19" x14ac:dyDescent="0.35">
      <c r="A50" s="41" t="s">
        <v>156</v>
      </c>
      <c r="B50" s="165" t="s">
        <v>154</v>
      </c>
      <c r="C50" s="165" t="s">
        <v>259</v>
      </c>
      <c r="D50" s="168" t="s">
        <v>162</v>
      </c>
      <c r="E50" s="177" t="s">
        <v>197</v>
      </c>
      <c r="F50" s="172">
        <v>10.055181097209275</v>
      </c>
      <c r="G50" s="172">
        <v>0.25117600492306857</v>
      </c>
      <c r="H50" s="172">
        <v>6.1442580254721193</v>
      </c>
      <c r="I50" s="172">
        <v>302.074951171875</v>
      </c>
      <c r="J50" s="172">
        <v>2.4430130875446263</v>
      </c>
      <c r="K50" s="172">
        <f>F50/G50</f>
        <v>40.032411138512316</v>
      </c>
      <c r="L50" s="172">
        <f t="shared" si="1"/>
        <v>1.6365167373381335</v>
      </c>
      <c r="M50" s="168">
        <v>-0.14299999999999999</v>
      </c>
      <c r="N50" s="168">
        <v>-0.63600000000000001</v>
      </c>
      <c r="O50" s="168">
        <f t="shared" si="2"/>
        <v>0.49299999999999999</v>
      </c>
      <c r="P50" s="169">
        <f t="shared" si="3"/>
        <v>12.462998023270019</v>
      </c>
      <c r="Q50" s="165"/>
      <c r="R50" s="165"/>
      <c r="S50" s="49"/>
    </row>
    <row r="51" spans="1:19" x14ac:dyDescent="0.35">
      <c r="A51" s="41" t="s">
        <v>157</v>
      </c>
      <c r="B51" s="165" t="s">
        <v>155</v>
      </c>
      <c r="C51" s="165" t="s">
        <v>259</v>
      </c>
      <c r="D51" s="168" t="s">
        <v>162</v>
      </c>
      <c r="E51" s="177" t="s">
        <v>197</v>
      </c>
      <c r="F51" s="172">
        <v>10.772269311998175</v>
      </c>
      <c r="G51" s="172">
        <v>0.2127615710469607</v>
      </c>
      <c r="H51" s="172">
        <v>5.062657337655196</v>
      </c>
      <c r="I51" s="172">
        <v>374.542724609375</v>
      </c>
      <c r="J51" s="172">
        <v>2.3680182061400772</v>
      </c>
      <c r="K51" s="172">
        <f t="shared" si="0"/>
        <v>50.630709573114224</v>
      </c>
      <c r="L51" s="172">
        <f t="shared" si="1"/>
        <v>2.1277895369050248</v>
      </c>
      <c r="M51" s="168">
        <v>-0.31</v>
      </c>
      <c r="N51" s="168">
        <v>-0.84299999999999997</v>
      </c>
      <c r="O51" s="168">
        <f t="shared" si="2"/>
        <v>0.53299999999999992</v>
      </c>
      <c r="P51" s="169">
        <f t="shared" si="3"/>
        <v>9.4984190199909886</v>
      </c>
      <c r="Q51" s="165"/>
      <c r="R51" s="165"/>
      <c r="S51" s="49"/>
    </row>
    <row r="52" spans="1:19" x14ac:dyDescent="0.35">
      <c r="A52" s="41" t="s">
        <v>156</v>
      </c>
      <c r="B52" s="165" t="s">
        <v>154</v>
      </c>
      <c r="C52" s="165" t="s">
        <v>259</v>
      </c>
      <c r="D52" s="168" t="s">
        <v>163</v>
      </c>
      <c r="E52" s="177" t="s">
        <v>197</v>
      </c>
      <c r="F52" s="172">
        <v>13.050272596166014</v>
      </c>
      <c r="G52" s="172">
        <v>0.28051031310386504</v>
      </c>
      <c r="H52" s="172">
        <v>6.4495742988306759</v>
      </c>
      <c r="I52" s="172">
        <v>376.09503173828125</v>
      </c>
      <c r="J52" s="172">
        <v>2.3034408725364912</v>
      </c>
      <c r="K52" s="172">
        <f t="shared" si="0"/>
        <v>46.52332547692771</v>
      </c>
      <c r="L52" s="172">
        <f t="shared" si="1"/>
        <v>2.0234316237789618</v>
      </c>
      <c r="M52" s="168">
        <v>-0.20499999999999999</v>
      </c>
      <c r="N52" s="168">
        <v>-0.72399999999999998</v>
      </c>
      <c r="O52" s="168">
        <f t="shared" si="2"/>
        <v>0.51900000000000002</v>
      </c>
      <c r="P52" s="169">
        <f t="shared" si="3"/>
        <v>12.426925431272979</v>
      </c>
      <c r="Q52" s="165"/>
      <c r="R52" s="165"/>
      <c r="S52" s="49"/>
    </row>
    <row r="53" spans="1:19" x14ac:dyDescent="0.35">
      <c r="A53" s="41" t="s">
        <v>157</v>
      </c>
      <c r="B53" s="165" t="s">
        <v>155</v>
      </c>
      <c r="C53" s="165" t="s">
        <v>259</v>
      </c>
      <c r="D53" s="168" t="s">
        <v>163</v>
      </c>
      <c r="E53" s="177" t="s">
        <v>197</v>
      </c>
      <c r="F53" s="172">
        <v>13.192098235221007</v>
      </c>
      <c r="G53" s="172">
        <v>0.28888291107908409</v>
      </c>
      <c r="H53" s="172">
        <v>6.8171139325180699</v>
      </c>
      <c r="I53" s="172">
        <v>509.08877563476563</v>
      </c>
      <c r="J53" s="172">
        <v>2.3644049146259003</v>
      </c>
      <c r="K53" s="172">
        <f t="shared" si="0"/>
        <v>45.665900367535279</v>
      </c>
      <c r="L53" s="172">
        <f t="shared" si="1"/>
        <v>1.9351441630297321</v>
      </c>
      <c r="M53" s="168">
        <v>-0.51800000000000002</v>
      </c>
      <c r="N53" s="168">
        <v>-0.64300000000000002</v>
      </c>
      <c r="O53" s="168">
        <f t="shared" si="2"/>
        <v>0.125</v>
      </c>
      <c r="P53" s="169">
        <f t="shared" si="3"/>
        <v>54.536911460144559</v>
      </c>
      <c r="Q53" s="165"/>
      <c r="R53" s="165"/>
      <c r="S53" s="49"/>
    </row>
    <row r="54" spans="1:19" x14ac:dyDescent="0.35">
      <c r="A54" s="41" t="s">
        <v>156</v>
      </c>
      <c r="B54" s="165" t="s">
        <v>154</v>
      </c>
      <c r="C54" s="165" t="s">
        <v>259</v>
      </c>
      <c r="D54" s="168" t="s">
        <v>164</v>
      </c>
      <c r="E54" s="177" t="s">
        <v>197</v>
      </c>
      <c r="F54" s="172">
        <v>9.9011973677691039</v>
      </c>
      <c r="G54" s="172">
        <v>0.13890728231381974</v>
      </c>
      <c r="H54" s="172">
        <v>4.049099935212837</v>
      </c>
      <c r="I54" s="172">
        <v>668.78729248046875</v>
      </c>
      <c r="J54" s="172">
        <v>2.8697516194315957</v>
      </c>
      <c r="K54" s="172">
        <f t="shared" si="0"/>
        <v>71.27918135638339</v>
      </c>
      <c r="L54" s="172">
        <f t="shared" si="1"/>
        <v>2.4452835262631414</v>
      </c>
      <c r="M54" s="168">
        <v>-0.30099999999999999</v>
      </c>
      <c r="N54" s="168">
        <v>-0.504</v>
      </c>
      <c r="O54" s="168">
        <f t="shared" si="2"/>
        <v>0.20300000000000001</v>
      </c>
      <c r="P54" s="169">
        <f t="shared" si="3"/>
        <v>19.946305099570623</v>
      </c>
      <c r="Q54" s="165"/>
      <c r="R54" s="165"/>
      <c r="S54" s="49"/>
    </row>
    <row r="55" spans="1:19" x14ac:dyDescent="0.35">
      <c r="A55" s="41" t="s">
        <v>157</v>
      </c>
      <c r="B55" s="165" t="s">
        <v>155</v>
      </c>
      <c r="C55" s="165" t="s">
        <v>259</v>
      </c>
      <c r="D55" s="168" t="s">
        <v>164</v>
      </c>
      <c r="E55" s="177" t="s">
        <v>197</v>
      </c>
      <c r="F55" s="172">
        <v>12.565836995071914</v>
      </c>
      <c r="G55" s="172">
        <v>0.33251642133414661</v>
      </c>
      <c r="H55" s="172">
        <v>6.8475318016846174</v>
      </c>
      <c r="I55" s="172">
        <v>420.22518920898438</v>
      </c>
      <c r="J55" s="172">
        <v>2.0740835019834849</v>
      </c>
      <c r="K55" s="172">
        <f t="shared" si="0"/>
        <v>37.790124603934892</v>
      </c>
      <c r="L55" s="172">
        <f t="shared" si="1"/>
        <v>1.8350899797180189</v>
      </c>
      <c r="M55" s="168">
        <v>-0.50900000000000001</v>
      </c>
      <c r="N55" s="168">
        <v>-0.76800000000000002</v>
      </c>
      <c r="O55" s="168">
        <f t="shared" si="2"/>
        <v>0.25900000000000001</v>
      </c>
      <c r="P55" s="169">
        <f t="shared" si="3"/>
        <v>26.43834672465103</v>
      </c>
      <c r="Q55" s="165"/>
      <c r="R55" s="165"/>
      <c r="S55" s="49"/>
    </row>
    <row r="56" spans="1:19" x14ac:dyDescent="0.35">
      <c r="A56" s="41" t="s">
        <v>156</v>
      </c>
      <c r="B56" s="165" t="s">
        <v>154</v>
      </c>
      <c r="C56" s="165" t="s">
        <v>259</v>
      </c>
      <c r="D56" s="168" t="s">
        <v>165</v>
      </c>
      <c r="E56" s="177" t="s">
        <v>197</v>
      </c>
      <c r="F56" s="172">
        <v>13.91315736885827</v>
      </c>
      <c r="G56" s="172">
        <v>0.2371398305598057</v>
      </c>
      <c r="H56" s="172">
        <v>6.1734679314205403</v>
      </c>
      <c r="I56" s="172">
        <v>389.33926391601563</v>
      </c>
      <c r="J56" s="172">
        <v>2.5890231573940583</v>
      </c>
      <c r="K56" s="172">
        <f t="shared" si="0"/>
        <v>58.670689508439317</v>
      </c>
      <c r="L56" s="172">
        <f t="shared" si="1"/>
        <v>2.2537020558648622</v>
      </c>
      <c r="M56" s="168">
        <v>-0.28499999999999998</v>
      </c>
      <c r="N56" s="168">
        <v>-0.51600000000000001</v>
      </c>
      <c r="O56" s="168">
        <f t="shared" si="2"/>
        <v>0.23100000000000004</v>
      </c>
      <c r="P56" s="169">
        <f t="shared" si="3"/>
        <v>26.724969400088913</v>
      </c>
      <c r="Q56" s="165"/>
      <c r="R56" s="165"/>
      <c r="S56" s="49"/>
    </row>
    <row r="57" spans="1:19" x14ac:dyDescent="0.35">
      <c r="A57" s="41" t="s">
        <v>157</v>
      </c>
      <c r="B57" s="165" t="s">
        <v>155</v>
      </c>
      <c r="C57" s="165" t="s">
        <v>259</v>
      </c>
      <c r="D57" s="168" t="s">
        <v>165</v>
      </c>
      <c r="E57" s="177" t="s">
        <v>197</v>
      </c>
      <c r="F57" s="172">
        <v>16.115709852038037</v>
      </c>
      <c r="G57" s="172">
        <v>0.34860921906857423</v>
      </c>
      <c r="H57" s="172">
        <v>8.2743425359303764</v>
      </c>
      <c r="I57" s="172">
        <v>677.369873046875</v>
      </c>
      <c r="J57" s="172">
        <v>2.388192635762608</v>
      </c>
      <c r="K57" s="172">
        <f t="shared" si="0"/>
        <v>46.228581949429021</v>
      </c>
      <c r="L57" s="172">
        <f t="shared" si="1"/>
        <v>1.9476725530829102</v>
      </c>
      <c r="M57" s="168">
        <v>-0.32700000000000001</v>
      </c>
      <c r="N57" s="168">
        <v>-0.51</v>
      </c>
      <c r="O57" s="168">
        <f t="shared" si="2"/>
        <v>0.183</v>
      </c>
      <c r="P57" s="169">
        <f t="shared" si="3"/>
        <v>45.214986535138671</v>
      </c>
      <c r="Q57" s="165"/>
      <c r="R57" s="165"/>
      <c r="S57" s="49"/>
    </row>
    <row r="58" spans="1:19" x14ac:dyDescent="0.35">
      <c r="A58" s="41" t="s">
        <v>156</v>
      </c>
      <c r="B58" s="165" t="s">
        <v>154</v>
      </c>
      <c r="C58" s="165" t="s">
        <v>259</v>
      </c>
      <c r="D58" s="168" t="s">
        <v>166</v>
      </c>
      <c r="E58" s="177" t="s">
        <v>197</v>
      </c>
      <c r="F58" s="172">
        <v>16.113537065278532</v>
      </c>
      <c r="G58" s="172">
        <v>0.27793911366095769</v>
      </c>
      <c r="H58" s="172">
        <v>7.0290809080435972</v>
      </c>
      <c r="I58" s="172">
        <v>564.7940673828125</v>
      </c>
      <c r="J58" s="172">
        <v>2.5250438102048589</v>
      </c>
      <c r="K58" s="172">
        <f t="shared" si="0"/>
        <v>57.975060987402195</v>
      </c>
      <c r="L58" s="172">
        <f t="shared" si="1"/>
        <v>2.2924102419762029</v>
      </c>
      <c r="M58" s="168">
        <v>-0.20499999999999999</v>
      </c>
      <c r="N58" s="168">
        <v>-0.88200000000000001</v>
      </c>
      <c r="O58" s="168">
        <f t="shared" si="2"/>
        <v>0.67700000000000005</v>
      </c>
      <c r="P58" s="169">
        <f t="shared" si="3"/>
        <v>10.382689672147114</v>
      </c>
      <c r="Q58" s="165"/>
      <c r="R58" s="165"/>
      <c r="S58" s="49"/>
    </row>
    <row r="59" spans="1:19" x14ac:dyDescent="0.35">
      <c r="A59" s="41" t="s">
        <v>157</v>
      </c>
      <c r="B59" s="165" t="s">
        <v>155</v>
      </c>
      <c r="C59" s="165" t="s">
        <v>259</v>
      </c>
      <c r="D59" s="168" t="s">
        <v>166</v>
      </c>
      <c r="E59" s="177" t="s">
        <v>197</v>
      </c>
      <c r="F59" s="172">
        <v>14.639241092246115</v>
      </c>
      <c r="G59" s="172">
        <v>0.27742540753853073</v>
      </c>
      <c r="H59" s="172">
        <v>6.7688550788191097</v>
      </c>
      <c r="I59" s="172">
        <v>428.72238159179688</v>
      </c>
      <c r="J59" s="172">
        <v>2.4368857548902976</v>
      </c>
      <c r="K59" s="172">
        <f t="shared" si="0"/>
        <v>52.768206135600316</v>
      </c>
      <c r="L59" s="172">
        <f t="shared" si="1"/>
        <v>2.1627351925519536</v>
      </c>
      <c r="M59" s="168">
        <v>-0.39300000000000002</v>
      </c>
      <c r="N59" s="168">
        <v>-0.78100000000000003</v>
      </c>
      <c r="O59" s="168">
        <f t="shared" si="2"/>
        <v>0.38800000000000001</v>
      </c>
      <c r="P59" s="169">
        <f t="shared" si="3"/>
        <v>17.445502780461624</v>
      </c>
      <c r="Q59" s="165"/>
      <c r="R59" s="165"/>
      <c r="S59" s="49"/>
    </row>
    <row r="60" spans="1:19" x14ac:dyDescent="0.35">
      <c r="A60" s="41" t="s">
        <v>156</v>
      </c>
      <c r="B60" s="165" t="s">
        <v>154</v>
      </c>
      <c r="C60" s="165" t="s">
        <v>259</v>
      </c>
      <c r="D60" s="168" t="s">
        <v>167</v>
      </c>
      <c r="E60" s="177" t="s">
        <v>197</v>
      </c>
      <c r="F60" s="172">
        <v>17.655366370391171</v>
      </c>
      <c r="G60" s="172">
        <v>0.276053036373137</v>
      </c>
      <c r="H60" s="172">
        <v>8.0848450029924912</v>
      </c>
      <c r="I60" s="172">
        <v>561.0223388671875</v>
      </c>
      <c r="J60" s="172">
        <v>2.91576845275676</v>
      </c>
      <c r="K60" s="172">
        <f t="shared" si="0"/>
        <v>63.956428816550535</v>
      </c>
      <c r="L60" s="172">
        <f t="shared" si="1"/>
        <v>2.1837606489495207</v>
      </c>
      <c r="M60" s="168">
        <v>-0.20599999999999999</v>
      </c>
      <c r="N60" s="168">
        <v>-0.82599999999999996</v>
      </c>
      <c r="O60" s="168">
        <f t="shared" si="2"/>
        <v>0.62</v>
      </c>
      <c r="P60" s="169">
        <f t="shared" si="3"/>
        <v>13.04007258547176</v>
      </c>
      <c r="Q60" s="165"/>
      <c r="R60" s="165"/>
      <c r="S60" s="49"/>
    </row>
    <row r="61" spans="1:19" x14ac:dyDescent="0.35">
      <c r="A61" s="41" t="s">
        <v>157</v>
      </c>
      <c r="B61" s="165" t="s">
        <v>155</v>
      </c>
      <c r="C61" s="165" t="s">
        <v>259</v>
      </c>
      <c r="D61" s="168" t="s">
        <v>167</v>
      </c>
      <c r="E61" s="177" t="s">
        <v>197</v>
      </c>
      <c r="F61" s="172">
        <v>16.955857369983914</v>
      </c>
      <c r="G61" s="172">
        <v>0.23478845120519246</v>
      </c>
      <c r="H61" s="172">
        <v>6.6105231975334053</v>
      </c>
      <c r="I61" s="172">
        <v>352.593017578125</v>
      </c>
      <c r="J61" s="172">
        <v>2.7941908597448837</v>
      </c>
      <c r="K61" s="172">
        <f t="shared" si="0"/>
        <v>72.217595384048124</v>
      </c>
      <c r="L61" s="172">
        <f t="shared" si="1"/>
        <v>2.5649796337316659</v>
      </c>
      <c r="M61" s="168">
        <v>-0.20499999999999999</v>
      </c>
      <c r="N61" s="168">
        <v>-0.503</v>
      </c>
      <c r="O61" s="168">
        <f t="shared" si="2"/>
        <v>0.29800000000000004</v>
      </c>
      <c r="P61" s="169">
        <f>(H61/O61)</f>
        <v>22.182963750112094</v>
      </c>
      <c r="Q61" s="165"/>
      <c r="R61" s="165"/>
      <c r="S61" s="49"/>
    </row>
    <row r="62" spans="1:19" x14ac:dyDescent="0.35">
      <c r="A62" s="41" t="s">
        <v>156</v>
      </c>
      <c r="B62" s="165" t="s">
        <v>154</v>
      </c>
      <c r="C62" s="165" t="s">
        <v>260</v>
      </c>
      <c r="D62" s="168" t="s">
        <v>168</v>
      </c>
      <c r="E62" s="177" t="s">
        <v>197</v>
      </c>
      <c r="F62" s="172">
        <v>16.205175931909213</v>
      </c>
      <c r="G62" s="172">
        <v>0.16158058216349622</v>
      </c>
      <c r="H62" s="172">
        <v>5.0520743381050757</v>
      </c>
      <c r="I62" s="172">
        <v>623.03680419921875</v>
      </c>
      <c r="J62" s="172">
        <v>3.0764684051833542</v>
      </c>
      <c r="K62" s="172">
        <f t="shared" si="0"/>
        <v>100.29160506125616</v>
      </c>
      <c r="L62" s="172">
        <f t="shared" si="1"/>
        <v>3.2076281636796788</v>
      </c>
      <c r="M62" s="168">
        <v>-0.214</v>
      </c>
      <c r="N62" s="168">
        <v>-0.92700000000000005</v>
      </c>
      <c r="O62" s="168">
        <f t="shared" si="2"/>
        <v>0.71300000000000008</v>
      </c>
      <c r="P62" s="169">
        <f t="shared" si="3"/>
        <v>7.085658258211887</v>
      </c>
      <c r="Q62" s="165"/>
      <c r="R62" s="165"/>
      <c r="S62" s="49"/>
    </row>
    <row r="63" spans="1:19" x14ac:dyDescent="0.35">
      <c r="A63" s="41" t="s">
        <v>157</v>
      </c>
      <c r="B63" s="165" t="s">
        <v>155</v>
      </c>
      <c r="C63" s="165" t="s">
        <v>260</v>
      </c>
      <c r="D63" s="168" t="s">
        <v>168</v>
      </c>
      <c r="E63" s="177" t="s">
        <v>197</v>
      </c>
      <c r="F63" s="172">
        <v>19.765598962216071</v>
      </c>
      <c r="G63" s="172">
        <v>0.24500867180690991</v>
      </c>
      <c r="H63" s="172">
        <v>7.7294571303680142</v>
      </c>
      <c r="I63" s="172">
        <v>603.86053466796875</v>
      </c>
      <c r="J63" s="172">
        <v>3.1270517267331761</v>
      </c>
      <c r="K63" s="172">
        <f t="shared" si="0"/>
        <v>80.673058698074328</v>
      </c>
      <c r="L63" s="172">
        <f t="shared" si="1"/>
        <v>2.5571781599718886</v>
      </c>
      <c r="M63" s="168">
        <v>-0.24399999999999999</v>
      </c>
      <c r="N63" s="168">
        <v>-0.621</v>
      </c>
      <c r="O63" s="168">
        <f t="shared" si="2"/>
        <v>0.377</v>
      </c>
      <c r="P63" s="169">
        <f t="shared" si="3"/>
        <v>20.502538807342212</v>
      </c>
      <c r="Q63" s="165"/>
      <c r="R63" s="165"/>
      <c r="S63" s="49"/>
    </row>
    <row r="64" spans="1:19" x14ac:dyDescent="0.35">
      <c r="A64" s="41" t="s">
        <v>156</v>
      </c>
      <c r="B64" s="165" t="s">
        <v>154</v>
      </c>
      <c r="C64" s="165" t="s">
        <v>260</v>
      </c>
      <c r="D64" s="168" t="s">
        <v>169</v>
      </c>
      <c r="E64" s="177" t="s">
        <v>197</v>
      </c>
      <c r="F64" s="172">
        <v>18.700929953575852</v>
      </c>
      <c r="G64" s="172">
        <v>0.25073014833323565</v>
      </c>
      <c r="H64" s="172">
        <v>6.954177872117234</v>
      </c>
      <c r="I64" s="172">
        <v>556.0721435546875</v>
      </c>
      <c r="J64" s="172">
        <v>2.7566971539434877</v>
      </c>
      <c r="K64" s="172">
        <f t="shared" si="0"/>
        <v>74.585884776493558</v>
      </c>
      <c r="L64" s="172">
        <f t="shared" si="1"/>
        <v>2.6891647434784782</v>
      </c>
      <c r="M64" s="168">
        <v>-0.24399999999999999</v>
      </c>
      <c r="N64" s="168">
        <v>-0.84699999999999998</v>
      </c>
      <c r="O64" s="168">
        <f t="shared" si="2"/>
        <v>0.60299999999999998</v>
      </c>
      <c r="P64" s="169">
        <f t="shared" si="3"/>
        <v>11.532633287093258</v>
      </c>
      <c r="Q64" s="165"/>
      <c r="R64" s="165"/>
      <c r="S64" s="49"/>
    </row>
    <row r="65" spans="1:19" x14ac:dyDescent="0.35">
      <c r="A65" s="41" t="s">
        <v>157</v>
      </c>
      <c r="B65" s="165" t="s">
        <v>155</v>
      </c>
      <c r="C65" s="165" t="s">
        <v>260</v>
      </c>
      <c r="D65" s="168" t="s">
        <v>169</v>
      </c>
      <c r="E65" s="177" t="s">
        <v>197</v>
      </c>
      <c r="F65" s="172">
        <v>20.56068686268188</v>
      </c>
      <c r="G65" s="172">
        <v>0.21737741002531602</v>
      </c>
      <c r="H65" s="172">
        <v>7.0982641498694523</v>
      </c>
      <c r="I65" s="172">
        <v>658.1202392578125</v>
      </c>
      <c r="J65" s="172">
        <v>3.2259408182729747</v>
      </c>
      <c r="K65" s="172">
        <f t="shared" si="0"/>
        <v>94.585204876106303</v>
      </c>
      <c r="L65" s="172">
        <f t="shared" si="1"/>
        <v>2.8965795620694141</v>
      </c>
      <c r="M65" s="168">
        <v>-0.307</v>
      </c>
      <c r="N65" s="168">
        <v>-0.86499999999999999</v>
      </c>
      <c r="O65" s="168">
        <f t="shared" si="2"/>
        <v>0.55800000000000005</v>
      </c>
      <c r="P65" s="169">
        <f t="shared" si="3"/>
        <v>12.720903494389699</v>
      </c>
      <c r="Q65" s="165"/>
      <c r="R65" s="165"/>
      <c r="S65" s="49"/>
    </row>
    <row r="66" spans="1:19" x14ac:dyDescent="0.35">
      <c r="A66" s="41" t="s">
        <v>156</v>
      </c>
      <c r="B66" s="165" t="s">
        <v>154</v>
      </c>
      <c r="C66" s="165" t="s">
        <v>260</v>
      </c>
      <c r="D66" s="168" t="s">
        <v>170</v>
      </c>
      <c r="E66" s="177" t="s">
        <v>197</v>
      </c>
      <c r="F66" s="172">
        <v>17.68756084710159</v>
      </c>
      <c r="G66" s="172">
        <v>0.19223852611696476</v>
      </c>
      <c r="H66" s="172">
        <v>6.4006190905945468</v>
      </c>
      <c r="I66" s="172">
        <v>529.08367919921875</v>
      </c>
      <c r="J66" s="172">
        <v>3.2803816139901638</v>
      </c>
      <c r="K66" s="172">
        <f t="shared" si="0"/>
        <v>92.0084085348212</v>
      </c>
      <c r="L66" s="172">
        <f t="shared" si="1"/>
        <v>2.7634140692878839</v>
      </c>
      <c r="M66" s="168">
        <v>-0.31</v>
      </c>
      <c r="N66" s="168">
        <v>-0.86299999999999999</v>
      </c>
      <c r="O66" s="168">
        <f t="shared" si="2"/>
        <v>0.55299999999999994</v>
      </c>
      <c r="P66" s="169">
        <f t="shared" si="3"/>
        <v>11.574356402521786</v>
      </c>
      <c r="Q66" s="165"/>
      <c r="R66" s="165"/>
      <c r="S66" s="49"/>
    </row>
    <row r="67" spans="1:19" x14ac:dyDescent="0.35">
      <c r="A67" s="41" t="s">
        <v>157</v>
      </c>
      <c r="B67" s="165" t="s">
        <v>155</v>
      </c>
      <c r="C67" s="165" t="s">
        <v>260</v>
      </c>
      <c r="D67" s="168" t="s">
        <v>170</v>
      </c>
      <c r="E67" s="177" t="s">
        <v>197</v>
      </c>
      <c r="F67" s="172">
        <v>14.641682471217788</v>
      </c>
      <c r="G67" s="172">
        <v>0.19605493816524069</v>
      </c>
      <c r="H67" s="172">
        <v>5.932539129848883</v>
      </c>
      <c r="I67" s="172">
        <v>628.58502197265625</v>
      </c>
      <c r="J67" s="172">
        <v>2.9874156280093542</v>
      </c>
      <c r="K67" s="172">
        <f t="shared" ref="K67:K78" si="6">F67/G67</f>
        <v>74.681528597241254</v>
      </c>
      <c r="L67" s="172">
        <f t="shared" ref="L67:L78" si="7">F67/H67</f>
        <v>2.4680296498256302</v>
      </c>
      <c r="M67" s="168">
        <v>-0.29599999999999999</v>
      </c>
      <c r="N67" s="168">
        <v>-0.69399999999999995</v>
      </c>
      <c r="O67" s="168">
        <f t="shared" ref="O67:O97" si="8">M67-N67</f>
        <v>0.39799999999999996</v>
      </c>
      <c r="P67" s="169">
        <f t="shared" ref="P67:P97" si="9">(H67/O67)</f>
        <v>14.905877210675587</v>
      </c>
      <c r="Q67" s="165"/>
      <c r="R67" s="165"/>
      <c r="S67" s="49"/>
    </row>
    <row r="68" spans="1:19" x14ac:dyDescent="0.35">
      <c r="A68" s="41" t="s">
        <v>156</v>
      </c>
      <c r="B68" s="165" t="s">
        <v>154</v>
      </c>
      <c r="C68" s="165" t="s">
        <v>260</v>
      </c>
      <c r="D68" s="168" t="s">
        <v>171</v>
      </c>
      <c r="E68" s="177" t="s">
        <v>197</v>
      </c>
      <c r="F68" s="172">
        <v>19.568174942495766</v>
      </c>
      <c r="G68" s="172">
        <v>0.27532616923816422</v>
      </c>
      <c r="H68" s="172">
        <v>7.2570506367297458</v>
      </c>
      <c r="I68" s="172">
        <v>718.22442626953125</v>
      </c>
      <c r="J68" s="172">
        <v>2.6273230501788056</v>
      </c>
      <c r="K68" s="172">
        <f t="shared" si="6"/>
        <v>71.072702593587437</v>
      </c>
      <c r="L68" s="172">
        <f t="shared" si="7"/>
        <v>2.6964363240703246</v>
      </c>
      <c r="M68" s="168">
        <v>-0.23200000000000001</v>
      </c>
      <c r="N68" s="168">
        <v>-0.88100000000000001</v>
      </c>
      <c r="O68" s="168">
        <f t="shared" si="8"/>
        <v>0.64900000000000002</v>
      </c>
      <c r="P68" s="169">
        <f t="shared" si="9"/>
        <v>11.181896204514246</v>
      </c>
      <c r="Q68" s="165"/>
      <c r="R68" s="165"/>
      <c r="S68" s="49"/>
    </row>
    <row r="69" spans="1:19" x14ac:dyDescent="0.35">
      <c r="A69" s="41" t="s">
        <v>157</v>
      </c>
      <c r="B69" s="165" t="s">
        <v>155</v>
      </c>
      <c r="C69" s="165" t="s">
        <v>260</v>
      </c>
      <c r="D69" s="168" t="s">
        <v>171</v>
      </c>
      <c r="E69" s="177" t="s">
        <v>197</v>
      </c>
      <c r="F69" s="172">
        <v>13.196154496060716</v>
      </c>
      <c r="G69" s="172">
        <v>0.11225092140480863</v>
      </c>
      <c r="H69" s="172">
        <v>3.8428279707019062</v>
      </c>
      <c r="I69" s="172">
        <v>733.66204833984375</v>
      </c>
      <c r="J69" s="172">
        <v>3.3463384504170022</v>
      </c>
      <c r="K69" s="172">
        <f t="shared" si="6"/>
        <v>117.55943141412304</v>
      </c>
      <c r="L69" s="172">
        <f t="shared" si="7"/>
        <v>3.4339696173415724</v>
      </c>
      <c r="M69" s="168">
        <v>-0.27800000000000002</v>
      </c>
      <c r="N69" s="168">
        <v>-0.71399999999999997</v>
      </c>
      <c r="O69" s="168">
        <f t="shared" si="8"/>
        <v>0.43599999999999994</v>
      </c>
      <c r="P69" s="169">
        <f t="shared" si="9"/>
        <v>8.8138256208759334</v>
      </c>
      <c r="Q69" s="165"/>
      <c r="R69" s="165"/>
      <c r="S69" s="49"/>
    </row>
    <row r="70" spans="1:19" x14ac:dyDescent="0.35">
      <c r="A70" s="41" t="s">
        <v>156</v>
      </c>
      <c r="B70" s="165" t="s">
        <v>154</v>
      </c>
      <c r="C70" s="165" t="s">
        <v>260</v>
      </c>
      <c r="D70" s="168" t="s">
        <v>172</v>
      </c>
      <c r="E70" s="177" t="s">
        <v>197</v>
      </c>
      <c r="F70" s="172">
        <v>22.496051254256869</v>
      </c>
      <c r="G70" s="172">
        <v>0.39441733115924749</v>
      </c>
      <c r="H70" s="172">
        <v>9.6775549261694191</v>
      </c>
      <c r="I70" s="172">
        <v>376.52548217773438</v>
      </c>
      <c r="J70" s="172">
        <v>2.475469301732411</v>
      </c>
      <c r="K70" s="172">
        <f t="shared" si="6"/>
        <v>57.036163162855551</v>
      </c>
      <c r="L70" s="172">
        <f t="shared" si="7"/>
        <v>2.3245593981000821</v>
      </c>
      <c r="M70" s="168">
        <v>-0.24099999999999999</v>
      </c>
      <c r="N70" s="168">
        <v>-0.82399999999999995</v>
      </c>
      <c r="O70" s="168">
        <f t="shared" si="8"/>
        <v>0.58299999999999996</v>
      </c>
      <c r="P70" s="169">
        <f t="shared" si="9"/>
        <v>16.599579633223705</v>
      </c>
      <c r="Q70" s="165"/>
      <c r="R70" s="165"/>
      <c r="S70" s="49"/>
    </row>
    <row r="71" spans="1:19" x14ac:dyDescent="0.35">
      <c r="A71" s="41" t="s">
        <v>158</v>
      </c>
      <c r="B71" s="165" t="s">
        <v>155</v>
      </c>
      <c r="C71" s="165" t="s">
        <v>260</v>
      </c>
      <c r="D71" s="168" t="s">
        <v>172</v>
      </c>
      <c r="E71" s="177" t="s">
        <v>197</v>
      </c>
      <c r="F71" s="172">
        <v>25.397847805636061</v>
      </c>
      <c r="G71" s="172">
        <v>0.37649944010021857</v>
      </c>
      <c r="H71" s="172">
        <v>8.8363597152666564</v>
      </c>
      <c r="I71" s="172">
        <v>555.8082275390625</v>
      </c>
      <c r="J71" s="172">
        <v>2.3654569366328859</v>
      </c>
      <c r="K71" s="172">
        <f t="shared" si="6"/>
        <v>67.45786341375576</v>
      </c>
      <c r="L71" s="172">
        <f t="shared" si="7"/>
        <v>2.8742433110499084</v>
      </c>
      <c r="M71" s="168">
        <v>-0.32600000000000001</v>
      </c>
      <c r="N71" s="168">
        <v>-0.997</v>
      </c>
      <c r="O71" s="168">
        <f t="shared" si="8"/>
        <v>0.67100000000000004</v>
      </c>
      <c r="P71" s="169">
        <f t="shared" si="9"/>
        <v>13.168941453452542</v>
      </c>
      <c r="Q71" s="165"/>
      <c r="R71" s="165"/>
      <c r="S71" s="49"/>
    </row>
    <row r="72" spans="1:19" x14ac:dyDescent="0.35">
      <c r="A72" s="41" t="s">
        <v>156</v>
      </c>
      <c r="B72" s="165" t="s">
        <v>154</v>
      </c>
      <c r="C72" s="165" t="s">
        <v>260</v>
      </c>
      <c r="D72" s="168" t="s">
        <v>173</v>
      </c>
      <c r="E72" s="177" t="s">
        <v>197</v>
      </c>
      <c r="F72" s="172">
        <v>22.107623398389855</v>
      </c>
      <c r="G72" s="172">
        <v>0.27708683701497488</v>
      </c>
      <c r="H72" s="172">
        <v>8.8081685648272376</v>
      </c>
      <c r="I72" s="172">
        <v>609.74517822265625</v>
      </c>
      <c r="J72" s="172">
        <v>3.1576729389377967</v>
      </c>
      <c r="K72" s="172">
        <f t="shared" si="6"/>
        <v>79.785902630932512</v>
      </c>
      <c r="L72" s="172">
        <f t="shared" si="7"/>
        <v>2.5099001268742716</v>
      </c>
      <c r="M72" s="168">
        <v>-0.216</v>
      </c>
      <c r="N72" s="168">
        <v>-1.1639999999999999</v>
      </c>
      <c r="O72" s="168">
        <f t="shared" si="8"/>
        <v>0.94799999999999995</v>
      </c>
      <c r="P72" s="169">
        <f t="shared" si="9"/>
        <v>9.2913170515055246</v>
      </c>
      <c r="Q72" s="165"/>
      <c r="R72" s="165"/>
      <c r="S72" s="49"/>
    </row>
    <row r="73" spans="1:19" x14ac:dyDescent="0.35">
      <c r="A73" s="41" t="s">
        <v>157</v>
      </c>
      <c r="B73" s="165" t="s">
        <v>155</v>
      </c>
      <c r="C73" s="165" t="s">
        <v>260</v>
      </c>
      <c r="D73" s="168" t="s">
        <v>173</v>
      </c>
      <c r="E73" s="177" t="s">
        <v>197</v>
      </c>
      <c r="F73" s="172">
        <v>21.801801458777057</v>
      </c>
      <c r="G73" s="172">
        <v>0.24080716270074032</v>
      </c>
      <c r="H73" s="172">
        <v>7.8462192887036908</v>
      </c>
      <c r="I73" s="172">
        <v>705.10986328125</v>
      </c>
      <c r="J73" s="172">
        <v>3.2244998234694688</v>
      </c>
      <c r="K73" s="172">
        <f t="shared" si="6"/>
        <v>90.536349559796676</v>
      </c>
      <c r="L73" s="172">
        <f t="shared" si="7"/>
        <v>2.778637794404422</v>
      </c>
      <c r="M73" s="168">
        <v>-0.27200000000000002</v>
      </c>
      <c r="N73" s="168">
        <v>-1.075</v>
      </c>
      <c r="O73" s="168">
        <f t="shared" si="8"/>
        <v>0.80299999999999994</v>
      </c>
      <c r="P73" s="169">
        <f t="shared" si="9"/>
        <v>9.7711323645126917</v>
      </c>
      <c r="Q73" s="165"/>
      <c r="R73" s="165"/>
      <c r="S73" s="49"/>
    </row>
    <row r="74" spans="1:19" x14ac:dyDescent="0.35">
      <c r="A74" s="41" t="s">
        <v>156</v>
      </c>
      <c r="B74" s="165" t="s">
        <v>154</v>
      </c>
      <c r="C74" s="165" t="s">
        <v>259</v>
      </c>
      <c r="D74" s="168" t="s">
        <v>162</v>
      </c>
      <c r="E74" s="177" t="s">
        <v>198</v>
      </c>
      <c r="F74" s="169">
        <v>18.23116120575477</v>
      </c>
      <c r="G74" s="169">
        <v>0.14342801142771236</v>
      </c>
      <c r="H74" s="169">
        <v>5.4706218873524595</v>
      </c>
      <c r="I74" s="169">
        <v>435.59323120117188</v>
      </c>
      <c r="J74" s="169">
        <v>3.7600401731176762</v>
      </c>
      <c r="K74" s="169">
        <f>F74/G74</f>
        <v>127.11018596910036</v>
      </c>
      <c r="L74" s="169">
        <f>F74/H74</f>
        <v>3.3325573547503664</v>
      </c>
      <c r="M74" s="168">
        <v>-0.252</v>
      </c>
      <c r="N74" s="168">
        <v>-0.504</v>
      </c>
      <c r="O74" s="168">
        <f t="shared" si="8"/>
        <v>0.252</v>
      </c>
      <c r="P74" s="169">
        <f t="shared" si="9"/>
        <v>21.70881701330341</v>
      </c>
      <c r="Q74" s="165"/>
      <c r="R74" s="165"/>
      <c r="S74" s="49"/>
    </row>
    <row r="75" spans="1:19" x14ac:dyDescent="0.35">
      <c r="A75" s="41" t="s">
        <v>157</v>
      </c>
      <c r="B75" s="165" t="s">
        <v>155</v>
      </c>
      <c r="C75" s="165" t="s">
        <v>259</v>
      </c>
      <c r="D75" s="168" t="s">
        <v>162</v>
      </c>
      <c r="E75" s="177" t="s">
        <v>198</v>
      </c>
      <c r="F75" s="169">
        <v>16.260582438883787</v>
      </c>
      <c r="G75" s="169">
        <v>0.14001715654298169</v>
      </c>
      <c r="H75" s="169">
        <v>5.050850027699326</v>
      </c>
      <c r="I75" s="169">
        <v>736.4100341796875</v>
      </c>
      <c r="J75" s="169">
        <v>3.5589347140517416</v>
      </c>
      <c r="K75" s="169">
        <f t="shared" ref="K75:K97" si="10">F75/G75</f>
        <v>116.13278572681344</v>
      </c>
      <c r="L75" s="169">
        <f t="shared" ref="L75:L97" si="11">F75/H75</f>
        <v>3.219375421901117</v>
      </c>
      <c r="M75" s="168">
        <v>-0.151</v>
      </c>
      <c r="N75" s="168">
        <v>-0.58599999999999997</v>
      </c>
      <c r="O75" s="168">
        <f t="shared" si="8"/>
        <v>0.43499999999999994</v>
      </c>
      <c r="P75" s="169">
        <f t="shared" si="9"/>
        <v>11.611149488963969</v>
      </c>
      <c r="Q75" s="165"/>
      <c r="R75" s="165"/>
      <c r="S75" s="49"/>
    </row>
    <row r="76" spans="1:19" x14ac:dyDescent="0.35">
      <c r="A76" s="41" t="s">
        <v>156</v>
      </c>
      <c r="B76" s="165" t="s">
        <v>154</v>
      </c>
      <c r="C76" s="165" t="s">
        <v>259</v>
      </c>
      <c r="D76" s="168" t="s">
        <v>163</v>
      </c>
      <c r="E76" s="177" t="s">
        <v>198</v>
      </c>
      <c r="F76" s="169">
        <v>20.396277004998328</v>
      </c>
      <c r="G76" s="169">
        <v>0.16187307906385531</v>
      </c>
      <c r="H76" s="169">
        <v>6.5549205816035103</v>
      </c>
      <c r="I76" s="169">
        <v>432.50006103515625</v>
      </c>
      <c r="J76" s="169">
        <v>3.9927555361557641</v>
      </c>
      <c r="K76" s="169">
        <f t="shared" si="10"/>
        <v>126.0016620611291</v>
      </c>
      <c r="L76" s="169">
        <f t="shared" si="11"/>
        <v>3.1115978830072795</v>
      </c>
      <c r="M76" s="168">
        <v>-0.16300000000000001</v>
      </c>
      <c r="N76" s="168">
        <v>-0.61399999999999999</v>
      </c>
      <c r="O76" s="168">
        <f t="shared" si="8"/>
        <v>0.45099999999999996</v>
      </c>
      <c r="P76" s="169">
        <f t="shared" si="9"/>
        <v>14.534191976947918</v>
      </c>
      <c r="Q76" s="165"/>
      <c r="R76" s="165"/>
      <c r="S76" s="49"/>
    </row>
    <row r="77" spans="1:19" x14ac:dyDescent="0.35">
      <c r="A77" s="41" t="s">
        <v>157</v>
      </c>
      <c r="B77" s="165" t="s">
        <v>155</v>
      </c>
      <c r="C77" s="165" t="s">
        <v>259</v>
      </c>
      <c r="D77" s="168" t="s">
        <v>163</v>
      </c>
      <c r="E77" s="177" t="s">
        <v>198</v>
      </c>
      <c r="F77" s="169">
        <v>21.323761819422028</v>
      </c>
      <c r="G77" s="169">
        <v>0.18178407898709723</v>
      </c>
      <c r="H77" s="169">
        <v>6.875051802386861</v>
      </c>
      <c r="I77" s="169">
        <v>422.55853271484375</v>
      </c>
      <c r="J77" s="169">
        <v>3.7411068202240623</v>
      </c>
      <c r="K77" s="169">
        <f t="shared" si="10"/>
        <v>117.30269195321313</v>
      </c>
      <c r="L77" s="169">
        <f t="shared" si="11"/>
        <v>3.1016147124911706</v>
      </c>
      <c r="M77" s="168">
        <v>-0.17599999999999999</v>
      </c>
      <c r="N77" s="168">
        <v>-0.47299999999999998</v>
      </c>
      <c r="O77" s="168">
        <f t="shared" si="8"/>
        <v>0.29699999999999999</v>
      </c>
      <c r="P77" s="169">
        <f t="shared" si="9"/>
        <v>23.148322566959131</v>
      </c>
      <c r="Q77" s="165"/>
      <c r="R77" s="165"/>
      <c r="S77" s="49"/>
    </row>
    <row r="78" spans="1:19" x14ac:dyDescent="0.35">
      <c r="A78" s="41" t="s">
        <v>156</v>
      </c>
      <c r="B78" s="165" t="s">
        <v>154</v>
      </c>
      <c r="C78" s="165" t="s">
        <v>259</v>
      </c>
      <c r="D78" s="168" t="s">
        <v>164</v>
      </c>
      <c r="E78" s="177" t="s">
        <v>198</v>
      </c>
      <c r="F78" s="169">
        <v>21.869733028834045</v>
      </c>
      <c r="G78" s="169">
        <v>0.15694820273184451</v>
      </c>
      <c r="H78" s="169">
        <v>6.4174125791308754</v>
      </c>
      <c r="I78" s="169">
        <v>486.00442504882813</v>
      </c>
      <c r="J78" s="169">
        <v>4.0283056535696744</v>
      </c>
      <c r="K78" s="169">
        <f t="shared" si="10"/>
        <v>139.34363470348114</v>
      </c>
      <c r="L78" s="169">
        <f t="shared" si="11"/>
        <v>3.4078739303677295</v>
      </c>
      <c r="M78" s="168">
        <v>-0.26600000000000001</v>
      </c>
      <c r="N78" s="168">
        <v>-0.46800000000000003</v>
      </c>
      <c r="O78" s="168">
        <f t="shared" si="8"/>
        <v>0.20200000000000001</v>
      </c>
      <c r="P78" s="169">
        <f t="shared" si="9"/>
        <v>31.769369203618194</v>
      </c>
      <c r="Q78" s="165"/>
      <c r="R78" s="165"/>
      <c r="S78" s="49"/>
    </row>
    <row r="79" spans="1:19" x14ac:dyDescent="0.35">
      <c r="A79" s="41" t="s">
        <v>157</v>
      </c>
      <c r="B79" s="165" t="s">
        <v>155</v>
      </c>
      <c r="C79" s="165" t="s">
        <v>259</v>
      </c>
      <c r="D79" s="168" t="s">
        <v>164</v>
      </c>
      <c r="E79" s="177" t="s">
        <v>198</v>
      </c>
      <c r="F79" s="169">
        <v>16.768835738128072</v>
      </c>
      <c r="G79" s="169">
        <v>0.14604814235332844</v>
      </c>
      <c r="H79" s="169">
        <v>5.2125579422672166</v>
      </c>
      <c r="I79" s="169">
        <v>343.40188598632813</v>
      </c>
      <c r="J79" s="169">
        <v>3.5228662590794984</v>
      </c>
      <c r="K79" s="169">
        <f t="shared" si="10"/>
        <v>114.8171792391573</v>
      </c>
      <c r="L79" s="169">
        <f t="shared" si="11"/>
        <v>3.217007067135722</v>
      </c>
      <c r="M79" s="168">
        <v>-0.20899999999999999</v>
      </c>
      <c r="N79" s="168">
        <v>-0.69699999999999995</v>
      </c>
      <c r="O79" s="168">
        <f t="shared" si="8"/>
        <v>0.48799999999999999</v>
      </c>
      <c r="P79" s="169">
        <f t="shared" si="9"/>
        <v>10.681471193170527</v>
      </c>
      <c r="Q79" s="165"/>
      <c r="R79" s="165"/>
      <c r="S79" s="49"/>
    </row>
    <row r="80" spans="1:19" x14ac:dyDescent="0.35">
      <c r="A80" s="41" t="s">
        <v>156</v>
      </c>
      <c r="B80" s="165" t="s">
        <v>154</v>
      </c>
      <c r="C80" s="165" t="s">
        <v>259</v>
      </c>
      <c r="D80" s="168" t="s">
        <v>165</v>
      </c>
      <c r="E80" s="177" t="s">
        <v>198</v>
      </c>
      <c r="F80" s="169">
        <v>22.303378902915469</v>
      </c>
      <c r="G80" s="169">
        <v>0.16219953094777662</v>
      </c>
      <c r="H80" s="169">
        <v>6.4763995266500185</v>
      </c>
      <c r="I80" s="169">
        <v>427.50277709960938</v>
      </c>
      <c r="J80" s="169">
        <v>3.937554215023904</v>
      </c>
      <c r="K80" s="169">
        <f t="shared" si="10"/>
        <v>137.50581627820173</v>
      </c>
      <c r="L80" s="169">
        <f t="shared" si="11"/>
        <v>3.4437929301826307</v>
      </c>
      <c r="M80" s="168">
        <v>-0.17899999999999999</v>
      </c>
      <c r="N80" s="168">
        <v>-0.66400000000000003</v>
      </c>
      <c r="O80" s="168">
        <f t="shared" si="8"/>
        <v>0.48500000000000004</v>
      </c>
      <c r="P80" s="169">
        <f t="shared" si="9"/>
        <v>13.353401085876326</v>
      </c>
      <c r="Q80" s="165"/>
      <c r="R80" s="165"/>
      <c r="S80" s="49"/>
    </row>
    <row r="81" spans="1:19" x14ac:dyDescent="0.35">
      <c r="A81" s="41" t="s">
        <v>157</v>
      </c>
      <c r="B81" s="165" t="s">
        <v>155</v>
      </c>
      <c r="C81" s="165" t="s">
        <v>259</v>
      </c>
      <c r="D81" s="168" t="s">
        <v>165</v>
      </c>
      <c r="E81" s="177" t="s">
        <v>198</v>
      </c>
      <c r="F81" s="169">
        <v>25.817075637037714</v>
      </c>
      <c r="G81" s="169">
        <v>0.25731706209108302</v>
      </c>
      <c r="H81" s="169">
        <v>9.7311652161618074</v>
      </c>
      <c r="I81" s="169">
        <v>686.07220458984375</v>
      </c>
      <c r="J81" s="169">
        <v>3.7653705712190453</v>
      </c>
      <c r="K81" s="169">
        <f t="shared" si="10"/>
        <v>100.3317674593191</v>
      </c>
      <c r="L81" s="169">
        <f t="shared" si="11"/>
        <v>2.6530302449453793</v>
      </c>
      <c r="M81" s="168">
        <v>-0.182</v>
      </c>
      <c r="N81" s="168">
        <v>-0.75800000000000001</v>
      </c>
      <c r="O81" s="168">
        <f t="shared" si="8"/>
        <v>0.57600000000000007</v>
      </c>
      <c r="P81" s="169">
        <f t="shared" si="9"/>
        <v>16.894384055836468</v>
      </c>
      <c r="Q81" s="165"/>
      <c r="R81" s="165"/>
      <c r="S81" s="49"/>
    </row>
    <row r="82" spans="1:19" x14ac:dyDescent="0.35">
      <c r="A82" s="41" t="s">
        <v>156</v>
      </c>
      <c r="B82" s="165" t="s">
        <v>154</v>
      </c>
      <c r="C82" s="165" t="s">
        <v>259</v>
      </c>
      <c r="D82" s="168" t="s">
        <v>166</v>
      </c>
      <c r="E82" s="177" t="s">
        <v>198</v>
      </c>
      <c r="F82" s="169">
        <v>26.135629493696086</v>
      </c>
      <c r="G82" s="169">
        <v>0.20884748333440972</v>
      </c>
      <c r="H82" s="169">
        <v>8.1142610467243319</v>
      </c>
      <c r="I82" s="169">
        <v>533.333740234375</v>
      </c>
      <c r="J82" s="169">
        <v>3.8496478978523259</v>
      </c>
      <c r="K82" s="169">
        <f t="shared" si="10"/>
        <v>125.14218067855442</v>
      </c>
      <c r="L82" s="169">
        <f t="shared" si="11"/>
        <v>3.2209500462456591</v>
      </c>
      <c r="M82" s="168">
        <v>-0.21</v>
      </c>
      <c r="N82" s="168">
        <v>-0.67100000000000004</v>
      </c>
      <c r="O82" s="168">
        <f t="shared" si="8"/>
        <v>0.46100000000000008</v>
      </c>
      <c r="P82" s="169">
        <f t="shared" si="9"/>
        <v>17.60143394083369</v>
      </c>
      <c r="Q82" s="165"/>
      <c r="R82" s="165"/>
      <c r="S82" s="49"/>
    </row>
    <row r="83" spans="1:19" x14ac:dyDescent="0.35">
      <c r="A83" s="41" t="s">
        <v>157</v>
      </c>
      <c r="B83" s="165" t="s">
        <v>155</v>
      </c>
      <c r="C83" s="165" t="s">
        <v>259</v>
      </c>
      <c r="D83" s="168" t="s">
        <v>166</v>
      </c>
      <c r="E83" s="177" t="s">
        <v>198</v>
      </c>
      <c r="F83" s="169">
        <v>26.054006996451125</v>
      </c>
      <c r="G83" s="169">
        <v>0.24323718696068239</v>
      </c>
      <c r="H83" s="169">
        <v>8.9175172861464151</v>
      </c>
      <c r="I83" s="169">
        <v>518.91162109375</v>
      </c>
      <c r="J83" s="169">
        <v>3.6483280288211146</v>
      </c>
      <c r="K83" s="169">
        <f t="shared" si="10"/>
        <v>107.11358457151775</v>
      </c>
      <c r="L83" s="169">
        <f t="shared" si="11"/>
        <v>2.9216659929470139</v>
      </c>
      <c r="M83" s="168">
        <v>-0.187</v>
      </c>
      <c r="N83" s="168">
        <v>-0.72199999999999998</v>
      </c>
      <c r="O83" s="168">
        <f t="shared" si="8"/>
        <v>0.53499999999999992</v>
      </c>
      <c r="P83" s="169">
        <f t="shared" si="9"/>
        <v>16.668256609619469</v>
      </c>
      <c r="Q83" s="165"/>
      <c r="R83" s="165"/>
      <c r="S83" s="49"/>
    </row>
    <row r="84" spans="1:19" x14ac:dyDescent="0.35">
      <c r="A84" s="41" t="s">
        <v>156</v>
      </c>
      <c r="B84" s="165" t="s">
        <v>154</v>
      </c>
      <c r="C84" s="165" t="s">
        <v>259</v>
      </c>
      <c r="D84" s="168" t="s">
        <v>167</v>
      </c>
      <c r="E84" s="177" t="s">
        <v>198</v>
      </c>
      <c r="F84" s="169">
        <v>24.513939907786945</v>
      </c>
      <c r="G84" s="169">
        <v>0.21839403207956276</v>
      </c>
      <c r="H84" s="169">
        <v>8.4202206588627106</v>
      </c>
      <c r="I84" s="169">
        <v>688.8250732421875</v>
      </c>
      <c r="J84" s="169">
        <v>3.8239773312312657</v>
      </c>
      <c r="K84" s="169">
        <f t="shared" si="10"/>
        <v>112.24638180065431</v>
      </c>
      <c r="L84" s="169">
        <f t="shared" si="11"/>
        <v>2.911317992834876</v>
      </c>
      <c r="M84" s="168">
        <v>-0.248</v>
      </c>
      <c r="N84" s="168">
        <v>-0.622</v>
      </c>
      <c r="O84" s="168">
        <f t="shared" si="8"/>
        <v>0.374</v>
      </c>
      <c r="P84" s="169">
        <f t="shared" si="9"/>
        <v>22.513958980916339</v>
      </c>
      <c r="Q84" s="165"/>
      <c r="R84" s="165"/>
      <c r="S84" s="49"/>
    </row>
    <row r="85" spans="1:19" x14ac:dyDescent="0.35">
      <c r="A85" s="41" t="s">
        <v>157</v>
      </c>
      <c r="B85" s="165" t="s">
        <v>155</v>
      </c>
      <c r="C85" s="165" t="s">
        <v>259</v>
      </c>
      <c r="D85" s="168" t="s">
        <v>167</v>
      </c>
      <c r="E85" s="177" t="s">
        <v>198</v>
      </c>
      <c r="F85" s="169">
        <v>25.087657589018097</v>
      </c>
      <c r="G85" s="169">
        <v>0.24430762735467332</v>
      </c>
      <c r="H85" s="169">
        <v>8.4739404916518417</v>
      </c>
      <c r="I85" s="169">
        <v>466.52127075195313</v>
      </c>
      <c r="J85" s="169">
        <v>3.4560134737630097</v>
      </c>
      <c r="K85" s="169">
        <f t="shared" si="10"/>
        <v>102.68880206755526</v>
      </c>
      <c r="L85" s="169">
        <f t="shared" si="11"/>
        <v>2.9605657030201438</v>
      </c>
      <c r="M85" s="168">
        <v>-0.26100000000000001</v>
      </c>
      <c r="N85" s="168">
        <v>-0.67600000000000005</v>
      </c>
      <c r="O85" s="168">
        <f t="shared" si="8"/>
        <v>0.41500000000000004</v>
      </c>
      <c r="P85" s="169">
        <f t="shared" si="9"/>
        <v>20.419133714823712</v>
      </c>
      <c r="Q85" s="165"/>
      <c r="R85" s="165"/>
      <c r="S85" s="49"/>
    </row>
    <row r="86" spans="1:19" x14ac:dyDescent="0.35">
      <c r="A86" s="41" t="s">
        <v>156</v>
      </c>
      <c r="B86" s="165" t="s">
        <v>154</v>
      </c>
      <c r="C86" s="165" t="s">
        <v>260</v>
      </c>
      <c r="D86" s="168" t="s">
        <v>168</v>
      </c>
      <c r="E86" s="177" t="s">
        <v>198</v>
      </c>
      <c r="F86" s="169">
        <v>12.082392749507651</v>
      </c>
      <c r="G86" s="169">
        <v>0.25309341893853898</v>
      </c>
      <c r="H86" s="169">
        <v>9.6903059451457221</v>
      </c>
      <c r="I86" s="169">
        <v>537.13262939453125</v>
      </c>
      <c r="J86" s="169">
        <v>3.8097758731194125</v>
      </c>
      <c r="K86" s="169">
        <f t="shared" si="10"/>
        <v>47.738865752339969</v>
      </c>
      <c r="L86" s="169">
        <f t="shared" si="11"/>
        <v>1.2468535893399966</v>
      </c>
      <c r="M86" s="168">
        <v>-0.28699999999999998</v>
      </c>
      <c r="N86" s="168">
        <v>-0.57799999999999996</v>
      </c>
      <c r="O86" s="168">
        <f t="shared" si="8"/>
        <v>0.29099999999999998</v>
      </c>
      <c r="P86" s="169">
        <f t="shared" si="9"/>
        <v>33.300020430054033</v>
      </c>
      <c r="Q86" s="165"/>
      <c r="R86" s="165"/>
      <c r="S86" s="49"/>
    </row>
    <row r="87" spans="1:19" x14ac:dyDescent="0.35">
      <c r="A87" s="41" t="s">
        <v>157</v>
      </c>
      <c r="B87" s="165" t="s">
        <v>155</v>
      </c>
      <c r="C87" s="165" t="s">
        <v>260</v>
      </c>
      <c r="D87" s="168" t="s">
        <v>168</v>
      </c>
      <c r="E87" s="177" t="s">
        <v>198</v>
      </c>
      <c r="F87" s="169">
        <v>12.746835417770924</v>
      </c>
      <c r="G87" s="169">
        <v>0.25612614764455199</v>
      </c>
      <c r="H87" s="169">
        <v>10.919754569213209</v>
      </c>
      <c r="I87" s="169">
        <v>616.4149169921875</v>
      </c>
      <c r="J87" s="169">
        <v>4.2322662704155114</v>
      </c>
      <c r="K87" s="169">
        <f t="shared" si="10"/>
        <v>49.767802057682886</v>
      </c>
      <c r="L87" s="169">
        <f t="shared" si="11"/>
        <v>1.1673188565710924</v>
      </c>
      <c r="M87" s="168">
        <v>-0.21099999999999999</v>
      </c>
      <c r="N87" s="168">
        <v>-0.72399999999999998</v>
      </c>
      <c r="O87" s="168">
        <f t="shared" si="8"/>
        <v>0.51300000000000001</v>
      </c>
      <c r="P87" s="169">
        <f t="shared" si="9"/>
        <v>21.286071285016003</v>
      </c>
      <c r="Q87" s="165"/>
      <c r="R87" s="165"/>
      <c r="S87" s="49"/>
    </row>
    <row r="88" spans="1:19" x14ac:dyDescent="0.35">
      <c r="A88" s="41" t="s">
        <v>156</v>
      </c>
      <c r="B88" s="165" t="s">
        <v>154</v>
      </c>
      <c r="C88" s="165" t="s">
        <v>260</v>
      </c>
      <c r="D88" s="168" t="s">
        <v>169</v>
      </c>
      <c r="E88" s="177" t="s">
        <v>198</v>
      </c>
      <c r="F88" s="169">
        <v>11.296994799692254</v>
      </c>
      <c r="G88" s="169">
        <v>0.28496845202919702</v>
      </c>
      <c r="H88" s="169">
        <v>10.315537413200854</v>
      </c>
      <c r="I88" s="169">
        <v>525.72833251953125</v>
      </c>
      <c r="J88" s="169">
        <v>3.616546630737377</v>
      </c>
      <c r="K88" s="169">
        <f t="shared" si="10"/>
        <v>39.642966508218237</v>
      </c>
      <c r="L88" s="169">
        <f t="shared" si="11"/>
        <v>1.0951436020420442</v>
      </c>
      <c r="M88" s="168">
        <v>-0.22</v>
      </c>
      <c r="N88" s="168">
        <v>-0.59799999999999998</v>
      </c>
      <c r="O88" s="168">
        <f t="shared" si="8"/>
        <v>0.378</v>
      </c>
      <c r="P88" s="169">
        <f t="shared" si="9"/>
        <v>27.289781516404375</v>
      </c>
      <c r="Q88" s="165"/>
      <c r="R88" s="165"/>
      <c r="S88" s="49"/>
    </row>
    <row r="89" spans="1:19" x14ac:dyDescent="0.35">
      <c r="A89" s="41" t="s">
        <v>157</v>
      </c>
      <c r="B89" s="165" t="s">
        <v>155</v>
      </c>
      <c r="C89" s="165" t="s">
        <v>260</v>
      </c>
      <c r="D89" s="168" t="s">
        <v>169</v>
      </c>
      <c r="E89" s="177" t="s">
        <v>198</v>
      </c>
      <c r="F89" s="169">
        <v>14.545831298038246</v>
      </c>
      <c r="G89" s="169">
        <v>0.29281229107422874</v>
      </c>
      <c r="H89" s="169">
        <v>10.642740467385636</v>
      </c>
      <c r="I89" s="169">
        <v>688.4520263671875</v>
      </c>
      <c r="J89" s="169">
        <v>3.6334399380682392</v>
      </c>
      <c r="K89" s="169">
        <f t="shared" si="10"/>
        <v>49.676300283278877</v>
      </c>
      <c r="L89" s="169">
        <f t="shared" si="11"/>
        <v>1.3667373871056536</v>
      </c>
      <c r="M89" s="168">
        <v>-0.10299999999999999</v>
      </c>
      <c r="N89" s="168">
        <v>-0.65400000000000003</v>
      </c>
      <c r="O89" s="168">
        <f t="shared" si="8"/>
        <v>0.55100000000000005</v>
      </c>
      <c r="P89" s="169">
        <f t="shared" si="9"/>
        <v>19.315318452605506</v>
      </c>
      <c r="Q89" s="165"/>
      <c r="R89" s="165"/>
      <c r="S89" s="49"/>
    </row>
    <row r="90" spans="1:19" x14ac:dyDescent="0.35">
      <c r="A90" s="41" t="s">
        <v>156</v>
      </c>
      <c r="B90" s="165" t="s">
        <v>154</v>
      </c>
      <c r="C90" s="165" t="s">
        <v>260</v>
      </c>
      <c r="D90" s="168" t="s">
        <v>170</v>
      </c>
      <c r="E90" s="177" t="s">
        <v>198</v>
      </c>
      <c r="F90" s="169">
        <v>15.657346880251488</v>
      </c>
      <c r="G90" s="169">
        <v>0.3605861788830631</v>
      </c>
      <c r="H90" s="169">
        <v>12.360303023339876</v>
      </c>
      <c r="I90" s="169">
        <v>505.24325561523438</v>
      </c>
      <c r="J90" s="169">
        <v>3.4516102908502337</v>
      </c>
      <c r="K90" s="169">
        <f t="shared" si="10"/>
        <v>43.421927398191023</v>
      </c>
      <c r="L90" s="169">
        <f t="shared" si="11"/>
        <v>1.2667445814787734</v>
      </c>
      <c r="M90" s="168">
        <v>-0.186</v>
      </c>
      <c r="N90" s="168">
        <v>-0.69599999999999995</v>
      </c>
      <c r="O90" s="168">
        <f t="shared" si="8"/>
        <v>0.51</v>
      </c>
      <c r="P90" s="169">
        <f t="shared" si="9"/>
        <v>24.235888281058578</v>
      </c>
      <c r="Q90" s="165"/>
      <c r="R90" s="165"/>
      <c r="S90" s="49"/>
    </row>
    <row r="91" spans="1:19" x14ac:dyDescent="0.35">
      <c r="A91" s="41" t="s">
        <v>157</v>
      </c>
      <c r="B91" s="165" t="s">
        <v>155</v>
      </c>
      <c r="C91" s="165" t="s">
        <v>260</v>
      </c>
      <c r="D91" s="168" t="s">
        <v>170</v>
      </c>
      <c r="E91" s="177" t="s">
        <v>198</v>
      </c>
      <c r="F91" s="169">
        <v>14.668543019276157</v>
      </c>
      <c r="G91" s="169">
        <v>0.25713167659269398</v>
      </c>
      <c r="H91" s="169">
        <v>11.714721213084532</v>
      </c>
      <c r="I91" s="169">
        <v>636.60125732421875</v>
      </c>
      <c r="J91" s="169">
        <v>4.5145710196456701</v>
      </c>
      <c r="K91" s="169">
        <f t="shared" si="10"/>
        <v>57.046814354622157</v>
      </c>
      <c r="L91" s="169">
        <f t="shared" si="11"/>
        <v>1.2521461460723804</v>
      </c>
      <c r="M91" s="168">
        <v>-0.17899999999999999</v>
      </c>
      <c r="N91" s="168">
        <v>-0.52300000000000002</v>
      </c>
      <c r="O91" s="168">
        <f t="shared" si="8"/>
        <v>0.34400000000000003</v>
      </c>
      <c r="P91" s="169">
        <f t="shared" si="9"/>
        <v>34.054422131059681</v>
      </c>
      <c r="Q91" s="165"/>
      <c r="R91" s="165"/>
      <c r="S91" s="49"/>
    </row>
    <row r="92" spans="1:19" x14ac:dyDescent="0.35">
      <c r="A92" s="41" t="s">
        <v>156</v>
      </c>
      <c r="B92" s="165" t="s">
        <v>154</v>
      </c>
      <c r="C92" s="165" t="s">
        <v>260</v>
      </c>
      <c r="D92" s="168" t="s">
        <v>171</v>
      </c>
      <c r="E92" s="177" t="s">
        <v>198</v>
      </c>
      <c r="F92" s="169">
        <v>14.540491904904789</v>
      </c>
      <c r="G92" s="169">
        <v>0.22314554499891234</v>
      </c>
      <c r="H92" s="169">
        <v>10.39335192082291</v>
      </c>
      <c r="I92" s="169">
        <v>531.13970947265625</v>
      </c>
      <c r="J92" s="169">
        <v>4.5993731236132014</v>
      </c>
      <c r="K92" s="169">
        <f t="shared" si="10"/>
        <v>65.1614707565668</v>
      </c>
      <c r="L92" s="169">
        <f t="shared" si="11"/>
        <v>1.3990185279662426</v>
      </c>
      <c r="M92" s="168">
        <v>-0.186</v>
      </c>
      <c r="N92" s="168">
        <v>-0.80400000000000005</v>
      </c>
      <c r="O92" s="168">
        <f t="shared" si="8"/>
        <v>0.6180000000000001</v>
      </c>
      <c r="P92" s="169">
        <f t="shared" si="9"/>
        <v>16.817721554729626</v>
      </c>
      <c r="Q92" s="165"/>
      <c r="R92" s="165"/>
      <c r="S92" s="49"/>
    </row>
    <row r="93" spans="1:19" x14ac:dyDescent="0.35">
      <c r="A93" s="41" t="s">
        <v>157</v>
      </c>
      <c r="B93" s="165" t="s">
        <v>155</v>
      </c>
      <c r="C93" s="165" t="s">
        <v>260</v>
      </c>
      <c r="D93" s="168" t="s">
        <v>171</v>
      </c>
      <c r="E93" s="177" t="s">
        <v>198</v>
      </c>
      <c r="F93" s="169">
        <v>10.944730838249352</v>
      </c>
      <c r="G93" s="169">
        <v>0.25201470909067936</v>
      </c>
      <c r="H93" s="169">
        <v>8.999191340504952</v>
      </c>
      <c r="I93" s="169">
        <v>753.02435302734375</v>
      </c>
      <c r="J93" s="169">
        <v>3.5580357088439012</v>
      </c>
      <c r="K93" s="169">
        <f t="shared" si="10"/>
        <v>43.42893665905526</v>
      </c>
      <c r="L93" s="169">
        <f t="shared" si="11"/>
        <v>1.2161904802476657</v>
      </c>
      <c r="M93" s="168">
        <v>-0.20799999999999999</v>
      </c>
      <c r="N93" s="168">
        <v>-0.60299999999999998</v>
      </c>
      <c r="O93" s="168">
        <f t="shared" si="8"/>
        <v>0.39500000000000002</v>
      </c>
      <c r="P93" s="169">
        <f t="shared" si="9"/>
        <v>22.782762887354309</v>
      </c>
      <c r="Q93" s="165"/>
      <c r="R93" s="165"/>
      <c r="S93" s="49"/>
    </row>
    <row r="94" spans="1:19" x14ac:dyDescent="0.35">
      <c r="A94" s="41" t="s">
        <v>156</v>
      </c>
      <c r="B94" s="165" t="s">
        <v>154</v>
      </c>
      <c r="C94" s="165" t="s">
        <v>260</v>
      </c>
      <c r="D94" s="168" t="s">
        <v>172</v>
      </c>
      <c r="E94" s="177" t="s">
        <v>198</v>
      </c>
      <c r="F94" s="169">
        <v>11.671102633214234</v>
      </c>
      <c r="G94" s="169">
        <v>0.33079213792832968</v>
      </c>
      <c r="H94" s="169">
        <v>11.369648846084186</v>
      </c>
      <c r="I94" s="169">
        <v>569.3262939453125</v>
      </c>
      <c r="J94" s="169">
        <v>3.4516521334741226</v>
      </c>
      <c r="K94" s="169">
        <f t="shared" si="10"/>
        <v>35.282285444592176</v>
      </c>
      <c r="L94" s="169">
        <f t="shared" si="11"/>
        <v>1.0265139048013669</v>
      </c>
      <c r="M94" s="168">
        <v>-0.14499999999999999</v>
      </c>
      <c r="N94" s="168">
        <v>-0.61699999999999999</v>
      </c>
      <c r="O94" s="168">
        <f t="shared" si="8"/>
        <v>0.47199999999999998</v>
      </c>
      <c r="P94" s="169">
        <f t="shared" si="9"/>
        <v>24.088239080686837</v>
      </c>
      <c r="Q94" s="165"/>
      <c r="R94" s="165"/>
      <c r="S94" s="49"/>
    </row>
    <row r="95" spans="1:19" x14ac:dyDescent="0.35">
      <c r="A95" s="41" t="s">
        <v>158</v>
      </c>
      <c r="B95" s="165" t="s">
        <v>155</v>
      </c>
      <c r="C95" s="165" t="s">
        <v>260</v>
      </c>
      <c r="D95" s="168" t="s">
        <v>172</v>
      </c>
      <c r="E95" s="177" t="s">
        <v>198</v>
      </c>
      <c r="F95" s="169">
        <v>17.724196444044644</v>
      </c>
      <c r="G95" s="169">
        <v>0.46264975216044929</v>
      </c>
      <c r="H95" s="169">
        <v>14.162896221546099</v>
      </c>
      <c r="I95" s="169">
        <v>679.710693359375</v>
      </c>
      <c r="J95" s="169">
        <v>3.1180727759265601</v>
      </c>
      <c r="K95" s="169">
        <f t="shared" si="10"/>
        <v>38.310182511235418</v>
      </c>
      <c r="L95" s="169">
        <f t="shared" si="11"/>
        <v>1.2514528219927727</v>
      </c>
      <c r="M95" s="168">
        <v>-0.23300000000000001</v>
      </c>
      <c r="N95" s="168">
        <v>-0.747</v>
      </c>
      <c r="O95" s="168">
        <f t="shared" si="8"/>
        <v>0.51400000000000001</v>
      </c>
      <c r="P95" s="169">
        <f t="shared" si="9"/>
        <v>27.554272804564395</v>
      </c>
      <c r="Q95" s="165"/>
      <c r="R95" s="165"/>
      <c r="S95" s="49"/>
    </row>
    <row r="96" spans="1:19" x14ac:dyDescent="0.35">
      <c r="A96" s="41" t="s">
        <v>156</v>
      </c>
      <c r="B96" s="165" t="s">
        <v>154</v>
      </c>
      <c r="C96" s="165" t="s">
        <v>260</v>
      </c>
      <c r="D96" s="168" t="s">
        <v>173</v>
      </c>
      <c r="E96" s="177" t="s">
        <v>198</v>
      </c>
      <c r="F96" s="169">
        <v>15.232847235623998</v>
      </c>
      <c r="G96" s="169">
        <v>0.41637780743557118</v>
      </c>
      <c r="H96" s="169">
        <v>14.43763916212362</v>
      </c>
      <c r="I96" s="169">
        <v>519.0633544921875</v>
      </c>
      <c r="J96" s="169">
        <v>3.5073746136363537</v>
      </c>
      <c r="K96" s="169">
        <f t="shared" si="10"/>
        <v>36.584195803905985</v>
      </c>
      <c r="L96" s="169">
        <f t="shared" si="11"/>
        <v>1.05507881618115</v>
      </c>
      <c r="M96" s="168">
        <v>-0.25900000000000001</v>
      </c>
      <c r="N96" s="168">
        <v>-0.59399999999999997</v>
      </c>
      <c r="O96" s="168">
        <f t="shared" si="8"/>
        <v>0.33499999999999996</v>
      </c>
      <c r="P96" s="169">
        <f t="shared" si="9"/>
        <v>43.097430334697378</v>
      </c>
      <c r="Q96" s="165"/>
      <c r="R96" s="165"/>
      <c r="S96" s="49"/>
    </row>
    <row r="97" spans="1:19" ht="15" thickBot="1" x14ac:dyDescent="0.4">
      <c r="A97" s="76" t="s">
        <v>157</v>
      </c>
      <c r="B97" s="100" t="s">
        <v>155</v>
      </c>
      <c r="C97" s="100" t="s">
        <v>260</v>
      </c>
      <c r="D97" s="77" t="s">
        <v>173</v>
      </c>
      <c r="E97" s="179" t="s">
        <v>198</v>
      </c>
      <c r="F97" s="86">
        <v>10.42142875910384</v>
      </c>
      <c r="G97" s="86">
        <v>0.21265670452968707</v>
      </c>
      <c r="H97" s="86">
        <v>8.6048972460864608</v>
      </c>
      <c r="I97" s="86">
        <v>644.05059814453125</v>
      </c>
      <c r="J97" s="86">
        <v>4.0060060336291627</v>
      </c>
      <c r="K97" s="86">
        <f t="shared" si="10"/>
        <v>49.005879133469776</v>
      </c>
      <c r="L97" s="86">
        <f t="shared" si="11"/>
        <v>1.2111043817337324</v>
      </c>
      <c r="M97" s="77">
        <v>-0.14499999999999999</v>
      </c>
      <c r="N97" s="77">
        <v>-0.625</v>
      </c>
      <c r="O97" s="77">
        <f t="shared" si="8"/>
        <v>0.48</v>
      </c>
      <c r="P97" s="86">
        <f t="shared" si="9"/>
        <v>17.926869262680128</v>
      </c>
      <c r="Q97" s="100"/>
      <c r="R97" s="100"/>
      <c r="S97" s="174"/>
    </row>
  </sheetData>
  <conditionalFormatting sqref="F2:F2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6:F7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4:F9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G7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4:G9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H7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:H9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7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I9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9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25 K74:K9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6:K7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5 L74:L9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L7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9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6:N4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:O4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0:N7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0:O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4:N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4:O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9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D947-F3C6-4E3E-B88A-1A5DBD40D14F}">
  <dimension ref="A1:I39"/>
  <sheetViews>
    <sheetView workbookViewId="0">
      <selection activeCell="G1" sqref="G1:I1048576"/>
    </sheetView>
  </sheetViews>
  <sheetFormatPr baseColWidth="10" defaultRowHeight="14.5" x14ac:dyDescent="0.35"/>
  <cols>
    <col min="3" max="3" width="10.81640625" style="57" bestFit="1" customWidth="1"/>
    <col min="5" max="5" width="20.1796875" bestFit="1" customWidth="1"/>
    <col min="6" max="6" width="20.7265625" bestFit="1" customWidth="1"/>
    <col min="7" max="7" width="14.26953125" bestFit="1" customWidth="1"/>
    <col min="8" max="8" width="13.7265625" bestFit="1" customWidth="1"/>
    <col min="9" max="9" width="5.6328125" bestFit="1" customWidth="1"/>
  </cols>
  <sheetData>
    <row r="1" spans="1:9" ht="15" thickBot="1" x14ac:dyDescent="0.4">
      <c r="A1" s="106" t="s">
        <v>160</v>
      </c>
      <c r="B1" s="107" t="s">
        <v>159</v>
      </c>
      <c r="C1" s="57" t="s">
        <v>261</v>
      </c>
      <c r="D1" s="108" t="s">
        <v>161</v>
      </c>
      <c r="E1" s="107" t="s">
        <v>241</v>
      </c>
      <c r="F1" s="107" t="s">
        <v>242</v>
      </c>
      <c r="G1" s="109" t="s">
        <v>243</v>
      </c>
      <c r="H1" t="s">
        <v>254</v>
      </c>
      <c r="I1" s="57" t="s">
        <v>262</v>
      </c>
    </row>
    <row r="2" spans="1:9" x14ac:dyDescent="0.35">
      <c r="A2" s="70" t="s">
        <v>156</v>
      </c>
      <c r="B2" s="104" t="s">
        <v>154</v>
      </c>
      <c r="C2" t="s">
        <v>259</v>
      </c>
      <c r="D2" s="71" t="s">
        <v>162</v>
      </c>
      <c r="E2" s="110">
        <f>203.78+4.798+5.736</f>
        <v>214.31399999999999</v>
      </c>
      <c r="F2" s="110">
        <v>74.87</v>
      </c>
      <c r="G2" s="105">
        <f>E2+F2</f>
        <v>289.18399999999997</v>
      </c>
      <c r="H2" s="69">
        <v>171.21</v>
      </c>
      <c r="I2" s="67">
        <f>G2/H2</f>
        <v>1.6890602184451839</v>
      </c>
    </row>
    <row r="3" spans="1:9" x14ac:dyDescent="0.35">
      <c r="A3" s="41" t="s">
        <v>157</v>
      </c>
      <c r="B3" t="s">
        <v>155</v>
      </c>
      <c r="C3" t="s">
        <v>259</v>
      </c>
      <c r="D3" s="57" t="s">
        <v>162</v>
      </c>
      <c r="E3" s="69">
        <v>192.22</v>
      </c>
      <c r="F3" s="69">
        <v>57.39</v>
      </c>
      <c r="G3" s="96">
        <f t="shared" ref="G3:G25" si="0">E3+F3</f>
        <v>249.61</v>
      </c>
      <c r="H3" s="69">
        <v>206.8</v>
      </c>
      <c r="I3" s="67">
        <f t="shared" ref="I3:I25" si="1">G3/H3</f>
        <v>1.2070116054158608</v>
      </c>
    </row>
    <row r="4" spans="1:9" x14ac:dyDescent="0.35">
      <c r="A4" s="41" t="s">
        <v>156</v>
      </c>
      <c r="B4" t="s">
        <v>154</v>
      </c>
      <c r="C4" t="s">
        <v>259</v>
      </c>
      <c r="D4" s="57" t="s">
        <v>163</v>
      </c>
      <c r="E4" s="69">
        <v>103.17</v>
      </c>
      <c r="F4" s="69">
        <v>76.239999999999995</v>
      </c>
      <c r="G4" s="96">
        <f t="shared" si="0"/>
        <v>179.41</v>
      </c>
      <c r="H4" s="69">
        <v>213.45</v>
      </c>
      <c r="I4" s="67">
        <f t="shared" si="1"/>
        <v>0.84052471304755216</v>
      </c>
    </row>
    <row r="5" spans="1:9" x14ac:dyDescent="0.35">
      <c r="A5" s="41" t="s">
        <v>157</v>
      </c>
      <c r="B5" t="s">
        <v>155</v>
      </c>
      <c r="C5" t="s">
        <v>259</v>
      </c>
      <c r="D5" s="57" t="s">
        <v>163</v>
      </c>
      <c r="E5" s="69">
        <v>103.97</v>
      </c>
      <c r="F5" s="69">
        <v>50.07</v>
      </c>
      <c r="G5" s="96">
        <f t="shared" si="0"/>
        <v>154.04</v>
      </c>
      <c r="H5" s="69">
        <v>141.63</v>
      </c>
      <c r="I5" s="67">
        <f t="shared" si="1"/>
        <v>1.0876226788109864</v>
      </c>
    </row>
    <row r="6" spans="1:9" x14ac:dyDescent="0.35">
      <c r="A6" s="41" t="s">
        <v>156</v>
      </c>
      <c r="B6" t="s">
        <v>154</v>
      </c>
      <c r="C6" t="s">
        <v>259</v>
      </c>
      <c r="D6" s="57" t="s">
        <v>164</v>
      </c>
      <c r="E6" s="69">
        <f>141.5+4.997</f>
        <v>146.49700000000001</v>
      </c>
      <c r="F6" s="69">
        <v>62.21</v>
      </c>
      <c r="G6" s="96">
        <f t="shared" si="0"/>
        <v>208.70700000000002</v>
      </c>
      <c r="H6" s="69">
        <v>156.35</v>
      </c>
      <c r="I6" s="67">
        <f t="shared" si="1"/>
        <v>1.3348704828909499</v>
      </c>
    </row>
    <row r="7" spans="1:9" x14ac:dyDescent="0.35">
      <c r="A7" s="41" t="s">
        <v>157</v>
      </c>
      <c r="B7" t="s">
        <v>155</v>
      </c>
      <c r="C7" t="s">
        <v>259</v>
      </c>
      <c r="D7" s="57" t="s">
        <v>164</v>
      </c>
      <c r="E7" s="69">
        <v>91.14</v>
      </c>
      <c r="F7" s="69">
        <v>41.68</v>
      </c>
      <c r="G7" s="96">
        <f t="shared" si="0"/>
        <v>132.82</v>
      </c>
      <c r="H7" s="69">
        <v>126.13</v>
      </c>
      <c r="I7" s="67">
        <f t="shared" si="1"/>
        <v>1.0530405137556489</v>
      </c>
    </row>
    <row r="8" spans="1:9" x14ac:dyDescent="0.35">
      <c r="A8" s="41" t="s">
        <v>156</v>
      </c>
      <c r="B8" t="s">
        <v>154</v>
      </c>
      <c r="C8" t="s">
        <v>259</v>
      </c>
      <c r="D8" s="57" t="s">
        <v>165</v>
      </c>
      <c r="E8" s="69">
        <v>152.5</v>
      </c>
      <c r="F8" s="69">
        <v>85.44</v>
      </c>
      <c r="G8" s="96">
        <f t="shared" si="0"/>
        <v>237.94</v>
      </c>
      <c r="H8" s="69">
        <v>147.27000000000001</v>
      </c>
      <c r="I8" s="67">
        <f t="shared" si="1"/>
        <v>1.6156718951585523</v>
      </c>
    </row>
    <row r="9" spans="1:9" x14ac:dyDescent="0.35">
      <c r="A9" s="41" t="s">
        <v>157</v>
      </c>
      <c r="B9" t="s">
        <v>155</v>
      </c>
      <c r="C9" t="s">
        <v>259</v>
      </c>
      <c r="D9" s="57" t="s">
        <v>165</v>
      </c>
      <c r="E9" s="69">
        <v>78.040000000000006</v>
      </c>
      <c r="F9" s="69">
        <v>47.01</v>
      </c>
      <c r="G9" s="96">
        <f t="shared" si="0"/>
        <v>125.05000000000001</v>
      </c>
      <c r="H9" s="69">
        <v>125.83</v>
      </c>
      <c r="I9" s="67">
        <f t="shared" si="1"/>
        <v>0.99380116029563703</v>
      </c>
    </row>
    <row r="10" spans="1:9" x14ac:dyDescent="0.35">
      <c r="A10" s="41" t="s">
        <v>156</v>
      </c>
      <c r="B10" t="s">
        <v>154</v>
      </c>
      <c r="C10" t="s">
        <v>259</v>
      </c>
      <c r="D10" s="57" t="s">
        <v>166</v>
      </c>
      <c r="E10" s="69">
        <v>173.44</v>
      </c>
      <c r="F10" s="69">
        <v>58.27</v>
      </c>
      <c r="G10" s="96">
        <f t="shared" si="0"/>
        <v>231.71</v>
      </c>
      <c r="H10" s="69">
        <v>209.3</v>
      </c>
      <c r="I10" s="67">
        <f t="shared" si="1"/>
        <v>1.1070711896798853</v>
      </c>
    </row>
    <row r="11" spans="1:9" x14ac:dyDescent="0.35">
      <c r="A11" s="41" t="s">
        <v>157</v>
      </c>
      <c r="B11" t="s">
        <v>155</v>
      </c>
      <c r="C11" t="s">
        <v>259</v>
      </c>
      <c r="D11" s="57" t="s">
        <v>166</v>
      </c>
      <c r="E11" s="69">
        <v>107.97</v>
      </c>
      <c r="F11" s="69">
        <v>63.05</v>
      </c>
      <c r="G11" s="96">
        <f t="shared" si="0"/>
        <v>171.01999999999998</v>
      </c>
      <c r="H11" s="69">
        <v>171.36</v>
      </c>
      <c r="I11" s="67">
        <f t="shared" si="1"/>
        <v>0.9980158730158728</v>
      </c>
    </row>
    <row r="12" spans="1:9" x14ac:dyDescent="0.35">
      <c r="A12" s="41" t="s">
        <v>156</v>
      </c>
      <c r="B12" t="s">
        <v>154</v>
      </c>
      <c r="C12" t="s">
        <v>259</v>
      </c>
      <c r="D12" s="57" t="s">
        <v>167</v>
      </c>
      <c r="E12" s="69">
        <v>108.21</v>
      </c>
      <c r="F12" s="69">
        <v>59.25</v>
      </c>
      <c r="G12" s="96">
        <f t="shared" si="0"/>
        <v>167.45999999999998</v>
      </c>
      <c r="H12" s="69">
        <v>125.28</v>
      </c>
      <c r="I12" s="67">
        <f t="shared" si="1"/>
        <v>1.3366858237547892</v>
      </c>
    </row>
    <row r="13" spans="1:9" ht="15" thickBot="1" x14ac:dyDescent="0.4">
      <c r="A13" s="76" t="s">
        <v>157</v>
      </c>
      <c r="B13" s="100" t="s">
        <v>155</v>
      </c>
      <c r="C13" t="s">
        <v>259</v>
      </c>
      <c r="D13" s="77" t="s">
        <v>167</v>
      </c>
      <c r="E13" s="98">
        <v>84.15</v>
      </c>
      <c r="F13" s="98">
        <v>48.1</v>
      </c>
      <c r="G13" s="99">
        <f t="shared" si="0"/>
        <v>132.25</v>
      </c>
      <c r="H13" s="69">
        <v>128.13</v>
      </c>
      <c r="I13" s="67">
        <f t="shared" si="1"/>
        <v>1.0321548427378444</v>
      </c>
    </row>
    <row r="14" spans="1:9" x14ac:dyDescent="0.35">
      <c r="A14" s="70" t="s">
        <v>156</v>
      </c>
      <c r="B14" s="104" t="s">
        <v>154</v>
      </c>
      <c r="C14" t="s">
        <v>260</v>
      </c>
      <c r="D14" s="71" t="s">
        <v>168</v>
      </c>
      <c r="E14" s="110">
        <v>20.45</v>
      </c>
      <c r="F14" s="110">
        <v>54.34</v>
      </c>
      <c r="G14" s="105">
        <f t="shared" si="0"/>
        <v>74.790000000000006</v>
      </c>
      <c r="H14" s="69">
        <v>67.67</v>
      </c>
      <c r="I14" s="67">
        <f t="shared" si="1"/>
        <v>1.1052164917984337</v>
      </c>
    </row>
    <row r="15" spans="1:9" x14ac:dyDescent="0.35">
      <c r="A15" s="41" t="s">
        <v>157</v>
      </c>
      <c r="B15" t="s">
        <v>155</v>
      </c>
      <c r="C15" t="s">
        <v>260</v>
      </c>
      <c r="D15" s="57" t="s">
        <v>168</v>
      </c>
      <c r="E15" s="69">
        <v>38.68</v>
      </c>
      <c r="F15" s="69">
        <v>54.72</v>
      </c>
      <c r="G15" s="96">
        <f t="shared" si="0"/>
        <v>93.4</v>
      </c>
      <c r="H15" s="69">
        <v>77.69</v>
      </c>
      <c r="I15" s="67">
        <f t="shared" si="1"/>
        <v>1.202213927146351</v>
      </c>
    </row>
    <row r="16" spans="1:9" x14ac:dyDescent="0.35">
      <c r="A16" s="41" t="s">
        <v>156</v>
      </c>
      <c r="B16" t="s">
        <v>154</v>
      </c>
      <c r="C16" t="s">
        <v>260</v>
      </c>
      <c r="D16" s="57" t="s">
        <v>169</v>
      </c>
      <c r="E16" s="69">
        <v>36.450000000000003</v>
      </c>
      <c r="F16" s="69">
        <v>49.47</v>
      </c>
      <c r="G16" s="96">
        <f t="shared" si="0"/>
        <v>85.92</v>
      </c>
      <c r="H16" s="69">
        <v>90.91</v>
      </c>
      <c r="I16" s="67">
        <f t="shared" si="1"/>
        <v>0.94511054889451107</v>
      </c>
    </row>
    <row r="17" spans="1:9" x14ac:dyDescent="0.35">
      <c r="A17" s="41" t="s">
        <v>157</v>
      </c>
      <c r="B17" t="s">
        <v>155</v>
      </c>
      <c r="C17" t="s">
        <v>260</v>
      </c>
      <c r="D17" s="57" t="s">
        <v>169</v>
      </c>
      <c r="E17" s="69">
        <v>25.13</v>
      </c>
      <c r="F17" s="69">
        <v>57.06</v>
      </c>
      <c r="G17" s="96">
        <f t="shared" si="0"/>
        <v>82.19</v>
      </c>
      <c r="H17" s="69">
        <v>84.18</v>
      </c>
      <c r="I17" s="67">
        <f t="shared" si="1"/>
        <v>0.97636018056545482</v>
      </c>
    </row>
    <row r="18" spans="1:9" x14ac:dyDescent="0.35">
      <c r="A18" s="41" t="s">
        <v>156</v>
      </c>
      <c r="B18" t="s">
        <v>154</v>
      </c>
      <c r="C18" t="s">
        <v>260</v>
      </c>
      <c r="D18" s="57" t="s">
        <v>170</v>
      </c>
      <c r="E18" s="69">
        <v>50.8</v>
      </c>
      <c r="F18" s="69">
        <v>78.36</v>
      </c>
      <c r="G18" s="96">
        <f t="shared" si="0"/>
        <v>129.16</v>
      </c>
      <c r="H18" s="69">
        <v>114.29</v>
      </c>
      <c r="I18" s="67">
        <f t="shared" si="1"/>
        <v>1.1301076209642138</v>
      </c>
    </row>
    <row r="19" spans="1:9" x14ac:dyDescent="0.35">
      <c r="A19" s="41" t="s">
        <v>157</v>
      </c>
      <c r="B19" t="s">
        <v>155</v>
      </c>
      <c r="C19" t="s">
        <v>260</v>
      </c>
      <c r="D19" s="57" t="s">
        <v>170</v>
      </c>
      <c r="E19" s="69">
        <v>19.73</v>
      </c>
      <c r="F19" s="69">
        <v>32.68</v>
      </c>
      <c r="G19" s="96">
        <f t="shared" si="0"/>
        <v>52.41</v>
      </c>
      <c r="H19" s="69">
        <v>63.41</v>
      </c>
      <c r="I19" s="67">
        <f t="shared" si="1"/>
        <v>0.82652578457656523</v>
      </c>
    </row>
    <row r="20" spans="1:9" x14ac:dyDescent="0.35">
      <c r="A20" s="41" t="s">
        <v>156</v>
      </c>
      <c r="B20" t="s">
        <v>154</v>
      </c>
      <c r="C20" t="s">
        <v>260</v>
      </c>
      <c r="D20" s="57" t="s">
        <v>171</v>
      </c>
      <c r="E20" s="69">
        <v>32.11</v>
      </c>
      <c r="F20" s="69">
        <v>50.01</v>
      </c>
      <c r="G20" s="96">
        <f t="shared" si="0"/>
        <v>82.12</v>
      </c>
      <c r="H20" s="69">
        <v>94.13</v>
      </c>
      <c r="I20" s="67">
        <f t="shared" si="1"/>
        <v>0.87241049612238408</v>
      </c>
    </row>
    <row r="21" spans="1:9" x14ac:dyDescent="0.35">
      <c r="A21" s="41" t="s">
        <v>157</v>
      </c>
      <c r="B21" t="s">
        <v>155</v>
      </c>
      <c r="C21" t="s">
        <v>260</v>
      </c>
      <c r="D21" s="57" t="s">
        <v>171</v>
      </c>
      <c r="E21" s="69">
        <v>22.17</v>
      </c>
      <c r="F21" s="69">
        <v>44.7</v>
      </c>
      <c r="G21" s="96">
        <f t="shared" si="0"/>
        <v>66.87</v>
      </c>
      <c r="H21" s="69">
        <v>113.07</v>
      </c>
      <c r="I21" s="67">
        <f t="shared" si="1"/>
        <v>0.59140355531971356</v>
      </c>
    </row>
    <row r="22" spans="1:9" x14ac:dyDescent="0.35">
      <c r="A22" s="41" t="s">
        <v>156</v>
      </c>
      <c r="B22" t="s">
        <v>154</v>
      </c>
      <c r="C22" t="s">
        <v>260</v>
      </c>
      <c r="D22" s="57" t="s">
        <v>172</v>
      </c>
      <c r="E22" s="69">
        <v>36.549999999999997</v>
      </c>
      <c r="F22" s="69">
        <v>56</v>
      </c>
      <c r="G22" s="96">
        <f t="shared" si="0"/>
        <v>92.55</v>
      </c>
      <c r="H22" s="69">
        <v>65.930000000000007</v>
      </c>
      <c r="I22" s="67">
        <f t="shared" si="1"/>
        <v>1.4037615652965265</v>
      </c>
    </row>
    <row r="23" spans="1:9" x14ac:dyDescent="0.35">
      <c r="A23" s="41" t="s">
        <v>158</v>
      </c>
      <c r="B23" t="s">
        <v>155</v>
      </c>
      <c r="C23" t="s">
        <v>260</v>
      </c>
      <c r="D23" s="57" t="s">
        <v>172</v>
      </c>
      <c r="E23" s="69">
        <v>13.2</v>
      </c>
      <c r="F23" s="69">
        <v>35.04</v>
      </c>
      <c r="G23" s="96">
        <f t="shared" si="0"/>
        <v>48.239999999999995</v>
      </c>
      <c r="H23" s="69">
        <v>54.72</v>
      </c>
      <c r="I23" s="67">
        <f t="shared" si="1"/>
        <v>0.88157894736842102</v>
      </c>
    </row>
    <row r="24" spans="1:9" x14ac:dyDescent="0.35">
      <c r="A24" s="41" t="s">
        <v>156</v>
      </c>
      <c r="B24" t="s">
        <v>154</v>
      </c>
      <c r="C24" t="s">
        <v>260</v>
      </c>
      <c r="D24" s="57" t="s">
        <v>173</v>
      </c>
      <c r="E24" s="69">
        <v>28.87</v>
      </c>
      <c r="F24" s="69">
        <v>64.45</v>
      </c>
      <c r="G24" s="96">
        <f t="shared" si="0"/>
        <v>93.320000000000007</v>
      </c>
      <c r="H24" s="69">
        <v>108.44</v>
      </c>
      <c r="I24" s="67">
        <f t="shared" si="1"/>
        <v>0.86056805606787168</v>
      </c>
    </row>
    <row r="25" spans="1:9" ht="15" thickBot="1" x14ac:dyDescent="0.4">
      <c r="A25" s="76" t="s">
        <v>157</v>
      </c>
      <c r="B25" s="100" t="s">
        <v>155</v>
      </c>
      <c r="C25" t="s">
        <v>260</v>
      </c>
      <c r="D25" s="77" t="s">
        <v>173</v>
      </c>
      <c r="E25" s="98">
        <v>27.72</v>
      </c>
      <c r="F25" s="98">
        <v>33.5</v>
      </c>
      <c r="G25" s="99">
        <f t="shared" si="0"/>
        <v>61.22</v>
      </c>
      <c r="H25" s="69">
        <v>76.36</v>
      </c>
      <c r="I25" s="67">
        <f t="shared" si="1"/>
        <v>0.80172865374541646</v>
      </c>
    </row>
    <row r="28" spans="1:9" x14ac:dyDescent="0.35">
      <c r="C28" s="57" t="s">
        <v>159</v>
      </c>
    </row>
    <row r="29" spans="1:9" x14ac:dyDescent="0.35">
      <c r="C29" s="57" t="s">
        <v>154</v>
      </c>
    </row>
    <row r="30" spans="1:9" x14ac:dyDescent="0.35">
      <c r="C30" s="57" t="s">
        <v>155</v>
      </c>
    </row>
    <row r="33" spans="3:3" x14ac:dyDescent="0.35">
      <c r="C33" s="57" t="s">
        <v>184</v>
      </c>
    </row>
    <row r="34" spans="3:3" x14ac:dyDescent="0.35">
      <c r="C34" s="57" t="s">
        <v>180</v>
      </c>
    </row>
    <row r="35" spans="3:3" x14ac:dyDescent="0.35">
      <c r="C35" s="57" t="s">
        <v>185</v>
      </c>
    </row>
    <row r="36" spans="3:3" x14ac:dyDescent="0.35">
      <c r="C36" s="57" t="s">
        <v>199</v>
      </c>
    </row>
    <row r="37" spans="3:3" x14ac:dyDescent="0.35">
      <c r="C37" s="57" t="s">
        <v>221</v>
      </c>
    </row>
    <row r="38" spans="3:3" x14ac:dyDescent="0.35">
      <c r="C38" s="57" t="s">
        <v>197</v>
      </c>
    </row>
    <row r="39" spans="3:3" x14ac:dyDescent="0.35">
      <c r="C39" s="57" t="s">
        <v>198</v>
      </c>
    </row>
  </sheetData>
  <conditionalFormatting sqref="G2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17D1-C1B9-4599-AD4C-011E0105D12D}">
  <dimension ref="A1:AJ97"/>
  <sheetViews>
    <sheetView zoomScale="70" workbookViewId="0">
      <selection sqref="A1:L1048576"/>
    </sheetView>
  </sheetViews>
  <sheetFormatPr baseColWidth="10" defaultRowHeight="14.5" x14ac:dyDescent="0.35"/>
  <cols>
    <col min="1" max="1" width="8.54296875" bestFit="1" customWidth="1"/>
    <col min="2" max="2" width="10.81640625" bestFit="1" customWidth="1"/>
    <col min="3" max="3" width="11.08984375" customWidth="1"/>
    <col min="4" max="4" width="10.81640625" style="57" bestFit="1" customWidth="1"/>
    <col min="5" max="5" width="10.81640625" style="57" customWidth="1"/>
    <col min="6" max="6" width="5.7265625" bestFit="1" customWidth="1"/>
    <col min="7" max="7" width="4.26953125" bestFit="1" customWidth="1"/>
    <col min="8" max="8" width="5.26953125" bestFit="1" customWidth="1"/>
    <col min="9" max="9" width="6.26953125" bestFit="1" customWidth="1"/>
    <col min="10" max="10" width="4.90625" bestFit="1" customWidth="1"/>
    <col min="11" max="11" width="6.26953125" bestFit="1" customWidth="1"/>
    <col min="12" max="12" width="5.7265625" bestFit="1" customWidth="1"/>
    <col min="15" max="15" width="11.1796875" bestFit="1" customWidth="1"/>
    <col min="16" max="16" width="7.90625" customWidth="1"/>
    <col min="18" max="18" width="6.36328125" customWidth="1"/>
    <col min="22" max="22" width="16.90625" bestFit="1" customWidth="1"/>
    <col min="23" max="23" width="11.26953125" bestFit="1" customWidth="1"/>
    <col min="24" max="27" width="11" bestFit="1" customWidth="1"/>
    <col min="28" max="28" width="11.26953125" bestFit="1" customWidth="1"/>
  </cols>
  <sheetData>
    <row r="1" spans="1:36" ht="15" thickBot="1" x14ac:dyDescent="0.4">
      <c r="A1" t="s">
        <v>160</v>
      </c>
      <c r="B1" t="s">
        <v>159</v>
      </c>
      <c r="C1" t="s">
        <v>258</v>
      </c>
      <c r="D1" s="57" t="s">
        <v>161</v>
      </c>
      <c r="E1" s="57" t="s">
        <v>209</v>
      </c>
      <c r="F1" s="167" t="s">
        <v>263</v>
      </c>
      <c r="G1" s="167" t="s">
        <v>264</v>
      </c>
      <c r="H1" s="167" t="s">
        <v>86</v>
      </c>
      <c r="I1" s="77" t="s">
        <v>265</v>
      </c>
      <c r="J1" s="57" t="s">
        <v>207</v>
      </c>
      <c r="K1" s="167" t="s">
        <v>210</v>
      </c>
      <c r="L1" s="167" t="s">
        <v>211</v>
      </c>
      <c r="M1" s="66"/>
      <c r="N1" s="89" t="s">
        <v>199</v>
      </c>
      <c r="O1" s="71" t="s">
        <v>204</v>
      </c>
      <c r="P1" s="94" t="s">
        <v>205</v>
      </c>
      <c r="Q1" s="71" t="s">
        <v>208</v>
      </c>
      <c r="R1" s="71" t="s">
        <v>219</v>
      </c>
      <c r="S1" s="71" t="s">
        <v>210</v>
      </c>
      <c r="T1" s="95" t="s">
        <v>211</v>
      </c>
      <c r="V1" s="88" t="s">
        <v>185</v>
      </c>
      <c r="W1" s="71" t="s">
        <v>204</v>
      </c>
      <c r="X1" s="94" t="s">
        <v>205</v>
      </c>
      <c r="Y1" s="71" t="s">
        <v>208</v>
      </c>
      <c r="Z1" s="71" t="s">
        <v>206</v>
      </c>
      <c r="AA1" s="71" t="s">
        <v>210</v>
      </c>
      <c r="AB1" s="95" t="s">
        <v>211</v>
      </c>
      <c r="AD1" s="101" t="s">
        <v>197</v>
      </c>
      <c r="AE1" s="71" t="s">
        <v>204</v>
      </c>
      <c r="AF1" s="94" t="s">
        <v>205</v>
      </c>
      <c r="AG1" s="71" t="s">
        <v>208</v>
      </c>
      <c r="AH1" s="71" t="s">
        <v>206</v>
      </c>
      <c r="AI1" s="71" t="s">
        <v>210</v>
      </c>
      <c r="AJ1" s="95" t="s">
        <v>211</v>
      </c>
    </row>
    <row r="2" spans="1:36" x14ac:dyDescent="0.35">
      <c r="A2" t="s">
        <v>156</v>
      </c>
      <c r="B2" s="70" t="s">
        <v>154</v>
      </c>
      <c r="C2" t="s">
        <v>259</v>
      </c>
      <c r="D2" s="71" t="s">
        <v>162</v>
      </c>
      <c r="E2" s="71" t="s">
        <v>199</v>
      </c>
      <c r="F2" s="80">
        <v>10.31201461010852</v>
      </c>
      <c r="G2" s="80">
        <v>0.23109150846632459</v>
      </c>
      <c r="H2" s="80">
        <v>5.6901141137310702</v>
      </c>
      <c r="I2" s="67">
        <v>375.93319702148438</v>
      </c>
      <c r="J2" s="80">
        <v>2.4475723612152898</v>
      </c>
      <c r="K2" s="80">
        <f>F2/G2</f>
        <v>44.623078877046751</v>
      </c>
      <c r="L2" s="81">
        <f>F2/H2</f>
        <v>1.8122685070979743</v>
      </c>
      <c r="N2" s="91" t="s">
        <v>154</v>
      </c>
      <c r="O2" s="67">
        <f>AVERAGE(F2,F4,F6,F8,F10,F12,F14,F16,F18,F20,F24)</f>
        <v>17.050986488523986</v>
      </c>
      <c r="P2" s="67">
        <f>AVERAGE(G2,G4,G6,G8,G10,G12,G14,G16,G18,G20,G24)</f>
        <v>0.26439677934847583</v>
      </c>
      <c r="Q2" s="67">
        <f>AVERAGE(H2,H4,H6,H8,H10,H12,H14,H16,H18,H20,H24)</f>
        <v>7.2532607695375013</v>
      </c>
      <c r="R2" s="67">
        <f>AVERAGE(I2,I4,I6,I8,I10,I12,I14,I16,I18,I20,I24)</f>
        <v>415.29836481267756</v>
      </c>
      <c r="S2" s="67">
        <f>AVERAGE(K2,K4,K6,K8,K10,K12,K14,K16,K18,K20,K24)</f>
        <v>64.217277293949778</v>
      </c>
      <c r="T2" s="82">
        <f>AVERAGE(L2,L4,L6,L8,L10,L12,L14,L16,L18,L20,L24)</f>
        <v>2.3270083669013846</v>
      </c>
      <c r="V2" s="91" t="s">
        <v>154</v>
      </c>
      <c r="W2" s="67">
        <f>AVERAGE(F26,F28,F30,F32,F34,F36,F38,F40,F42,F44,F46,F48)</f>
        <v>6.7058750300418142</v>
      </c>
      <c r="X2" s="67">
        <f t="shared" ref="X2:AA2" si="0">AVERAGE(G26,G28,G30,G32,G34,G36,G38,G40,G42,G44,G46,G48)</f>
        <v>0.1179472446180125</v>
      </c>
      <c r="Y2" s="67">
        <f t="shared" si="0"/>
        <v>4.1401213215612609</v>
      </c>
      <c r="Z2" s="67">
        <f t="shared" si="0"/>
        <v>489.49223091809898</v>
      </c>
      <c r="AA2" s="67">
        <f t="shared" si="0"/>
        <v>3.7733870068689961</v>
      </c>
      <c r="AB2" s="82">
        <f>AVERAGE(K26,K28,K30,K32,K34,K36,K38,K40,K42,K44,K46,K48)</f>
        <v>95.548039037506499</v>
      </c>
      <c r="AD2" s="91" t="s">
        <v>154</v>
      </c>
      <c r="AE2" s="67" t="e">
        <f>AVERAGE(N26,N28,N30,N32,N34,N36,N38,N40,N42,N44,N46,N48)</f>
        <v>#DIV/0!</v>
      </c>
      <c r="AF2" s="67" t="e">
        <f t="shared" ref="AF2:AF3" si="1">AVERAGE(O26,O28,O30,O32,O34,O36,O38,O40,O42,O44,O46,O48)</f>
        <v>#DIV/0!</v>
      </c>
      <c r="AG2" s="67" t="e">
        <f t="shared" ref="AG2:AG3" si="2">AVERAGE(P26,P28,P30,P32,P34,P36,P38,P40,P42,P44,P46,P48)</f>
        <v>#DIV/0!</v>
      </c>
      <c r="AH2" s="67" t="e">
        <f t="shared" ref="AH2:AH3" si="3">AVERAGE(Q26,Q28,Q30,Q32,Q34,Q36,Q38,Q40,Q42,Q44,Q46,Q48)</f>
        <v>#DIV/0!</v>
      </c>
      <c r="AI2" s="67" t="e">
        <f t="shared" ref="AI2:AI3" si="4">AVERAGE(R26,R28,R30,R32,R34,R36,R38,R40,R42,R44,R46,R48)</f>
        <v>#DIV/0!</v>
      </c>
      <c r="AJ2" s="82" t="e">
        <f>AVERAGE(S26,S28,S30,S32,S34,S36,S38,S40,S42,S44,S46,S48)</f>
        <v>#DIV/0!</v>
      </c>
    </row>
    <row r="3" spans="1:36" x14ac:dyDescent="0.35">
      <c r="A3" t="s">
        <v>157</v>
      </c>
      <c r="B3" s="41" t="s">
        <v>155</v>
      </c>
      <c r="C3" t="s">
        <v>259</v>
      </c>
      <c r="D3" s="57" t="s">
        <v>162</v>
      </c>
      <c r="E3" s="57" t="s">
        <v>199</v>
      </c>
      <c r="F3" s="67">
        <v>10.13119068942069</v>
      </c>
      <c r="G3" s="67">
        <v>0.19367052349429048</v>
      </c>
      <c r="H3" s="67">
        <v>4.9629625999122506</v>
      </c>
      <c r="I3" s="67">
        <v>513.39324951171875</v>
      </c>
      <c r="J3" s="67">
        <v>2.5344899397523868</v>
      </c>
      <c r="K3" s="67">
        <f t="shared" ref="K3:K37" si="5">F3/G3</f>
        <v>52.311474697487263</v>
      </c>
      <c r="L3" s="82">
        <f t="shared" ref="L3:L37" si="6">F3/H3</f>
        <v>2.041359467347148</v>
      </c>
      <c r="N3" s="91" t="s">
        <v>155</v>
      </c>
      <c r="O3" s="67">
        <f>AVERAGE(F3,F5,F7,F9,F11,F13,F15,F17,F19,F21,F23,F25)</f>
        <v>17.618509937175876</v>
      </c>
      <c r="P3" s="67">
        <f t="shared" ref="P3:R3" si="7">AVERAGE(G3,G5,G7,G9,G11,G13,G15,G17,G19,G21,G23,G25)</f>
        <v>0.25533829797233348</v>
      </c>
      <c r="Q3" s="67">
        <f t="shared" si="7"/>
        <v>7.1441049355543802</v>
      </c>
      <c r="R3" s="67">
        <f t="shared" si="7"/>
        <v>518.70910390218103</v>
      </c>
      <c r="S3" s="67">
        <f t="shared" ref="S3" si="8">AVERAGE(K3,K5,K7,K9,K11,K13,K15,K17,K19,K21,K23,K25)</f>
        <v>68.370463643749261</v>
      </c>
      <c r="T3" s="82">
        <f>AVERAGE(L3,L5,L7,L9,L11,L13,L15,L17,L19,L21,L23,L25)</f>
        <v>2.4212096725103947</v>
      </c>
      <c r="V3" s="91" t="s">
        <v>155</v>
      </c>
      <c r="W3" s="67">
        <f>AVERAGE(F27,F29,F31,F33,F35,F37,F39,F41,F43,F45,F47,F49)</f>
        <v>6.7534245157224966</v>
      </c>
      <c r="X3" s="67">
        <f t="shared" ref="X3" si="9">AVERAGE(G27,G29,G31,G33,G35,G37,G39,G41,G43,G45,G47,G49)</f>
        <v>0.13939980904615148</v>
      </c>
      <c r="Y3" s="67">
        <f t="shared" ref="Y3" si="10">AVERAGE(H27,H29,H31,H33,H35,H37,H39,H41,H43,H45,H47,H49)</f>
        <v>4.5573849510772479</v>
      </c>
      <c r="Z3" s="67">
        <f t="shared" ref="Z3" si="11">AVERAGE(I27,I29,I31,I33,I35,I37,I39,I41,I43,I45,I47,I49)</f>
        <v>401.44161224365234</v>
      </c>
      <c r="AA3" s="67">
        <f t="shared" ref="AA3" si="12">AVERAGE(J27,J29,J31,J33,J35,J37,J39,J41,J43,J45,J47,J49)</f>
        <v>3.7281795639515045</v>
      </c>
      <c r="AB3" s="82">
        <f t="shared" ref="AB3" si="13">AVERAGE(K27,K29,K31,K33,K35,K37,K39,K41,K43,K45,K47,K49)</f>
        <v>61.38839703060853</v>
      </c>
      <c r="AD3" s="91" t="s">
        <v>155</v>
      </c>
      <c r="AE3" s="67" t="e">
        <f>AVERAGE(N27,N29,N31,N33,N35,N37,N39,N41,N43,N45,N47,N49)</f>
        <v>#DIV/0!</v>
      </c>
      <c r="AF3" s="67" t="e">
        <f t="shared" si="1"/>
        <v>#DIV/0!</v>
      </c>
      <c r="AG3" s="67" t="e">
        <f t="shared" si="2"/>
        <v>#DIV/0!</v>
      </c>
      <c r="AH3" s="67" t="e">
        <f t="shared" si="3"/>
        <v>#DIV/0!</v>
      </c>
      <c r="AI3" s="67" t="e">
        <f t="shared" si="4"/>
        <v>#DIV/0!</v>
      </c>
      <c r="AJ3" s="82" t="e">
        <f t="shared" ref="AJ3" si="14">AVERAGE(S27,S29,S31,S33,S35,S37,S39,S41,S43,S45,S47,S49)</f>
        <v>#DIV/0!</v>
      </c>
    </row>
    <row r="4" spans="1:36" x14ac:dyDescent="0.35">
      <c r="A4" t="s">
        <v>156</v>
      </c>
      <c r="B4" s="41" t="s">
        <v>154</v>
      </c>
      <c r="C4" t="s">
        <v>259</v>
      </c>
      <c r="D4" s="57" t="s">
        <v>163</v>
      </c>
      <c r="E4" s="57" t="s">
        <v>199</v>
      </c>
      <c r="F4" s="67">
        <v>12.945201831384543</v>
      </c>
      <c r="G4" s="67">
        <v>0.23122241368688048</v>
      </c>
      <c r="H4" s="67">
        <v>5.9196817765065033</v>
      </c>
      <c r="I4" s="67">
        <v>467.02981567382813</v>
      </c>
      <c r="J4" s="67">
        <v>2.5404750274229984</v>
      </c>
      <c r="K4" s="67">
        <f t="shared" si="5"/>
        <v>55.985929845515884</v>
      </c>
      <c r="L4" s="82">
        <f t="shared" si="6"/>
        <v>2.1868070481018567</v>
      </c>
      <c r="N4" s="91" t="s">
        <v>216</v>
      </c>
      <c r="T4" s="49"/>
      <c r="V4" s="91" t="s">
        <v>216</v>
      </c>
      <c r="AB4" s="49"/>
      <c r="AD4" s="91" t="s">
        <v>216</v>
      </c>
      <c r="AJ4" s="49"/>
    </row>
    <row r="5" spans="1:36" x14ac:dyDescent="0.35">
      <c r="A5" t="s">
        <v>157</v>
      </c>
      <c r="B5" s="41" t="s">
        <v>155</v>
      </c>
      <c r="C5" t="s">
        <v>259</v>
      </c>
      <c r="D5" s="57" t="s">
        <v>163</v>
      </c>
      <c r="E5" s="57" t="s">
        <v>199</v>
      </c>
      <c r="F5" s="67">
        <v>10.479177433967324</v>
      </c>
      <c r="G5" s="67">
        <v>0.20842426328082861</v>
      </c>
      <c r="H5" s="67">
        <v>5.4349838715058727</v>
      </c>
      <c r="I5" s="67">
        <v>471.80172729492188</v>
      </c>
      <c r="J5" s="67">
        <v>2.5808455275783206</v>
      </c>
      <c r="K5" s="67">
        <f t="shared" si="5"/>
        <v>50.278107111971863</v>
      </c>
      <c r="L5" s="82">
        <f t="shared" si="6"/>
        <v>1.9280972458642927</v>
      </c>
      <c r="N5" s="91" t="s">
        <v>154</v>
      </c>
      <c r="O5" s="69">
        <f>STDEV(F2,F4,F6,F8,F10,F12,F14,F16,F18,F20,F24)/SQRT(COUNT(F2,F4,F6,F8,F10,F12,F14,F16,F18,F20,F24))</f>
        <v>1.444610699357167</v>
      </c>
      <c r="P5" s="69">
        <f t="shared" ref="P5:T5" si="15">STDEV(G2,G4,G6,G8,G10,G12,G14,G16,G18,G20,G24)/SQRT(COUNT(G2,G4,G6,G8,G10,G12,G14,G16,G18,G20,G24))</f>
        <v>9.0597589494059785E-3</v>
      </c>
      <c r="Q5" s="69">
        <f t="shared" si="15"/>
        <v>0.32599546686240544</v>
      </c>
      <c r="R5" s="69">
        <f t="shared" si="15"/>
        <v>18.385273210196914</v>
      </c>
      <c r="S5" s="69">
        <f t="shared" si="15"/>
        <v>5.4963898625030407E-2</v>
      </c>
      <c r="T5" s="96">
        <f t="shared" si="15"/>
        <v>4.8112695226679856</v>
      </c>
      <c r="V5" s="91" t="s">
        <v>154</v>
      </c>
      <c r="W5" s="69">
        <f>STDEV(F26,F28,F30,F32,F34,F36,F38,F40,F42,F44,F46,F48)/SQRT(COUNT(F26,F28,F30,F32,F34,F36,F38,F40,F42,F44,F46,F48))</f>
        <v>1.2697209549196364</v>
      </c>
      <c r="X5" s="69">
        <f t="shared" ref="X5:AB5" si="16">STDEV(G26,G28,G30,G32,G34,G36,G38,G40,G42,G44,G46,G48)/SQRT(COUNT(G26,G28,G30,G32,G34,G36,G38,G40,G42,G44,G46,G48))</f>
        <v>3.0508162940642701E-2</v>
      </c>
      <c r="Y5" s="69">
        <f t="shared" si="16"/>
        <v>1.0128940953778658</v>
      </c>
      <c r="Z5" s="69">
        <f t="shared" si="16"/>
        <v>47.943193497735706</v>
      </c>
      <c r="AA5" s="69">
        <f t="shared" si="16"/>
        <v>0.13642171976291959</v>
      </c>
      <c r="AB5" s="96">
        <f t="shared" si="16"/>
        <v>24.362958699973415</v>
      </c>
      <c r="AD5" s="91" t="s">
        <v>154</v>
      </c>
      <c r="AE5" s="69" t="e">
        <f>STDEV(N26,N28,N30,N32,N34,N36,N38,N40,N42,N44,N46,N48)/SQRT(COUNT(N26,N28,N30,N32,N34,N36,N38,N40,N42,N44,N46,N48))</f>
        <v>#DIV/0!</v>
      </c>
      <c r="AF5" s="69" t="e">
        <f t="shared" ref="AF5:AF6" si="17">STDEV(O26,O28,O30,O32,O34,O36,O38,O40,O42,O44,O46,O48)/SQRT(COUNT(O26,O28,O30,O32,O34,O36,O38,O40,O42,O44,O46,O48))</f>
        <v>#DIV/0!</v>
      </c>
      <c r="AG5" s="69" t="e">
        <f t="shared" ref="AG5:AG6" si="18">STDEV(P26,P28,P30,P32,P34,P36,P38,P40,P42,P44,P46,P48)/SQRT(COUNT(P26,P28,P30,P32,P34,P36,P38,P40,P42,P44,P46,P48))</f>
        <v>#DIV/0!</v>
      </c>
      <c r="AH5" s="69" t="e">
        <f t="shared" ref="AH5:AH6" si="19">STDEV(Q26,Q28,Q30,Q32,Q34,Q36,Q38,Q40,Q42,Q44,Q46,Q48)/SQRT(COUNT(Q26,Q28,Q30,Q32,Q34,Q36,Q38,Q40,Q42,Q44,Q46,Q48))</f>
        <v>#DIV/0!</v>
      </c>
      <c r="AI5" s="69" t="e">
        <f t="shared" ref="AI5:AI6" si="20">STDEV(R26,R28,R30,R32,R34,R36,R38,R40,R42,R44,R46,R48)/SQRT(COUNT(R26,R28,R30,R32,R34,R36,R38,R40,R42,R44,R46,R48))</f>
        <v>#DIV/0!</v>
      </c>
      <c r="AJ5" s="96" t="e">
        <f t="shared" ref="AJ5:AJ6" si="21">STDEV(S26,S28,S30,S32,S34,S36,S38,S40,S42,S44,S46,S48)/SQRT(COUNT(S26,S28,S30,S32,S34,S36,S38,S40,S42,S44,S46,S48))</f>
        <v>#DIV/0!</v>
      </c>
    </row>
    <row r="6" spans="1:36" x14ac:dyDescent="0.35">
      <c r="A6" t="s">
        <v>156</v>
      </c>
      <c r="B6" s="41" t="s">
        <v>154</v>
      </c>
      <c r="C6" t="s">
        <v>259</v>
      </c>
      <c r="D6" s="57" t="s">
        <v>164</v>
      </c>
      <c r="E6" s="57" t="s">
        <v>199</v>
      </c>
      <c r="F6" s="67">
        <v>13.818123860157671</v>
      </c>
      <c r="G6" s="67">
        <v>0.22464999526834212</v>
      </c>
      <c r="H6" s="67">
        <v>5.8260336116981675</v>
      </c>
      <c r="I6" s="67">
        <v>380.37515258789063</v>
      </c>
      <c r="J6" s="67">
        <v>2.5700915900746137</v>
      </c>
      <c r="K6" s="67">
        <f t="shared" si="5"/>
        <v>61.509566664588903</v>
      </c>
      <c r="L6" s="82">
        <f t="shared" si="6"/>
        <v>2.3717892448152176</v>
      </c>
      <c r="N6" s="91" t="s">
        <v>155</v>
      </c>
      <c r="O6" s="69">
        <f>STDEV(F3,F5,F7,F9,F11,F13,F15,F17,F19,F21,F23,F25)/SQRT(COUNT(F3,F5,F7,F9,F11,F13,F15,F17,F19,F21,F23,F25))</f>
        <v>1.5440110176886828</v>
      </c>
      <c r="P6" s="69">
        <f t="shared" ref="P6:T6" si="22">STDEV(G3,G5,G7,G9,G11,G13,G15,G17,G19,G21,G23,G25)/SQRT(COUNT(G3,G5,G7,G9,G11,G13,G15,G17,G19,G21,G23,G25))</f>
        <v>1.0947278022918209E-2</v>
      </c>
      <c r="Q6" s="69">
        <f t="shared" si="22"/>
        <v>0.34228077635223331</v>
      </c>
      <c r="R6" s="69">
        <f t="shared" si="22"/>
        <v>19.513725522811697</v>
      </c>
      <c r="S6" s="69">
        <f t="shared" si="22"/>
        <v>5.5066553365446809E-2</v>
      </c>
      <c r="T6" s="96">
        <f t="shared" si="22"/>
        <v>4.8860079040276636</v>
      </c>
      <c r="V6" s="91" t="s">
        <v>155</v>
      </c>
      <c r="W6" s="69">
        <f>STDEV(F27,F29,F31,F33,F35,F37,F39,F41,F43,F45,F47,F49)/SQRT(COUNT(F27,F29,F31,F33,F35,F37,F39,F41,F43,F45,F47,F49))</f>
        <v>1.3811870256302818</v>
      </c>
      <c r="X6" s="69">
        <f t="shared" ref="X6:AB6" si="23">STDEV(G27,G29,G31,G33,G35,G37,G39,G41,G43,G45,G47,G49)/SQRT(COUNT(G27,G29,G31,G33,G35,G37,G39,G41,G43,G45,G47,G49))</f>
        <v>3.3158799301636455E-2</v>
      </c>
      <c r="Y6" s="69">
        <f t="shared" si="23"/>
        <v>0.97705770164060157</v>
      </c>
      <c r="Z6" s="69">
        <f t="shared" si="23"/>
        <v>26.128546740461555</v>
      </c>
      <c r="AA6" s="69">
        <f t="shared" si="23"/>
        <v>0.19739661087553609</v>
      </c>
      <c r="AB6" s="96">
        <f t="shared" si="23"/>
        <v>12.731354760503637</v>
      </c>
      <c r="AD6" s="91" t="s">
        <v>155</v>
      </c>
      <c r="AE6" s="69" t="e">
        <f>STDEV(N27,N29,N31,N33,N35,N37,N39,N41,N43,N45,N47,N49)/SQRT(COUNT(N27,N29,N31,N33,N35,N37,N39,N41,N43,N45,N47,N49))</f>
        <v>#DIV/0!</v>
      </c>
      <c r="AF6" s="69" t="e">
        <f t="shared" si="17"/>
        <v>#DIV/0!</v>
      </c>
      <c r="AG6" s="69" t="e">
        <f t="shared" si="18"/>
        <v>#DIV/0!</v>
      </c>
      <c r="AH6" s="69" t="e">
        <f t="shared" si="19"/>
        <v>#DIV/0!</v>
      </c>
      <c r="AI6" s="69" t="e">
        <f t="shared" si="20"/>
        <v>#DIV/0!</v>
      </c>
      <c r="AJ6" s="96" t="e">
        <f t="shared" si="21"/>
        <v>#DIV/0!</v>
      </c>
    </row>
    <row r="7" spans="1:36" x14ac:dyDescent="0.35">
      <c r="A7" t="s">
        <v>157</v>
      </c>
      <c r="B7" s="41" t="s">
        <v>155</v>
      </c>
      <c r="C7" t="s">
        <v>259</v>
      </c>
      <c r="D7" s="57" t="s">
        <v>164</v>
      </c>
      <c r="E7" s="57" t="s">
        <v>199</v>
      </c>
      <c r="F7" s="67">
        <v>12.62953006824875</v>
      </c>
      <c r="G7" s="67">
        <v>0.25055602103789787</v>
      </c>
      <c r="H7" s="67">
        <v>6.6523522544636737</v>
      </c>
      <c r="I7" s="67">
        <v>643.76239013671875</v>
      </c>
      <c r="J7" s="67">
        <v>2.6360140018508842</v>
      </c>
      <c r="K7" s="67">
        <f t="shared" si="5"/>
        <v>50.406013058207328</v>
      </c>
      <c r="L7" s="82">
        <f t="shared" si="6"/>
        <v>1.8985059096614192</v>
      </c>
      <c r="N7" s="92"/>
      <c r="O7" s="90"/>
      <c r="P7" s="90"/>
      <c r="Q7" s="90"/>
      <c r="R7" s="90"/>
      <c r="S7" s="90"/>
      <c r="T7" s="97"/>
      <c r="U7" s="90"/>
      <c r="V7" s="92"/>
      <c r="W7" s="90"/>
      <c r="X7" s="90"/>
      <c r="Y7" s="90"/>
      <c r="Z7" s="90"/>
      <c r="AA7" s="90"/>
      <c r="AB7" s="97"/>
      <c r="AD7" s="92"/>
      <c r="AE7" s="90"/>
      <c r="AF7" s="90"/>
      <c r="AG7" s="90"/>
      <c r="AH7" s="90"/>
      <c r="AI7" s="90"/>
      <c r="AJ7" s="97"/>
    </row>
    <row r="8" spans="1:36" x14ac:dyDescent="0.35">
      <c r="A8" t="s">
        <v>156</v>
      </c>
      <c r="B8" s="41" t="s">
        <v>154</v>
      </c>
      <c r="C8" t="s">
        <v>259</v>
      </c>
      <c r="D8" s="57" t="s">
        <v>165</v>
      </c>
      <c r="E8" s="57" t="s">
        <v>199</v>
      </c>
      <c r="F8" s="67">
        <v>13.469134965489177</v>
      </c>
      <c r="G8" s="67">
        <v>0.28814006234195555</v>
      </c>
      <c r="H8" s="67">
        <v>7.4413697866996147</v>
      </c>
      <c r="I8" s="67">
        <v>351.99539184570313</v>
      </c>
      <c r="J8" s="67">
        <v>2.5735135602659827</v>
      </c>
      <c r="K8" s="67">
        <f t="shared" si="5"/>
        <v>46.74509631189165</v>
      </c>
      <c r="L8" s="82">
        <f t="shared" si="6"/>
        <v>1.8100343554439844</v>
      </c>
      <c r="N8" s="91" t="s">
        <v>217</v>
      </c>
      <c r="O8" s="69">
        <f>AVERAGE(F2:F13)</f>
        <v>13.778541622764529</v>
      </c>
      <c r="P8" s="69">
        <f t="shared" ref="P8:T8" si="24">AVERAGE(G2:G13)</f>
        <v>0.24597060876810842</v>
      </c>
      <c r="Q8" s="69">
        <f t="shared" si="24"/>
        <v>6.4645110148287301</v>
      </c>
      <c r="R8" s="69">
        <f t="shared" si="24"/>
        <v>461.77197519938153</v>
      </c>
      <c r="S8" s="69">
        <f t="shared" si="24"/>
        <v>2.6054307896259146</v>
      </c>
      <c r="T8" s="96">
        <f t="shared" si="24"/>
        <v>55.672926491208393</v>
      </c>
      <c r="V8" s="91" t="s">
        <v>217</v>
      </c>
      <c r="W8" s="69">
        <f>AVERAGE(F26:F37)</f>
        <v>10.206560693019973</v>
      </c>
      <c r="X8" s="69">
        <f t="shared" ref="X8:AB8" si="25">AVERAGE(G26:G37)</f>
        <v>0.22185962125054173</v>
      </c>
      <c r="Y8" s="69">
        <f t="shared" si="25"/>
        <v>7.3834789212279972</v>
      </c>
      <c r="Z8" s="69">
        <f t="shared" si="25"/>
        <v>394.36454028496092</v>
      </c>
      <c r="AA8" s="69">
        <f t="shared" si="25"/>
        <v>3.3963920832051619</v>
      </c>
      <c r="AB8" s="96">
        <f t="shared" si="25"/>
        <v>48.289590340155733</v>
      </c>
      <c r="AD8" s="91" t="s">
        <v>217</v>
      </c>
      <c r="AE8" s="69" t="e">
        <f>AVERAGE(N26:N37)</f>
        <v>#DIV/0!</v>
      </c>
      <c r="AF8" s="69" t="e">
        <f t="shared" ref="AF8" si="26">AVERAGE(O26:O37)</f>
        <v>#DIV/0!</v>
      </c>
      <c r="AG8" s="69" t="e">
        <f t="shared" ref="AG8" si="27">AVERAGE(P26:P37)</f>
        <v>#DIV/0!</v>
      </c>
      <c r="AH8" s="69" t="e">
        <f t="shared" ref="AH8" si="28">AVERAGE(Q26:Q37)</f>
        <v>#DIV/0!</v>
      </c>
      <c r="AI8" s="69" t="e">
        <f t="shared" ref="AI8" si="29">AVERAGE(R26:R37)</f>
        <v>#DIV/0!</v>
      </c>
      <c r="AJ8" s="96" t="e">
        <f t="shared" ref="AJ8" si="30">AVERAGE(S26:S37)</f>
        <v>#DIV/0!</v>
      </c>
    </row>
    <row r="9" spans="1:36" x14ac:dyDescent="0.35">
      <c r="A9" t="s">
        <v>157</v>
      </c>
      <c r="B9" s="41" t="s">
        <v>155</v>
      </c>
      <c r="C9" t="s">
        <v>259</v>
      </c>
      <c r="D9" s="57" t="s">
        <v>165</v>
      </c>
      <c r="E9" s="57" t="s">
        <v>199</v>
      </c>
      <c r="F9" s="67">
        <v>14.416817407891097</v>
      </c>
      <c r="G9" s="67">
        <v>0.2747109763993737</v>
      </c>
      <c r="H9" s="67">
        <v>7.2609340356086243</v>
      </c>
      <c r="I9" s="67">
        <v>493.25323486328125</v>
      </c>
      <c r="J9" s="67">
        <v>2.6294821325368405</v>
      </c>
      <c r="K9" s="67">
        <f t="shared" si="5"/>
        <v>52.479946731112726</v>
      </c>
      <c r="L9" s="82">
        <f t="shared" si="6"/>
        <v>1.9855320730348232</v>
      </c>
      <c r="N9" s="91" t="s">
        <v>179</v>
      </c>
      <c r="O9" s="69">
        <f>AVERAGE(F14:F21,F23:F25)</f>
        <v>21.240042831518181</v>
      </c>
      <c r="P9" s="69">
        <f t="shared" ref="P9:T9" si="31">AVERAGE(G14:G25)</f>
        <v>0.26021109128216419</v>
      </c>
      <c r="Q9" s="69">
        <f t="shared" si="31"/>
        <v>7.6140903567602471</v>
      </c>
      <c r="R9" s="69">
        <f t="shared" si="31"/>
        <v>437.35799481471378</v>
      </c>
      <c r="S9" s="69">
        <f t="shared" si="31"/>
        <v>2.9275153416125881</v>
      </c>
      <c r="T9" s="96">
        <f t="shared" si="31"/>
        <v>83.235527380786309</v>
      </c>
      <c r="V9" s="91" t="s">
        <v>218</v>
      </c>
      <c r="W9" s="69">
        <f>AVERAGE(F38:F49)</f>
        <v>3.2527388527443382</v>
      </c>
      <c r="X9" s="69">
        <f t="shared" ref="X9:AB9" si="32">AVERAGE(G38:G49)</f>
        <v>3.5487432413622198E-2</v>
      </c>
      <c r="Y9" s="69">
        <f t="shared" si="32"/>
        <v>1.3140273514105123</v>
      </c>
      <c r="Z9" s="69">
        <f t="shared" si="32"/>
        <v>496.56930287679035</v>
      </c>
      <c r="AA9" s="69">
        <f t="shared" si="32"/>
        <v>4.1051744876153391</v>
      </c>
      <c r="AB9" s="96">
        <f t="shared" si="32"/>
        <v>108.64684572795927</v>
      </c>
      <c r="AD9" s="91" t="s">
        <v>218</v>
      </c>
      <c r="AE9" s="69" t="e">
        <f>AVERAGE(N38:N49)</f>
        <v>#DIV/0!</v>
      </c>
      <c r="AF9" s="69" t="e">
        <f t="shared" ref="AF9" si="33">AVERAGE(O38:O49)</f>
        <v>#DIV/0!</v>
      </c>
      <c r="AG9" s="69" t="e">
        <f t="shared" ref="AG9" si="34">AVERAGE(P38:P49)</f>
        <v>#DIV/0!</v>
      </c>
      <c r="AH9" s="69" t="e">
        <f t="shared" ref="AH9" si="35">AVERAGE(Q38:Q49)</f>
        <v>#DIV/0!</v>
      </c>
      <c r="AI9" s="69" t="e">
        <f t="shared" ref="AI9" si="36">AVERAGE(R38:R49)</f>
        <v>#DIV/0!</v>
      </c>
      <c r="AJ9" s="96" t="e">
        <f t="shared" ref="AJ9" si="37">AVERAGE(S38:S49)</f>
        <v>#DIV/0!</v>
      </c>
    </row>
    <row r="10" spans="1:36" x14ac:dyDescent="0.35">
      <c r="A10" t="s">
        <v>156</v>
      </c>
      <c r="B10" s="41" t="s">
        <v>154</v>
      </c>
      <c r="C10" t="s">
        <v>259</v>
      </c>
      <c r="D10" s="57" t="s">
        <v>166</v>
      </c>
      <c r="E10" s="57" t="s">
        <v>199</v>
      </c>
      <c r="F10" s="67">
        <v>23.091252144698935</v>
      </c>
      <c r="G10" s="67">
        <v>0.28352937684895935</v>
      </c>
      <c r="H10" s="67">
        <v>8.0637182205376572</v>
      </c>
      <c r="I10" s="67">
        <v>414.07333374023438</v>
      </c>
      <c r="J10" s="67">
        <v>2.8279698805662812</v>
      </c>
      <c r="K10" s="67">
        <f t="shared" si="5"/>
        <v>81.442185643429866</v>
      </c>
      <c r="L10" s="82">
        <f t="shared" si="6"/>
        <v>2.8635985922582621</v>
      </c>
      <c r="N10" s="91" t="s">
        <v>216</v>
      </c>
      <c r="T10" s="49"/>
      <c r="V10" s="91" t="s">
        <v>216</v>
      </c>
      <c r="AB10" s="49"/>
      <c r="AD10" s="91" t="s">
        <v>216</v>
      </c>
      <c r="AJ10" s="49"/>
    </row>
    <row r="11" spans="1:36" x14ac:dyDescent="0.35">
      <c r="A11" t="s">
        <v>157</v>
      </c>
      <c r="B11" s="41" t="s">
        <v>155</v>
      </c>
      <c r="C11" t="s">
        <v>259</v>
      </c>
      <c r="D11" s="57" t="s">
        <v>166</v>
      </c>
      <c r="E11" s="57" t="s">
        <v>199</v>
      </c>
      <c r="F11" s="67">
        <v>11.864976560781818</v>
      </c>
      <c r="G11" s="67">
        <v>0.2080225352762517</v>
      </c>
      <c r="H11" s="67">
        <v>5.6859934576954858</v>
      </c>
      <c r="I11" s="67">
        <v>554.99029541015625</v>
      </c>
      <c r="J11" s="67">
        <v>2.700768039778747</v>
      </c>
      <c r="K11" s="67">
        <f t="shared" si="5"/>
        <v>57.036977003598459</v>
      </c>
      <c r="L11" s="82">
        <f t="shared" si="6"/>
        <v>2.0867024644081553</v>
      </c>
      <c r="N11" s="91" t="s">
        <v>217</v>
      </c>
      <c r="O11" s="69">
        <f>STDEV(F2:F13)/SQRT(COUNT(F2:F13))</f>
        <v>1.0644060775257411</v>
      </c>
      <c r="P11" s="69">
        <f t="shared" ref="P11:T11" si="38">STDEV(G2:G13)/SQRT(COUNT(G2:G13))</f>
        <v>1.0693909655792156E-2</v>
      </c>
      <c r="Q11" s="69">
        <f t="shared" si="38"/>
        <v>0.30615739088364458</v>
      </c>
      <c r="R11" s="69">
        <f t="shared" si="38"/>
        <v>23.85516885763013</v>
      </c>
      <c r="S11" s="69">
        <f t="shared" si="38"/>
        <v>2.7163246617177637E-2</v>
      </c>
      <c r="T11" s="96">
        <f t="shared" si="38"/>
        <v>2.7370832587913396</v>
      </c>
      <c r="V11" s="91" t="s">
        <v>217</v>
      </c>
      <c r="W11" s="69">
        <f>STDEV(F26:F37)/SQRT(COUNT(F26:F37))</f>
        <v>0.49553714020166389</v>
      </c>
      <c r="X11" s="69">
        <f t="shared" ref="X11:AB11" si="39">STDEV(G26:G37)/SQRT(COUNT(G26:G37))</f>
        <v>1.7243897632881786E-2</v>
      </c>
      <c r="Y11" s="69">
        <f t="shared" si="39"/>
        <v>0.35251154773497756</v>
      </c>
      <c r="Z11" s="69">
        <f t="shared" si="39"/>
        <v>30.884527183682284</v>
      </c>
      <c r="AA11" s="69">
        <f t="shared" si="39"/>
        <v>0.10005031226314674</v>
      </c>
      <c r="AB11" s="96">
        <f t="shared" si="39"/>
        <v>3.6741225010691041</v>
      </c>
      <c r="AD11" s="91" t="s">
        <v>217</v>
      </c>
      <c r="AE11" s="69" t="e">
        <f>STDEV(N26:N37)/SQRT(COUNT(N26:N37))</f>
        <v>#DIV/0!</v>
      </c>
      <c r="AF11" s="69" t="e">
        <f t="shared" ref="AF11" si="40">STDEV(O26:O37)/SQRT(COUNT(O26:O37))</f>
        <v>#DIV/0!</v>
      </c>
      <c r="AG11" s="69" t="e">
        <f t="shared" ref="AG11" si="41">STDEV(P26:P37)/SQRT(COUNT(P26:P37))</f>
        <v>#DIV/0!</v>
      </c>
      <c r="AH11" s="69" t="e">
        <f t="shared" ref="AH11" si="42">STDEV(Q26:Q37)/SQRT(COUNT(Q26:Q37))</f>
        <v>#DIV/0!</v>
      </c>
      <c r="AI11" s="69" t="e">
        <f t="shared" ref="AI11" si="43">STDEV(R26:R37)/SQRT(COUNT(R26:R37))</f>
        <v>#DIV/0!</v>
      </c>
      <c r="AJ11" s="96" t="e">
        <f t="shared" ref="AJ11" si="44">STDEV(S26:S37)/SQRT(COUNT(S26:S37))</f>
        <v>#DIV/0!</v>
      </c>
    </row>
    <row r="12" spans="1:36" ht="15" thickBot="1" x14ac:dyDescent="0.4">
      <c r="A12" t="s">
        <v>156</v>
      </c>
      <c r="B12" s="41" t="s">
        <v>154</v>
      </c>
      <c r="C12" t="s">
        <v>259</v>
      </c>
      <c r="D12" s="57" t="s">
        <v>167</v>
      </c>
      <c r="E12" s="57" t="s">
        <v>199</v>
      </c>
      <c r="F12" s="67">
        <v>13.887079238566963</v>
      </c>
      <c r="G12" s="67">
        <v>0.24400468767389494</v>
      </c>
      <c r="H12" s="67">
        <v>6.4491830175292115</v>
      </c>
      <c r="I12" s="67">
        <v>435.31939697265625</v>
      </c>
      <c r="J12" s="67">
        <v>2.6203325210153667</v>
      </c>
      <c r="K12" s="67">
        <f t="shared" si="5"/>
        <v>56.913165771334015</v>
      </c>
      <c r="L12" s="82">
        <f t="shared" si="6"/>
        <v>2.1533082873941036</v>
      </c>
      <c r="N12" s="93" t="s">
        <v>179</v>
      </c>
      <c r="O12" s="98">
        <f>STDEV(F14:F21,F23:F25)/SQRT(COUNT(F14:F21,F23:F25))</f>
        <v>0.83677094601812019</v>
      </c>
      <c r="P12" s="98">
        <f t="shared" ref="P12:T12" si="45">STDEV(G14:G21,G23:G25)/SQRT(COUNT(G14:G21,G23:G25))</f>
        <v>7.0801325082112529E-3</v>
      </c>
      <c r="Q12" s="98">
        <f t="shared" si="45"/>
        <v>0.11335507784399669</v>
      </c>
      <c r="R12" s="98">
        <f t="shared" si="45"/>
        <v>25.636940741494243</v>
      </c>
      <c r="S12" s="98">
        <f t="shared" si="45"/>
        <v>3.9128201407005098E-2</v>
      </c>
      <c r="T12" s="99">
        <f t="shared" si="45"/>
        <v>4.1876096584257541</v>
      </c>
      <c r="V12" s="93" t="s">
        <v>218</v>
      </c>
      <c r="W12" s="98">
        <f>STDEV(F38:F49)/SQRT(COUNT(F38:F49))</f>
        <v>1.0375119577659793</v>
      </c>
      <c r="X12" s="98">
        <f t="shared" ref="X12:AB12" si="46">STDEV(G38:G49)/SQRT(COUNT(G38:G49))</f>
        <v>1.322783415777745E-2</v>
      </c>
      <c r="Y12" s="98">
        <f t="shared" si="46"/>
        <v>0.43563779717256473</v>
      </c>
      <c r="Z12" s="98">
        <f t="shared" si="46"/>
        <v>43.64621518124455</v>
      </c>
      <c r="AA12" s="98">
        <f t="shared" si="46"/>
        <v>0.15755641901864698</v>
      </c>
      <c r="AB12" s="99">
        <f t="shared" si="46"/>
        <v>25.091655895866804</v>
      </c>
      <c r="AD12" s="93" t="s">
        <v>218</v>
      </c>
      <c r="AE12" s="98" t="e">
        <f>STDEV(N38:N49)/SQRT(COUNT(N38:N49))</f>
        <v>#DIV/0!</v>
      </c>
      <c r="AF12" s="98" t="e">
        <f t="shared" ref="AF12" si="47">STDEV(O38:O49)/SQRT(COUNT(O38:O49))</f>
        <v>#DIV/0!</v>
      </c>
      <c r="AG12" s="98" t="e">
        <f t="shared" ref="AG12" si="48">STDEV(P38:P49)/SQRT(COUNT(P38:P49))</f>
        <v>#DIV/0!</v>
      </c>
      <c r="AH12" s="98" t="e">
        <f t="shared" ref="AH12" si="49">STDEV(Q38:Q49)/SQRT(COUNT(Q38:Q49))</f>
        <v>#DIV/0!</v>
      </c>
      <c r="AI12" s="98" t="e">
        <f t="shared" ref="AI12" si="50">STDEV(R38:R49)/SQRT(COUNT(R38:R49))</f>
        <v>#DIV/0!</v>
      </c>
      <c r="AJ12" s="99" t="e">
        <f t="shared" ref="AJ12" si="51">STDEV(S38:S49)/SQRT(COUNT(S38:S49))</f>
        <v>#DIV/0!</v>
      </c>
    </row>
    <row r="13" spans="1:36" x14ac:dyDescent="0.35">
      <c r="A13" t="s">
        <v>157</v>
      </c>
      <c r="B13" s="41" t="s">
        <v>155</v>
      </c>
      <c r="C13" t="s">
        <v>259</v>
      </c>
      <c r="D13" s="57" t="s">
        <v>167</v>
      </c>
      <c r="E13" s="57" t="s">
        <v>199</v>
      </c>
      <c r="F13" s="67">
        <v>18.29800066245884</v>
      </c>
      <c r="G13" s="67">
        <v>0.31362494144230146</v>
      </c>
      <c r="H13" s="67">
        <v>8.186805432056623</v>
      </c>
      <c r="I13" s="67">
        <v>439.33651733398438</v>
      </c>
      <c r="J13" s="67">
        <v>2.6036148934532592</v>
      </c>
      <c r="K13" s="67">
        <f t="shared" si="5"/>
        <v>58.343576178316091</v>
      </c>
      <c r="L13" s="82">
        <f t="shared" si="6"/>
        <v>2.2350599161438924</v>
      </c>
    </row>
    <row r="14" spans="1:36" x14ac:dyDescent="0.35">
      <c r="A14" t="s">
        <v>156</v>
      </c>
      <c r="B14" s="41" t="s">
        <v>154</v>
      </c>
      <c r="C14" t="s">
        <v>260</v>
      </c>
      <c r="D14" s="57" t="s">
        <v>168</v>
      </c>
      <c r="E14" s="57" t="s">
        <v>199</v>
      </c>
      <c r="F14" s="67">
        <v>15.422181672541766</v>
      </c>
      <c r="G14" s="67">
        <v>0.27241129200257924</v>
      </c>
      <c r="H14" s="67">
        <v>7.6995939942369089</v>
      </c>
      <c r="I14" s="67">
        <v>449.91290283203125</v>
      </c>
      <c r="J14" s="67">
        <v>2.803929969614503</v>
      </c>
      <c r="K14" s="67">
        <f t="shared" si="5"/>
        <v>56.613591746394071</v>
      </c>
      <c r="L14" s="82">
        <f t="shared" si="6"/>
        <v>2.0029863502004339</v>
      </c>
    </row>
    <row r="15" spans="1:36" x14ac:dyDescent="0.35">
      <c r="A15" t="s">
        <v>157</v>
      </c>
      <c r="B15" s="41" t="s">
        <v>155</v>
      </c>
      <c r="C15" t="s">
        <v>260</v>
      </c>
      <c r="D15" s="57" t="s">
        <v>168</v>
      </c>
      <c r="E15" s="57" t="s">
        <v>199</v>
      </c>
      <c r="F15" s="67">
        <v>21.51386056557585</v>
      </c>
      <c r="G15" s="67">
        <v>0.29468219502610643</v>
      </c>
      <c r="H15" s="67">
        <v>8.0387634120633074</v>
      </c>
      <c r="I15" s="67">
        <v>433.87222290039063</v>
      </c>
      <c r="J15" s="67">
        <v>2.7133856814533441</v>
      </c>
      <c r="K15" s="67">
        <f t="shared" si="5"/>
        <v>73.006991697173618</v>
      </c>
      <c r="L15" s="82">
        <f t="shared" si="6"/>
        <v>2.6762649256838738</v>
      </c>
    </row>
    <row r="16" spans="1:36" x14ac:dyDescent="0.35">
      <c r="A16" t="s">
        <v>156</v>
      </c>
      <c r="B16" s="41" t="s">
        <v>154</v>
      </c>
      <c r="C16" t="s">
        <v>260</v>
      </c>
      <c r="D16" s="57" t="s">
        <v>169</v>
      </c>
      <c r="E16" s="57" t="s">
        <v>199</v>
      </c>
      <c r="F16" s="67">
        <v>22.458415235990312</v>
      </c>
      <c r="G16" s="67">
        <v>0.30812488329370413</v>
      </c>
      <c r="H16" s="67">
        <v>8.5292153206194161</v>
      </c>
      <c r="I16" s="67">
        <v>419.87966918945313</v>
      </c>
      <c r="J16" s="67">
        <v>2.7558273236851245</v>
      </c>
      <c r="K16" s="67">
        <f t="shared" si="5"/>
        <v>72.887379285700163</v>
      </c>
      <c r="L16" s="82">
        <f t="shared" si="6"/>
        <v>2.6331162236808576</v>
      </c>
    </row>
    <row r="17" spans="1:15" x14ac:dyDescent="0.35">
      <c r="A17" t="s">
        <v>157</v>
      </c>
      <c r="B17" s="41" t="s">
        <v>155</v>
      </c>
      <c r="C17" t="s">
        <v>260</v>
      </c>
      <c r="D17" s="57" t="s">
        <v>169</v>
      </c>
      <c r="E17" s="57" t="s">
        <v>199</v>
      </c>
      <c r="F17" s="67">
        <v>21.749707050792583</v>
      </c>
      <c r="G17" s="67">
        <v>0.27232364302792023</v>
      </c>
      <c r="H17" s="67">
        <v>7.9187603184576894</v>
      </c>
      <c r="I17" s="67">
        <v>438.45452880859375</v>
      </c>
      <c r="J17" s="67">
        <v>2.8825918561554151</v>
      </c>
      <c r="K17" s="67">
        <f t="shared" si="5"/>
        <v>79.867127249625824</v>
      </c>
      <c r="L17" s="82">
        <f t="shared" si="6"/>
        <v>2.7466050462591474</v>
      </c>
      <c r="N17" s="57" t="s">
        <v>184</v>
      </c>
      <c r="O17" t="s">
        <v>207</v>
      </c>
    </row>
    <row r="18" spans="1:15" x14ac:dyDescent="0.35">
      <c r="A18" t="s">
        <v>156</v>
      </c>
      <c r="B18" s="41" t="s">
        <v>154</v>
      </c>
      <c r="C18" t="s">
        <v>260</v>
      </c>
      <c r="D18" s="57" t="s">
        <v>170</v>
      </c>
      <c r="E18" s="57" t="s">
        <v>199</v>
      </c>
      <c r="F18" s="67">
        <v>19.739050900922667</v>
      </c>
      <c r="G18" s="67">
        <v>0.3020262413308924</v>
      </c>
      <c r="H18" s="67">
        <v>8.4502577855178043</v>
      </c>
      <c r="I18" s="67">
        <v>349.94705200195313</v>
      </c>
      <c r="J18" s="67">
        <v>2.7826438551843675</v>
      </c>
      <c r="K18" s="67">
        <f t="shared" si="5"/>
        <v>65.355416847031705</v>
      </c>
      <c r="L18" s="82">
        <f t="shared" si="6"/>
        <v>2.3359110931209446</v>
      </c>
      <c r="N18" s="57" t="s">
        <v>180</v>
      </c>
      <c r="O18" s="67">
        <f>AVERAGE(J2:J25)</f>
        <v>2.7664730656192513</v>
      </c>
    </row>
    <row r="19" spans="1:15" x14ac:dyDescent="0.35">
      <c r="A19" t="s">
        <v>157</v>
      </c>
      <c r="B19" s="41" t="s">
        <v>155</v>
      </c>
      <c r="C19" t="s">
        <v>260</v>
      </c>
      <c r="D19" s="57" t="s">
        <v>170</v>
      </c>
      <c r="E19" s="57" t="s">
        <v>199</v>
      </c>
      <c r="F19" s="67">
        <v>22.083676532433838</v>
      </c>
      <c r="G19" s="67">
        <v>0.28388796006180594</v>
      </c>
      <c r="H19" s="67">
        <v>8.2700950788546894</v>
      </c>
      <c r="I19" s="67">
        <v>574.457763671875</v>
      </c>
      <c r="J19" s="67">
        <v>2.8904572049788846</v>
      </c>
      <c r="K19" s="67">
        <f t="shared" si="5"/>
        <v>77.790113140500736</v>
      </c>
      <c r="L19" s="82">
        <f t="shared" si="6"/>
        <v>2.6703050354158888</v>
      </c>
      <c r="N19" s="57" t="s">
        <v>185</v>
      </c>
      <c r="O19" s="67">
        <f>AVERAGE(J26:J49)</f>
        <v>3.7507832854102521</v>
      </c>
    </row>
    <row r="20" spans="1:15" x14ac:dyDescent="0.35">
      <c r="A20" t="s">
        <v>156</v>
      </c>
      <c r="B20" s="41" t="s">
        <v>154</v>
      </c>
      <c r="C20" t="s">
        <v>260</v>
      </c>
      <c r="D20" s="57" t="s">
        <v>171</v>
      </c>
      <c r="E20" s="57" t="s">
        <v>199</v>
      </c>
      <c r="F20" s="67">
        <v>17.758750344320589</v>
      </c>
      <c r="G20" s="67">
        <v>0.27715913342067144</v>
      </c>
      <c r="H20" s="67">
        <v>8.0820551641889633</v>
      </c>
      <c r="I20" s="67">
        <v>368.38763427734375</v>
      </c>
      <c r="J20" s="67">
        <v>2.8912396787527199</v>
      </c>
      <c r="K20" s="67">
        <f t="shared" si="5"/>
        <v>64.0742021565149</v>
      </c>
      <c r="L20" s="82">
        <f t="shared" si="6"/>
        <v>2.1973062523760545</v>
      </c>
      <c r="N20" s="57" t="s">
        <v>197</v>
      </c>
      <c r="O20" s="67">
        <f>AVERAGE(J50:J73)</f>
        <v>2.7384388633548551</v>
      </c>
    </row>
    <row r="21" spans="1:15" x14ac:dyDescent="0.35">
      <c r="A21" t="s">
        <v>157</v>
      </c>
      <c r="B21" s="41" t="s">
        <v>155</v>
      </c>
      <c r="C21" t="s">
        <v>260</v>
      </c>
      <c r="D21" s="57" t="s">
        <v>171</v>
      </c>
      <c r="E21" s="57" t="s">
        <v>199</v>
      </c>
      <c r="F21" s="67">
        <v>23.111875504447461</v>
      </c>
      <c r="G21" s="67">
        <v>0.28157687913852997</v>
      </c>
      <c r="H21" s="67">
        <v>8.2813677048243264</v>
      </c>
      <c r="I21" s="67">
        <v>530.87933349609375</v>
      </c>
      <c r="J21" s="67">
        <v>2.9166838296246129</v>
      </c>
      <c r="K21" s="67">
        <f t="shared" si="5"/>
        <v>82.080160754523092</v>
      </c>
      <c r="L21" s="82">
        <f t="shared" si="6"/>
        <v>2.7908283182479137</v>
      </c>
      <c r="N21" s="57" t="s">
        <v>198</v>
      </c>
      <c r="O21" s="67">
        <f>AVERAGE(J74:J97)</f>
        <v>3.7743177119195348</v>
      </c>
    </row>
    <row r="22" spans="1:15" s="68" customFormat="1" x14ac:dyDescent="0.35">
      <c r="A22" s="68" t="s">
        <v>156</v>
      </c>
      <c r="B22" s="83" t="s">
        <v>154</v>
      </c>
      <c r="C22" t="s">
        <v>260</v>
      </c>
      <c r="D22" s="84" t="s">
        <v>172</v>
      </c>
      <c r="E22" s="84" t="s">
        <v>199</v>
      </c>
      <c r="F22" s="85">
        <v>14.252574163310811</v>
      </c>
      <c r="G22" s="85">
        <v>0.10175625210203483</v>
      </c>
      <c r="H22" s="85">
        <v>3.4280887675026426</v>
      </c>
      <c r="I22" s="67">
        <v>-3.2316195964813232</v>
      </c>
      <c r="J22" s="85">
        <v>3.2783461621337011</v>
      </c>
      <c r="K22" s="67">
        <f t="shared" si="5"/>
        <v>140.06583250549772</v>
      </c>
      <c r="L22" s="82">
        <f t="shared" si="6"/>
        <v>4.1575860865743532</v>
      </c>
    </row>
    <row r="23" spans="1:15" x14ac:dyDescent="0.35">
      <c r="A23" t="s">
        <v>158</v>
      </c>
      <c r="B23" s="41" t="s">
        <v>155</v>
      </c>
      <c r="C23" t="s">
        <v>260</v>
      </c>
      <c r="D23" s="57" t="s">
        <v>172</v>
      </c>
      <c r="E23" s="57" t="s">
        <v>199</v>
      </c>
      <c r="F23" s="67">
        <v>20.63182972937668</v>
      </c>
      <c r="G23" s="67">
        <v>0.23647182582688112</v>
      </c>
      <c r="H23" s="67">
        <v>7.3233786441314042</v>
      </c>
      <c r="I23" s="67">
        <v>603.39068603515625</v>
      </c>
      <c r="J23" s="67">
        <v>3.0556744240566189</v>
      </c>
      <c r="K23" s="67">
        <f t="shared" si="5"/>
        <v>87.248574570067618</v>
      </c>
      <c r="L23" s="82">
        <f t="shared" si="6"/>
        <v>2.8172556318537501</v>
      </c>
    </row>
    <row r="24" spans="1:15" x14ac:dyDescent="0.35">
      <c r="A24" t="s">
        <v>156</v>
      </c>
      <c r="B24" s="41" t="s">
        <v>154</v>
      </c>
      <c r="C24" t="s">
        <v>260</v>
      </c>
      <c r="D24" s="57" t="s">
        <v>173</v>
      </c>
      <c r="E24" s="57" t="s">
        <v>199</v>
      </c>
      <c r="F24" s="67">
        <v>24.659646569582705</v>
      </c>
      <c r="G24" s="67">
        <v>0.24600497849903005</v>
      </c>
      <c r="H24" s="67">
        <v>7.6346456736471966</v>
      </c>
      <c r="I24" s="67">
        <v>555.428466796875</v>
      </c>
      <c r="J24" s="67">
        <v>3.0648581902660799</v>
      </c>
      <c r="K24" s="67">
        <f t="shared" si="5"/>
        <v>100.24043708399964</v>
      </c>
      <c r="L24" s="82">
        <f t="shared" si="6"/>
        <v>3.2299660814255424</v>
      </c>
    </row>
    <row r="25" spans="1:15" ht="15" thickBot="1" x14ac:dyDescent="0.4">
      <c r="A25" t="s">
        <v>157</v>
      </c>
      <c r="B25" s="76" t="s">
        <v>155</v>
      </c>
      <c r="C25" t="s">
        <v>260</v>
      </c>
      <c r="D25" s="77" t="s">
        <v>173</v>
      </c>
      <c r="E25" s="77" t="s">
        <v>199</v>
      </c>
      <c r="F25" s="86">
        <v>24.511477040715604</v>
      </c>
      <c r="G25" s="86">
        <v>0.24610781165581497</v>
      </c>
      <c r="H25" s="86">
        <v>7.7128624170786084</v>
      </c>
      <c r="I25" s="67">
        <v>526.91729736328125</v>
      </c>
      <c r="J25" s="86">
        <v>3.0945459234456827</v>
      </c>
      <c r="K25" s="86">
        <f t="shared" si="5"/>
        <v>99.596501532406577</v>
      </c>
      <c r="L25" s="87">
        <f t="shared" si="6"/>
        <v>3.1780000362044301</v>
      </c>
    </row>
    <row r="26" spans="1:15" x14ac:dyDescent="0.35">
      <c r="A26" t="s">
        <v>156</v>
      </c>
      <c r="B26" s="70" t="s">
        <v>154</v>
      </c>
      <c r="C26" t="s">
        <v>259</v>
      </c>
      <c r="D26" s="71" t="s">
        <v>162</v>
      </c>
      <c r="E26" s="71" t="s">
        <v>185</v>
      </c>
      <c r="F26" s="72">
        <v>11.028799956969367</v>
      </c>
      <c r="G26" s="72">
        <v>0.17468726659107095</v>
      </c>
      <c r="H26" s="72">
        <v>6.3185313915543171</v>
      </c>
      <c r="I26" s="74">
        <v>421.71646340000001</v>
      </c>
      <c r="J26" s="72">
        <v>3.5812941823592817</v>
      </c>
      <c r="K26" s="72">
        <f t="shared" si="5"/>
        <v>63.134538493792533</v>
      </c>
      <c r="L26" s="73">
        <f t="shared" si="6"/>
        <v>1.745468887233993</v>
      </c>
    </row>
    <row r="27" spans="1:15" x14ac:dyDescent="0.35">
      <c r="A27" t="s">
        <v>157</v>
      </c>
      <c r="B27" s="41" t="s">
        <v>155</v>
      </c>
      <c r="C27" t="s">
        <v>259</v>
      </c>
      <c r="D27" s="57" t="s">
        <v>162</v>
      </c>
      <c r="E27" s="57" t="s">
        <v>185</v>
      </c>
      <c r="F27" s="74">
        <v>10.28953623535986</v>
      </c>
      <c r="G27" s="74">
        <v>0.14494809803530306</v>
      </c>
      <c r="H27" s="74">
        <v>5.7040420484345482</v>
      </c>
      <c r="I27" s="74">
        <v>327.61703491210938</v>
      </c>
      <c r="J27" s="74">
        <v>3.8801595932873334</v>
      </c>
      <c r="K27" s="74">
        <f t="shared" si="5"/>
        <v>70.987728537519516</v>
      </c>
      <c r="L27" s="75">
        <f t="shared" si="6"/>
        <v>1.8039025918793468</v>
      </c>
    </row>
    <row r="28" spans="1:15" x14ac:dyDescent="0.35">
      <c r="A28" t="s">
        <v>156</v>
      </c>
      <c r="B28" s="41" t="s">
        <v>154</v>
      </c>
      <c r="C28" t="s">
        <v>259</v>
      </c>
      <c r="D28" s="57" t="s">
        <v>163</v>
      </c>
      <c r="E28" s="57" t="s">
        <v>185</v>
      </c>
      <c r="F28" s="74">
        <v>10.974929973136197</v>
      </c>
      <c r="G28" s="74">
        <v>0.23474216398536402</v>
      </c>
      <c r="H28" s="74">
        <v>7.8355226068002573</v>
      </c>
      <c r="I28" s="74">
        <v>438.320068359375</v>
      </c>
      <c r="J28" s="74">
        <v>3.3266205104518471</v>
      </c>
      <c r="K28" s="74">
        <f t="shared" si="5"/>
        <v>46.753126011995334</v>
      </c>
      <c r="L28" s="75">
        <f t="shared" si="6"/>
        <v>1.4006634303640864</v>
      </c>
    </row>
    <row r="29" spans="1:15" x14ac:dyDescent="0.35">
      <c r="A29" t="s">
        <v>157</v>
      </c>
      <c r="B29" s="41" t="s">
        <v>155</v>
      </c>
      <c r="C29" t="s">
        <v>259</v>
      </c>
      <c r="D29" s="57" t="s">
        <v>163</v>
      </c>
      <c r="E29" s="57" t="s">
        <v>185</v>
      </c>
      <c r="F29" s="74">
        <v>11.271703646202424</v>
      </c>
      <c r="G29" s="74">
        <v>0.32176163939870239</v>
      </c>
      <c r="H29" s="74">
        <v>8.8288070133228853</v>
      </c>
      <c r="I29" s="74">
        <v>302.69775390625</v>
      </c>
      <c r="J29" s="74">
        <v>2.7654624884862904</v>
      </c>
      <c r="K29" s="74">
        <f t="shared" si="5"/>
        <v>35.03122270033996</v>
      </c>
      <c r="L29" s="75">
        <f t="shared" si="6"/>
        <v>1.2766961186480967</v>
      </c>
    </row>
    <row r="30" spans="1:15" x14ac:dyDescent="0.35">
      <c r="A30" t="s">
        <v>156</v>
      </c>
      <c r="B30" s="41" t="s">
        <v>154</v>
      </c>
      <c r="C30" t="s">
        <v>259</v>
      </c>
      <c r="D30" s="57" t="s">
        <v>164</v>
      </c>
      <c r="E30" s="57" t="s">
        <v>185</v>
      </c>
      <c r="F30" s="74">
        <v>12.382769510891009</v>
      </c>
      <c r="G30" s="74">
        <v>0.27684687900626886</v>
      </c>
      <c r="H30" s="74">
        <v>8.9012294953569508</v>
      </c>
      <c r="I30" s="74">
        <v>243.64192199707031</v>
      </c>
      <c r="J30" s="74">
        <v>3.2174370537335264</v>
      </c>
      <c r="K30" s="74">
        <f t="shared" si="5"/>
        <v>44.727863847837042</v>
      </c>
      <c r="L30" s="75">
        <f t="shared" si="6"/>
        <v>1.391130238508073</v>
      </c>
    </row>
    <row r="31" spans="1:15" x14ac:dyDescent="0.35">
      <c r="A31" t="s">
        <v>157</v>
      </c>
      <c r="B31" s="41" t="s">
        <v>155</v>
      </c>
      <c r="C31" t="s">
        <v>259</v>
      </c>
      <c r="D31" s="57" t="s">
        <v>164</v>
      </c>
      <c r="E31" s="57" t="s">
        <v>185</v>
      </c>
      <c r="F31" s="74">
        <v>10.753125315028248</v>
      </c>
      <c r="G31" s="74">
        <v>0.15992592476555012</v>
      </c>
      <c r="H31" s="74">
        <v>5.9480353362368827</v>
      </c>
      <c r="I31" s="74">
        <v>402.91473388671875</v>
      </c>
      <c r="J31" s="74">
        <v>3.6747451920860259</v>
      </c>
      <c r="K31" s="74">
        <f t="shared" si="5"/>
        <v>67.238162485489624</v>
      </c>
      <c r="L31" s="75">
        <f t="shared" si="6"/>
        <v>1.8078448945179568</v>
      </c>
    </row>
    <row r="32" spans="1:15" x14ac:dyDescent="0.35">
      <c r="A32" t="s">
        <v>156</v>
      </c>
      <c r="B32" s="41" t="s">
        <v>154</v>
      </c>
      <c r="C32" t="s">
        <v>259</v>
      </c>
      <c r="D32" s="57" t="s">
        <v>165</v>
      </c>
      <c r="E32" s="57" t="s">
        <v>185</v>
      </c>
      <c r="F32" s="74">
        <v>10.364180242321035</v>
      </c>
      <c r="G32" s="74">
        <v>0.22534011912893065</v>
      </c>
      <c r="H32" s="74">
        <v>7.5704497055861779</v>
      </c>
      <c r="I32" s="74">
        <v>390.89486694335938</v>
      </c>
      <c r="J32" s="74">
        <v>3.3438501161023626</v>
      </c>
      <c r="K32" s="74">
        <f t="shared" si="5"/>
        <v>45.993497662043325</v>
      </c>
      <c r="L32" s="75">
        <f t="shared" si="6"/>
        <v>1.3690309883009175</v>
      </c>
    </row>
    <row r="33" spans="1:12" x14ac:dyDescent="0.35">
      <c r="A33" t="s">
        <v>157</v>
      </c>
      <c r="B33" s="41" t="s">
        <v>155</v>
      </c>
      <c r="C33" t="s">
        <v>259</v>
      </c>
      <c r="D33" s="57" t="s">
        <v>165</v>
      </c>
      <c r="E33" s="57" t="s">
        <v>185</v>
      </c>
      <c r="F33" s="74">
        <v>11.996863364836576</v>
      </c>
      <c r="G33" s="74">
        <v>0.27242078260733865</v>
      </c>
      <c r="H33" s="74">
        <v>8.4761433646743871</v>
      </c>
      <c r="I33" s="74">
        <v>561.88092041015625</v>
      </c>
      <c r="J33" s="74">
        <v>3.1136403016347121</v>
      </c>
      <c r="K33" s="74">
        <f t="shared" si="5"/>
        <v>44.03798876875188</v>
      </c>
      <c r="L33" s="75">
        <f t="shared" si="6"/>
        <v>1.4153681513735745</v>
      </c>
    </row>
    <row r="34" spans="1:12" x14ac:dyDescent="0.35">
      <c r="A34" t="s">
        <v>156</v>
      </c>
      <c r="B34" s="41" t="s">
        <v>154</v>
      </c>
      <c r="C34" t="s">
        <v>259</v>
      </c>
      <c r="D34" s="57" t="s">
        <v>166</v>
      </c>
      <c r="E34" s="57" t="s">
        <v>185</v>
      </c>
      <c r="F34" s="74">
        <v>8.2501178819735763</v>
      </c>
      <c r="G34" s="74">
        <v>0.21426902525186803</v>
      </c>
      <c r="H34" s="74">
        <v>7.3097330137034886</v>
      </c>
      <c r="I34" s="74">
        <v>561.88092041015625</v>
      </c>
      <c r="J34" s="74">
        <v>3.3905934308170957</v>
      </c>
      <c r="K34" s="74">
        <f t="shared" si="5"/>
        <v>38.503548855350246</v>
      </c>
      <c r="L34" s="75">
        <f t="shared" si="6"/>
        <v>1.1286483195086821</v>
      </c>
    </row>
    <row r="35" spans="1:12" x14ac:dyDescent="0.35">
      <c r="A35" t="s">
        <v>157</v>
      </c>
      <c r="B35" s="41" t="s">
        <v>155</v>
      </c>
      <c r="C35" t="s">
        <v>259</v>
      </c>
      <c r="D35" s="57" t="s">
        <v>166</v>
      </c>
      <c r="E35" s="57" t="s">
        <v>185</v>
      </c>
      <c r="F35" s="74">
        <v>10.258298579231033</v>
      </c>
      <c r="G35" s="74">
        <v>0.29855472389702092</v>
      </c>
      <c r="H35" s="74">
        <v>8.9609342898424735</v>
      </c>
      <c r="I35" s="74">
        <v>488.49868774414063</v>
      </c>
      <c r="J35" s="74">
        <v>3.0116588410929817</v>
      </c>
      <c r="K35" s="74">
        <f t="shared" si="5"/>
        <v>34.359860213665151</v>
      </c>
      <c r="L35" s="75">
        <f t="shared" si="6"/>
        <v>1.1447800248752149</v>
      </c>
    </row>
    <row r="36" spans="1:12" x14ac:dyDescent="0.35">
      <c r="A36" t="s">
        <v>156</v>
      </c>
      <c r="B36" s="41" t="s">
        <v>154</v>
      </c>
      <c r="C36" t="s">
        <v>259</v>
      </c>
      <c r="D36" s="57" t="s">
        <v>167</v>
      </c>
      <c r="E36" s="57" t="s">
        <v>185</v>
      </c>
      <c r="F36" s="74">
        <v>8.6288717366271577</v>
      </c>
      <c r="G36" s="74">
        <v>0.16256295620059585</v>
      </c>
      <c r="H36" s="74">
        <v>6.498189528243091</v>
      </c>
      <c r="I36" s="74">
        <v>255.57655334472656</v>
      </c>
      <c r="J36" s="74">
        <v>3.9413952271911068</v>
      </c>
      <c r="K36" s="74">
        <f t="shared" si="5"/>
        <v>53.08018467614167</v>
      </c>
      <c r="L36" s="75">
        <f t="shared" si="6"/>
        <v>1.3278885909873017</v>
      </c>
    </row>
    <row r="37" spans="1:12" x14ac:dyDescent="0.35">
      <c r="A37" t="s">
        <v>157</v>
      </c>
      <c r="B37" s="41" t="s">
        <v>155</v>
      </c>
      <c r="C37" t="s">
        <v>259</v>
      </c>
      <c r="D37" s="57" t="s">
        <v>167</v>
      </c>
      <c r="E37" s="57" t="s">
        <v>185</v>
      </c>
      <c r="F37" s="74">
        <v>6.2795318736631831</v>
      </c>
      <c r="G37" s="74">
        <v>0.17625587613848778</v>
      </c>
      <c r="H37" s="74">
        <v>6.2501292609805104</v>
      </c>
      <c r="I37" s="74">
        <v>336.73455810546875</v>
      </c>
      <c r="J37" s="74">
        <v>3.5098480612193721</v>
      </c>
      <c r="K37" s="74">
        <f t="shared" si="5"/>
        <v>35.627361828942533</v>
      </c>
      <c r="L37" s="75">
        <f t="shared" si="6"/>
        <v>1.0047043207356099</v>
      </c>
    </row>
    <row r="38" spans="1:12" x14ac:dyDescent="0.35">
      <c r="A38" t="s">
        <v>156</v>
      </c>
      <c r="B38" s="41" t="s">
        <v>154</v>
      </c>
      <c r="C38" t="s">
        <v>260</v>
      </c>
      <c r="D38" s="57" t="s">
        <v>168</v>
      </c>
      <c r="E38" s="57" t="s">
        <v>185</v>
      </c>
      <c r="F38" s="74">
        <v>3.7806557145882609</v>
      </c>
      <c r="G38" s="74">
        <v>1.361789860706453E-2</v>
      </c>
      <c r="H38" s="74">
        <v>0.49091071903936712</v>
      </c>
      <c r="I38" s="74">
        <v>564.3699951171875</v>
      </c>
      <c r="J38" s="74">
        <v>3.5348569080177059</v>
      </c>
      <c r="K38" s="74">
        <f t="shared" ref="K38:K61" si="52">F38/G38</f>
        <v>277.62401701441496</v>
      </c>
      <c r="L38" s="75">
        <f t="shared" ref="L38:L61" si="53">F38/H38</f>
        <v>7.7013101730318549</v>
      </c>
    </row>
    <row r="39" spans="1:12" x14ac:dyDescent="0.35">
      <c r="A39" t="s">
        <v>157</v>
      </c>
      <c r="B39" s="41" t="s">
        <v>155</v>
      </c>
      <c r="C39" t="s">
        <v>260</v>
      </c>
      <c r="D39" s="57" t="s">
        <v>168</v>
      </c>
      <c r="E39" s="57" t="s">
        <v>185</v>
      </c>
      <c r="F39" s="74">
        <v>10.658572097365754</v>
      </c>
      <c r="G39" s="74">
        <v>0.1342190206756943</v>
      </c>
      <c r="H39" s="74">
        <v>4.0870353976268952</v>
      </c>
      <c r="I39" s="74">
        <v>352.37338256835938</v>
      </c>
      <c r="J39" s="74">
        <v>3.0266743755446965</v>
      </c>
      <c r="K39" s="74">
        <f t="shared" si="52"/>
        <v>79.411785629992409</v>
      </c>
      <c r="L39" s="75">
        <f t="shared" si="53"/>
        <v>2.6078981609884195</v>
      </c>
    </row>
    <row r="40" spans="1:12" x14ac:dyDescent="0.35">
      <c r="A40" t="s">
        <v>156</v>
      </c>
      <c r="B40" s="41" t="s">
        <v>154</v>
      </c>
      <c r="C40" t="s">
        <v>260</v>
      </c>
      <c r="D40" s="57" t="s">
        <v>169</v>
      </c>
      <c r="E40" s="57" t="s">
        <v>185</v>
      </c>
      <c r="F40" s="74">
        <v>7.6568205909799154</v>
      </c>
      <c r="G40" s="74">
        <v>3.1422308357729044E-2</v>
      </c>
      <c r="H40" s="74">
        <v>1.1873212236007726</v>
      </c>
      <c r="I40" s="74">
        <v>725.01177978515625</v>
      </c>
      <c r="J40" s="74">
        <v>3.705012559163007</v>
      </c>
      <c r="K40" s="74">
        <f t="shared" si="52"/>
        <v>243.67466908574664</v>
      </c>
      <c r="L40" s="75">
        <f t="shared" si="53"/>
        <v>6.4488197791657269</v>
      </c>
    </row>
    <row r="41" spans="1:12" x14ac:dyDescent="0.35">
      <c r="A41" t="s">
        <v>157</v>
      </c>
      <c r="B41" s="41" t="s">
        <v>155</v>
      </c>
      <c r="C41" t="s">
        <v>260</v>
      </c>
      <c r="D41" s="57" t="s">
        <v>169</v>
      </c>
      <c r="E41" s="57" t="s">
        <v>185</v>
      </c>
      <c r="F41" s="74">
        <v>0.59983794982734917</v>
      </c>
      <c r="G41" s="74">
        <v>1.3109358646250424E-2</v>
      </c>
      <c r="H41" s="74">
        <v>0.57363209199610654</v>
      </c>
      <c r="I41" s="74">
        <v>396.36782836914063</v>
      </c>
      <c r="J41" s="74">
        <v>4.264213589824613</v>
      </c>
      <c r="K41" s="74">
        <f t="shared" si="52"/>
        <v>45.756468032775693</v>
      </c>
      <c r="L41" s="75">
        <f t="shared" si="53"/>
        <v>1.0456840860141774</v>
      </c>
    </row>
    <row r="42" spans="1:12" x14ac:dyDescent="0.35">
      <c r="A42" t="s">
        <v>156</v>
      </c>
      <c r="B42" s="41" t="s">
        <v>154</v>
      </c>
      <c r="C42" t="s">
        <v>260</v>
      </c>
      <c r="D42" s="57" t="s">
        <v>170</v>
      </c>
      <c r="E42" s="57" t="s">
        <v>185</v>
      </c>
      <c r="F42" s="74">
        <v>7.1231286746997163E-2</v>
      </c>
      <c r="G42" s="74">
        <v>2.2468802737124296E-3</v>
      </c>
      <c r="H42" s="74">
        <v>9.1574720197559731E-2</v>
      </c>
      <c r="I42" s="74">
        <v>733.975830078125</v>
      </c>
      <c r="J42" s="74">
        <v>3.9729965116685024</v>
      </c>
      <c r="K42" s="74">
        <f t="shared" si="52"/>
        <v>31.702306340205919</v>
      </c>
      <c r="L42" s="75">
        <f t="shared" si="53"/>
        <v>0.77784880579842952</v>
      </c>
    </row>
    <row r="43" spans="1:12" x14ac:dyDescent="0.35">
      <c r="A43" t="s">
        <v>157</v>
      </c>
      <c r="B43" s="41" t="s">
        <v>155</v>
      </c>
      <c r="C43" t="s">
        <v>260</v>
      </c>
      <c r="D43" s="57" t="s">
        <v>170</v>
      </c>
      <c r="E43" s="57" t="s">
        <v>185</v>
      </c>
      <c r="F43" s="74">
        <v>0.41514188746798708</v>
      </c>
      <c r="G43" s="74">
        <v>6.6412175591194882E-3</v>
      </c>
      <c r="H43" s="74">
        <v>0.30984720587724568</v>
      </c>
      <c r="I43" s="74">
        <v>508.34075927734375</v>
      </c>
      <c r="J43" s="74">
        <v>4.535383915354144</v>
      </c>
      <c r="K43" s="74">
        <f t="shared" si="52"/>
        <v>62.509906319501418</v>
      </c>
      <c r="L43" s="75">
        <f t="shared" si="53"/>
        <v>1.3398277589518</v>
      </c>
    </row>
    <row r="44" spans="1:12" x14ac:dyDescent="0.35">
      <c r="A44" t="s">
        <v>156</v>
      </c>
      <c r="B44" s="41" t="s">
        <v>154</v>
      </c>
      <c r="C44" t="s">
        <v>260</v>
      </c>
      <c r="D44" s="57" t="s">
        <v>171</v>
      </c>
      <c r="E44" s="57" t="s">
        <v>185</v>
      </c>
      <c r="F44" s="74">
        <v>5.7205942812797286</v>
      </c>
      <c r="G44" s="74">
        <v>5.1107583698315424E-2</v>
      </c>
      <c r="H44" s="74">
        <v>2.126930902562544</v>
      </c>
      <c r="I44" s="74">
        <v>676.8751220703125</v>
      </c>
      <c r="J44" s="74">
        <v>4.0687005352246732</v>
      </c>
      <c r="K44" s="74">
        <f t="shared" si="52"/>
        <v>111.93239569000181</v>
      </c>
      <c r="L44" s="75">
        <f t="shared" si="53"/>
        <v>2.6896004352503926</v>
      </c>
    </row>
    <row r="45" spans="1:12" x14ac:dyDescent="0.35">
      <c r="A45" t="s">
        <v>157</v>
      </c>
      <c r="B45" s="41" t="s">
        <v>155</v>
      </c>
      <c r="C45" t="s">
        <v>260</v>
      </c>
      <c r="D45" s="57" t="s">
        <v>171</v>
      </c>
      <c r="E45" s="57" t="s">
        <v>185</v>
      </c>
      <c r="F45" s="74">
        <v>1.5489000925728438</v>
      </c>
      <c r="G45" s="74">
        <v>8.1803868750627007E-3</v>
      </c>
      <c r="H45" s="74">
        <v>0.38857267909134269</v>
      </c>
      <c r="I45" s="74">
        <v>501.50665283203125</v>
      </c>
      <c r="J45" s="74">
        <v>4.6142294813253333</v>
      </c>
      <c r="K45" s="74">
        <f t="shared" si="52"/>
        <v>189.34313452760409</v>
      </c>
      <c r="L45" s="75">
        <f t="shared" si="53"/>
        <v>3.9861271157685798</v>
      </c>
    </row>
    <row r="46" spans="1:12" x14ac:dyDescent="0.35">
      <c r="A46" t="s">
        <v>156</v>
      </c>
      <c r="B46" s="41" t="s">
        <v>154</v>
      </c>
      <c r="C46" t="s">
        <v>260</v>
      </c>
      <c r="D46" s="57" t="s">
        <v>172</v>
      </c>
      <c r="E46" s="57" t="s">
        <v>185</v>
      </c>
      <c r="F46" s="74">
        <v>0.55010455220183996</v>
      </c>
      <c r="G46" s="74">
        <v>3.7523759703400584E-3</v>
      </c>
      <c r="H46" s="74">
        <v>0.17748597749667216</v>
      </c>
      <c r="I46" s="74">
        <v>390.6298828125</v>
      </c>
      <c r="J46" s="74">
        <v>4.5924574324847445</v>
      </c>
      <c r="K46" s="74">
        <f t="shared" si="52"/>
        <v>146.601661600553</v>
      </c>
      <c r="L46" s="75">
        <f t="shared" si="53"/>
        <v>3.0994254304521287</v>
      </c>
    </row>
    <row r="47" spans="1:12" x14ac:dyDescent="0.35">
      <c r="A47" t="s">
        <v>158</v>
      </c>
      <c r="B47" s="41" t="s">
        <v>155</v>
      </c>
      <c r="C47" t="s">
        <v>260</v>
      </c>
      <c r="D47" s="57" t="s">
        <v>172</v>
      </c>
      <c r="E47" s="57" t="s">
        <v>185</v>
      </c>
      <c r="F47" s="74">
        <v>6.7366301198931202</v>
      </c>
      <c r="G47" s="74">
        <v>0.12379531212977993</v>
      </c>
      <c r="H47" s="74">
        <v>4.5274024509049093</v>
      </c>
      <c r="I47" s="74">
        <v>318.65127563476563</v>
      </c>
      <c r="J47" s="74">
        <v>3.6038300862102259</v>
      </c>
      <c r="K47" s="74">
        <f t="shared" si="52"/>
        <v>54.417489677079388</v>
      </c>
      <c r="L47" s="75">
        <f t="shared" si="53"/>
        <v>1.487968033092937</v>
      </c>
    </row>
    <row r="48" spans="1:12" x14ac:dyDescent="0.35">
      <c r="A48" t="s">
        <v>156</v>
      </c>
      <c r="B48" s="41" t="s">
        <v>154</v>
      </c>
      <c r="C48" t="s">
        <v>260</v>
      </c>
      <c r="D48" s="57" t="s">
        <v>173</v>
      </c>
      <c r="E48" s="57" t="s">
        <v>185</v>
      </c>
      <c r="F48" s="74">
        <v>1.0614246327866774</v>
      </c>
      <c r="G48" s="74">
        <v>2.4771478344890414E-2</v>
      </c>
      <c r="H48" s="74">
        <v>1.1735765745939328</v>
      </c>
      <c r="I48" s="74">
        <v>471.01336669921875</v>
      </c>
      <c r="J48" s="74">
        <v>4.6054296152141028</v>
      </c>
      <c r="K48" s="74">
        <f t="shared" si="52"/>
        <v>42.848659171995536</v>
      </c>
      <c r="L48" s="75">
        <f t="shared" si="53"/>
        <v>0.90443576990614272</v>
      </c>
    </row>
    <row r="49" spans="1:12" ht="15" thickBot="1" x14ac:dyDescent="0.4">
      <c r="A49" t="s">
        <v>157</v>
      </c>
      <c r="B49" s="76" t="s">
        <v>155</v>
      </c>
      <c r="C49" t="s">
        <v>260</v>
      </c>
      <c r="D49" s="77" t="s">
        <v>173</v>
      </c>
      <c r="E49" s="77" t="s">
        <v>185</v>
      </c>
      <c r="F49" s="78">
        <v>0.23295302722158975</v>
      </c>
      <c r="G49" s="78">
        <v>1.2985367825507733E-2</v>
      </c>
      <c r="H49" s="78">
        <v>0.63403827393879852</v>
      </c>
      <c r="I49" s="78">
        <v>319.71575927734375</v>
      </c>
      <c r="J49" s="78">
        <v>4.7383088413523309</v>
      </c>
      <c r="K49" s="78">
        <f t="shared" si="52"/>
        <v>17.939655645640613</v>
      </c>
      <c r="L49" s="79">
        <f t="shared" si="53"/>
        <v>0.36741161661176924</v>
      </c>
    </row>
    <row r="50" spans="1:12" x14ac:dyDescent="0.35">
      <c r="A50" t="s">
        <v>156</v>
      </c>
      <c r="B50" s="70" t="s">
        <v>154</v>
      </c>
      <c r="C50" t="s">
        <v>259</v>
      </c>
      <c r="D50" s="71" t="s">
        <v>162</v>
      </c>
      <c r="E50" s="71" t="s">
        <v>197</v>
      </c>
      <c r="F50" s="72">
        <v>10.055181097209275</v>
      </c>
      <c r="G50" s="72">
        <v>0.25117600492306857</v>
      </c>
      <c r="H50" s="72">
        <v>6.1442580254721193</v>
      </c>
      <c r="I50" s="74">
        <v>302.074951171875</v>
      </c>
      <c r="J50" s="72">
        <v>2.4430130875446263</v>
      </c>
      <c r="K50" s="72">
        <f>F50/G50</f>
        <v>40.032411138512316</v>
      </c>
      <c r="L50" s="73">
        <f t="shared" si="53"/>
        <v>1.6365167373381335</v>
      </c>
    </row>
    <row r="51" spans="1:12" x14ac:dyDescent="0.35">
      <c r="A51" t="s">
        <v>157</v>
      </c>
      <c r="B51" s="41" t="s">
        <v>155</v>
      </c>
      <c r="C51" t="s">
        <v>259</v>
      </c>
      <c r="D51" s="57" t="s">
        <v>162</v>
      </c>
      <c r="E51" s="57" t="s">
        <v>197</v>
      </c>
      <c r="F51" s="74">
        <v>10.772269311998175</v>
      </c>
      <c r="G51" s="74">
        <v>0.2127615710469607</v>
      </c>
      <c r="H51" s="74">
        <v>5.062657337655196</v>
      </c>
      <c r="I51" s="74">
        <v>374.542724609375</v>
      </c>
      <c r="J51" s="74">
        <v>2.3680182061400772</v>
      </c>
      <c r="K51" s="74">
        <f t="shared" si="52"/>
        <v>50.630709573114224</v>
      </c>
      <c r="L51" s="75">
        <f t="shared" si="53"/>
        <v>2.1277895369050248</v>
      </c>
    </row>
    <row r="52" spans="1:12" x14ac:dyDescent="0.35">
      <c r="A52" t="s">
        <v>156</v>
      </c>
      <c r="B52" s="41" t="s">
        <v>154</v>
      </c>
      <c r="C52" t="s">
        <v>259</v>
      </c>
      <c r="D52" s="57" t="s">
        <v>163</v>
      </c>
      <c r="E52" s="57" t="s">
        <v>197</v>
      </c>
      <c r="F52" s="74">
        <v>13.050272596166014</v>
      </c>
      <c r="G52" s="74">
        <v>0.28051031310386504</v>
      </c>
      <c r="H52" s="74">
        <v>6.4495742988306759</v>
      </c>
      <c r="I52" s="74">
        <v>376.09503173828125</v>
      </c>
      <c r="J52" s="74">
        <v>2.3034408725364912</v>
      </c>
      <c r="K52" s="74">
        <f t="shared" si="52"/>
        <v>46.52332547692771</v>
      </c>
      <c r="L52" s="75">
        <f t="shared" si="53"/>
        <v>2.0234316237789618</v>
      </c>
    </row>
    <row r="53" spans="1:12" x14ac:dyDescent="0.35">
      <c r="A53" t="s">
        <v>157</v>
      </c>
      <c r="B53" s="41" t="s">
        <v>155</v>
      </c>
      <c r="C53" t="s">
        <v>259</v>
      </c>
      <c r="D53" s="57" t="s">
        <v>163</v>
      </c>
      <c r="E53" s="57" t="s">
        <v>197</v>
      </c>
      <c r="F53" s="74">
        <v>13.192098235221007</v>
      </c>
      <c r="G53" s="74">
        <v>0.28888291107908409</v>
      </c>
      <c r="H53" s="74">
        <v>6.8171139325180699</v>
      </c>
      <c r="I53" s="74">
        <v>509.08877563476563</v>
      </c>
      <c r="J53" s="74">
        <v>2.3644049146259003</v>
      </c>
      <c r="K53" s="74">
        <f t="shared" si="52"/>
        <v>45.665900367535279</v>
      </c>
      <c r="L53" s="75">
        <f t="shared" si="53"/>
        <v>1.9351441630297321</v>
      </c>
    </row>
    <row r="54" spans="1:12" ht="15" thickBot="1" x14ac:dyDescent="0.4">
      <c r="A54" t="s">
        <v>156</v>
      </c>
      <c r="B54" s="41" t="s">
        <v>154</v>
      </c>
      <c r="C54" t="s">
        <v>259</v>
      </c>
      <c r="D54" s="57" t="s">
        <v>164</v>
      </c>
      <c r="E54" s="57" t="s">
        <v>197</v>
      </c>
      <c r="F54" s="74">
        <v>9.9011973677691039</v>
      </c>
      <c r="G54" s="74">
        <v>0.13890728231381974</v>
      </c>
      <c r="H54" s="74">
        <v>4.049099935212837</v>
      </c>
      <c r="I54" s="74">
        <v>668.78729248046875</v>
      </c>
      <c r="J54" s="74">
        <v>2.8697516194315957</v>
      </c>
      <c r="K54" s="74">
        <f t="shared" si="52"/>
        <v>71.27918135638339</v>
      </c>
      <c r="L54" s="75">
        <f t="shared" si="53"/>
        <v>2.4452835262631414</v>
      </c>
    </row>
    <row r="55" spans="1:12" x14ac:dyDescent="0.35">
      <c r="A55" t="s">
        <v>157</v>
      </c>
      <c r="B55" s="41" t="s">
        <v>155</v>
      </c>
      <c r="C55" t="s">
        <v>259</v>
      </c>
      <c r="D55" s="57" t="s">
        <v>164</v>
      </c>
      <c r="E55" s="71" t="s">
        <v>197</v>
      </c>
      <c r="F55" s="74">
        <v>12.565836995071914</v>
      </c>
      <c r="G55" s="74">
        <v>0.33251642133414661</v>
      </c>
      <c r="H55" s="74">
        <v>6.8475318016846174</v>
      </c>
      <c r="I55" s="74">
        <v>420.22518920898438</v>
      </c>
      <c r="J55" s="74">
        <v>2.0740835019834849</v>
      </c>
      <c r="K55" s="74">
        <f t="shared" si="52"/>
        <v>37.790124603934892</v>
      </c>
      <c r="L55" s="75">
        <f t="shared" si="53"/>
        <v>1.8350899797180189</v>
      </c>
    </row>
    <row r="56" spans="1:12" x14ac:dyDescent="0.35">
      <c r="A56" t="s">
        <v>156</v>
      </c>
      <c r="B56" s="41" t="s">
        <v>154</v>
      </c>
      <c r="C56" t="s">
        <v>259</v>
      </c>
      <c r="D56" s="57" t="s">
        <v>165</v>
      </c>
      <c r="E56" s="57" t="s">
        <v>197</v>
      </c>
      <c r="F56" s="74">
        <v>13.91315736885827</v>
      </c>
      <c r="G56" s="74">
        <v>0.2371398305598057</v>
      </c>
      <c r="H56" s="74">
        <v>6.1734679314205403</v>
      </c>
      <c r="I56" s="74">
        <v>389.33926391601563</v>
      </c>
      <c r="J56" s="74">
        <v>2.5890231573940583</v>
      </c>
      <c r="K56" s="74">
        <f t="shared" si="52"/>
        <v>58.670689508439317</v>
      </c>
      <c r="L56" s="75">
        <f t="shared" si="53"/>
        <v>2.2537020558648622</v>
      </c>
    </row>
    <row r="57" spans="1:12" x14ac:dyDescent="0.35">
      <c r="A57" t="s">
        <v>157</v>
      </c>
      <c r="B57" s="41" t="s">
        <v>155</v>
      </c>
      <c r="C57" t="s">
        <v>259</v>
      </c>
      <c r="D57" s="57" t="s">
        <v>165</v>
      </c>
      <c r="E57" s="57" t="s">
        <v>197</v>
      </c>
      <c r="F57" s="74">
        <v>16.115709852038037</v>
      </c>
      <c r="G57" s="74">
        <v>0.34860921906857423</v>
      </c>
      <c r="H57" s="74">
        <v>8.2743425359303764</v>
      </c>
      <c r="I57" s="74">
        <v>677.369873046875</v>
      </c>
      <c r="J57" s="74">
        <v>2.388192635762608</v>
      </c>
      <c r="K57" s="74">
        <f t="shared" si="52"/>
        <v>46.228581949429021</v>
      </c>
      <c r="L57" s="75">
        <f t="shared" si="53"/>
        <v>1.9476725530829102</v>
      </c>
    </row>
    <row r="58" spans="1:12" x14ac:dyDescent="0.35">
      <c r="A58" t="s">
        <v>156</v>
      </c>
      <c r="B58" s="41" t="s">
        <v>154</v>
      </c>
      <c r="C58" t="s">
        <v>259</v>
      </c>
      <c r="D58" s="57" t="s">
        <v>166</v>
      </c>
      <c r="E58" s="57" t="s">
        <v>197</v>
      </c>
      <c r="F58" s="74">
        <v>16.113537065278532</v>
      </c>
      <c r="G58" s="74">
        <v>0.27793911366095769</v>
      </c>
      <c r="H58" s="74">
        <v>7.0290809080435972</v>
      </c>
      <c r="I58" s="74">
        <v>564.7940673828125</v>
      </c>
      <c r="J58" s="74">
        <v>2.5250438102048589</v>
      </c>
      <c r="K58" s="74">
        <f t="shared" si="52"/>
        <v>57.975060987402195</v>
      </c>
      <c r="L58" s="75">
        <f t="shared" si="53"/>
        <v>2.2924102419762029</v>
      </c>
    </row>
    <row r="59" spans="1:12" ht="15" thickBot="1" x14ac:dyDescent="0.4">
      <c r="A59" t="s">
        <v>157</v>
      </c>
      <c r="B59" s="41" t="s">
        <v>155</v>
      </c>
      <c r="C59" t="s">
        <v>259</v>
      </c>
      <c r="D59" s="57" t="s">
        <v>166</v>
      </c>
      <c r="E59" s="57" t="s">
        <v>197</v>
      </c>
      <c r="F59" s="74">
        <v>14.639241092246115</v>
      </c>
      <c r="G59" s="74">
        <v>0.27742540753853073</v>
      </c>
      <c r="H59" s="74">
        <v>6.7688550788191097</v>
      </c>
      <c r="I59" s="74">
        <v>428.72238159179688</v>
      </c>
      <c r="J59" s="74">
        <v>2.4368857548902976</v>
      </c>
      <c r="K59" s="74">
        <f t="shared" si="52"/>
        <v>52.768206135600316</v>
      </c>
      <c r="L59" s="75">
        <f t="shared" si="53"/>
        <v>2.1627351925519536</v>
      </c>
    </row>
    <row r="60" spans="1:12" x14ac:dyDescent="0.35">
      <c r="A60" t="s">
        <v>156</v>
      </c>
      <c r="B60" s="41" t="s">
        <v>154</v>
      </c>
      <c r="C60" t="s">
        <v>259</v>
      </c>
      <c r="D60" s="57" t="s">
        <v>167</v>
      </c>
      <c r="E60" s="71" t="s">
        <v>197</v>
      </c>
      <c r="F60" s="74">
        <v>17.655366370391171</v>
      </c>
      <c r="G60" s="74">
        <v>0.276053036373137</v>
      </c>
      <c r="H60" s="74">
        <v>8.0848450029924912</v>
      </c>
      <c r="I60" s="74">
        <v>561.0223388671875</v>
      </c>
      <c r="J60" s="74">
        <v>2.91576845275676</v>
      </c>
      <c r="K60" s="74">
        <f t="shared" si="52"/>
        <v>63.956428816550535</v>
      </c>
      <c r="L60" s="75">
        <f t="shared" si="53"/>
        <v>2.1837606489495207</v>
      </c>
    </row>
    <row r="61" spans="1:12" x14ac:dyDescent="0.35">
      <c r="A61" t="s">
        <v>157</v>
      </c>
      <c r="B61" s="41" t="s">
        <v>155</v>
      </c>
      <c r="C61" t="s">
        <v>259</v>
      </c>
      <c r="D61" s="57" t="s">
        <v>167</v>
      </c>
      <c r="E61" s="57" t="s">
        <v>197</v>
      </c>
      <c r="F61" s="74">
        <v>16.955857369983914</v>
      </c>
      <c r="G61" s="74">
        <v>0.23478845120519246</v>
      </c>
      <c r="H61" s="74">
        <v>6.6105231975334053</v>
      </c>
      <c r="I61" s="74">
        <v>352.593017578125</v>
      </c>
      <c r="J61" s="74">
        <v>2.7941908597448837</v>
      </c>
      <c r="K61" s="74">
        <f t="shared" si="52"/>
        <v>72.217595384048124</v>
      </c>
      <c r="L61" s="75">
        <f t="shared" si="53"/>
        <v>2.5649796337316659</v>
      </c>
    </row>
    <row r="62" spans="1:12" x14ac:dyDescent="0.35">
      <c r="A62" t="s">
        <v>156</v>
      </c>
      <c r="B62" s="41" t="s">
        <v>154</v>
      </c>
      <c r="C62" t="s">
        <v>260</v>
      </c>
      <c r="D62" s="57" t="s">
        <v>168</v>
      </c>
      <c r="E62" s="57" t="s">
        <v>197</v>
      </c>
      <c r="F62" s="74">
        <v>16.205175931909213</v>
      </c>
      <c r="G62" s="74">
        <v>0.16158058216349622</v>
      </c>
      <c r="H62" s="74">
        <v>5.0520743381050757</v>
      </c>
      <c r="I62" s="74">
        <v>623.03680419921875</v>
      </c>
      <c r="J62" s="74">
        <v>3.0764684051833542</v>
      </c>
      <c r="K62" s="74">
        <f t="shared" ref="K62:K73" si="54">F62/G62</f>
        <v>100.29160506125616</v>
      </c>
      <c r="L62" s="75">
        <f t="shared" ref="L62:L73" si="55">F62/H62</f>
        <v>3.2076281636796788</v>
      </c>
    </row>
    <row r="63" spans="1:12" x14ac:dyDescent="0.35">
      <c r="A63" t="s">
        <v>157</v>
      </c>
      <c r="B63" s="41" t="s">
        <v>155</v>
      </c>
      <c r="C63" t="s">
        <v>260</v>
      </c>
      <c r="D63" s="57" t="s">
        <v>168</v>
      </c>
      <c r="E63" s="57" t="s">
        <v>197</v>
      </c>
      <c r="F63" s="74">
        <v>19.765598962216071</v>
      </c>
      <c r="G63" s="74">
        <v>0.24500867180690991</v>
      </c>
      <c r="H63" s="74">
        <v>7.7294571303680142</v>
      </c>
      <c r="I63" s="74">
        <v>603.86053466796875</v>
      </c>
      <c r="J63" s="74">
        <v>3.1270517267331761</v>
      </c>
      <c r="K63" s="74">
        <f t="shared" si="54"/>
        <v>80.673058698074328</v>
      </c>
      <c r="L63" s="75">
        <f t="shared" si="55"/>
        <v>2.5571781599718886</v>
      </c>
    </row>
    <row r="64" spans="1:12" ht="15" thickBot="1" x14ac:dyDescent="0.4">
      <c r="A64" t="s">
        <v>156</v>
      </c>
      <c r="B64" s="41" t="s">
        <v>154</v>
      </c>
      <c r="C64" t="s">
        <v>260</v>
      </c>
      <c r="D64" s="57" t="s">
        <v>169</v>
      </c>
      <c r="E64" s="57" t="s">
        <v>197</v>
      </c>
      <c r="F64" s="74">
        <v>18.700929953575852</v>
      </c>
      <c r="G64" s="74">
        <v>0.25073014833323565</v>
      </c>
      <c r="H64" s="74">
        <v>6.954177872117234</v>
      </c>
      <c r="I64" s="74">
        <v>556.0721435546875</v>
      </c>
      <c r="J64" s="74">
        <v>2.7566971539434877</v>
      </c>
      <c r="K64" s="74">
        <f t="shared" si="54"/>
        <v>74.585884776493558</v>
      </c>
      <c r="L64" s="75">
        <f t="shared" si="55"/>
        <v>2.6891647434784782</v>
      </c>
    </row>
    <row r="65" spans="1:12" x14ac:dyDescent="0.35">
      <c r="A65" t="s">
        <v>157</v>
      </c>
      <c r="B65" s="41" t="s">
        <v>155</v>
      </c>
      <c r="C65" t="s">
        <v>260</v>
      </c>
      <c r="D65" s="57" t="s">
        <v>169</v>
      </c>
      <c r="E65" s="71" t="s">
        <v>197</v>
      </c>
      <c r="F65" s="74">
        <v>20.56068686268188</v>
      </c>
      <c r="G65" s="74">
        <v>0.21737741002531602</v>
      </c>
      <c r="H65" s="74">
        <v>7.0982641498694523</v>
      </c>
      <c r="I65" s="74">
        <v>658.1202392578125</v>
      </c>
      <c r="J65" s="74">
        <v>3.2259408182729747</v>
      </c>
      <c r="K65" s="74">
        <f t="shared" si="54"/>
        <v>94.585204876106303</v>
      </c>
      <c r="L65" s="75">
        <f t="shared" si="55"/>
        <v>2.8965795620694141</v>
      </c>
    </row>
    <row r="66" spans="1:12" x14ac:dyDescent="0.35">
      <c r="A66" t="s">
        <v>156</v>
      </c>
      <c r="B66" s="41" t="s">
        <v>154</v>
      </c>
      <c r="C66" t="s">
        <v>260</v>
      </c>
      <c r="D66" s="57" t="s">
        <v>170</v>
      </c>
      <c r="E66" s="57" t="s">
        <v>197</v>
      </c>
      <c r="F66" s="74">
        <v>17.68756084710159</v>
      </c>
      <c r="G66" s="74">
        <v>0.19223852611696476</v>
      </c>
      <c r="H66" s="74">
        <v>6.4006190905945468</v>
      </c>
      <c r="I66" s="74">
        <v>529.08367919921875</v>
      </c>
      <c r="J66" s="74">
        <v>3.2803816139901638</v>
      </c>
      <c r="K66" s="74">
        <f t="shared" si="54"/>
        <v>92.0084085348212</v>
      </c>
      <c r="L66" s="75">
        <f t="shared" si="55"/>
        <v>2.7634140692878839</v>
      </c>
    </row>
    <row r="67" spans="1:12" x14ac:dyDescent="0.35">
      <c r="A67" t="s">
        <v>157</v>
      </c>
      <c r="B67" s="41" t="s">
        <v>155</v>
      </c>
      <c r="C67" t="s">
        <v>260</v>
      </c>
      <c r="D67" s="57" t="s">
        <v>170</v>
      </c>
      <c r="E67" s="57" t="s">
        <v>197</v>
      </c>
      <c r="F67" s="74">
        <v>14.641682471217788</v>
      </c>
      <c r="G67" s="74">
        <v>0.19605493816524069</v>
      </c>
      <c r="H67" s="74">
        <v>5.932539129848883</v>
      </c>
      <c r="I67" s="74">
        <v>628.58502197265625</v>
      </c>
      <c r="J67" s="74">
        <v>2.9874156280093542</v>
      </c>
      <c r="K67" s="74">
        <f t="shared" si="54"/>
        <v>74.681528597241254</v>
      </c>
      <c r="L67" s="75">
        <f t="shared" si="55"/>
        <v>2.4680296498256302</v>
      </c>
    </row>
    <row r="68" spans="1:12" x14ac:dyDescent="0.35">
      <c r="A68" t="s">
        <v>156</v>
      </c>
      <c r="B68" s="41" t="s">
        <v>154</v>
      </c>
      <c r="C68" t="s">
        <v>260</v>
      </c>
      <c r="D68" s="57" t="s">
        <v>171</v>
      </c>
      <c r="E68" s="57" t="s">
        <v>197</v>
      </c>
      <c r="F68" s="74">
        <v>19.568174942495766</v>
      </c>
      <c r="G68" s="74">
        <v>0.27532616923816422</v>
      </c>
      <c r="H68" s="74">
        <v>7.2570506367297458</v>
      </c>
      <c r="I68" s="74">
        <v>718.22442626953125</v>
      </c>
      <c r="J68" s="74">
        <v>2.6273230501788056</v>
      </c>
      <c r="K68" s="74">
        <f t="shared" si="54"/>
        <v>71.072702593587437</v>
      </c>
      <c r="L68" s="75">
        <f t="shared" si="55"/>
        <v>2.6964363240703246</v>
      </c>
    </row>
    <row r="69" spans="1:12" ht="15" thickBot="1" x14ac:dyDescent="0.4">
      <c r="A69" t="s">
        <v>157</v>
      </c>
      <c r="B69" s="41" t="s">
        <v>155</v>
      </c>
      <c r="C69" t="s">
        <v>260</v>
      </c>
      <c r="D69" s="57" t="s">
        <v>171</v>
      </c>
      <c r="E69" s="57" t="s">
        <v>197</v>
      </c>
      <c r="F69" s="74">
        <v>13.196154496060716</v>
      </c>
      <c r="G69" s="74">
        <v>0.11225092140480863</v>
      </c>
      <c r="H69" s="74">
        <v>3.8428279707019062</v>
      </c>
      <c r="I69" s="74">
        <v>733.66204833984375</v>
      </c>
      <c r="J69" s="74">
        <v>3.3463384504170022</v>
      </c>
      <c r="K69" s="74">
        <f t="shared" si="54"/>
        <v>117.55943141412304</v>
      </c>
      <c r="L69" s="75">
        <f t="shared" si="55"/>
        <v>3.4339696173415724</v>
      </c>
    </row>
    <row r="70" spans="1:12" x14ac:dyDescent="0.35">
      <c r="A70" t="s">
        <v>156</v>
      </c>
      <c r="B70" s="41" t="s">
        <v>154</v>
      </c>
      <c r="C70" t="s">
        <v>260</v>
      </c>
      <c r="D70" s="57" t="s">
        <v>172</v>
      </c>
      <c r="E70" s="71" t="s">
        <v>197</v>
      </c>
      <c r="F70" s="74">
        <v>22.496051254256869</v>
      </c>
      <c r="G70" s="74">
        <v>0.39441733115924749</v>
      </c>
      <c r="H70" s="74">
        <v>9.6775549261694191</v>
      </c>
      <c r="I70" s="74">
        <v>376.52548217773438</v>
      </c>
      <c r="J70" s="74">
        <v>2.475469301732411</v>
      </c>
      <c r="K70" s="74">
        <f t="shared" si="54"/>
        <v>57.036163162855551</v>
      </c>
      <c r="L70" s="75">
        <f t="shared" si="55"/>
        <v>2.3245593981000821</v>
      </c>
    </row>
    <row r="71" spans="1:12" x14ac:dyDescent="0.35">
      <c r="A71" t="s">
        <v>158</v>
      </c>
      <c r="B71" s="41" t="s">
        <v>155</v>
      </c>
      <c r="C71" t="s">
        <v>260</v>
      </c>
      <c r="D71" s="57" t="s">
        <v>172</v>
      </c>
      <c r="E71" s="57" t="s">
        <v>197</v>
      </c>
      <c r="F71" s="74">
        <v>25.397847805636061</v>
      </c>
      <c r="G71" s="74">
        <v>0.37649944010021857</v>
      </c>
      <c r="H71" s="74">
        <v>8.8363597152666564</v>
      </c>
      <c r="I71" s="74">
        <v>555.8082275390625</v>
      </c>
      <c r="J71" s="74">
        <v>2.3654569366328859</v>
      </c>
      <c r="K71" s="74">
        <f t="shared" si="54"/>
        <v>67.45786341375576</v>
      </c>
      <c r="L71" s="75">
        <f t="shared" si="55"/>
        <v>2.8742433110499084</v>
      </c>
    </row>
    <row r="72" spans="1:12" x14ac:dyDescent="0.35">
      <c r="A72" t="s">
        <v>156</v>
      </c>
      <c r="B72" s="41" t="s">
        <v>154</v>
      </c>
      <c r="C72" t="s">
        <v>260</v>
      </c>
      <c r="D72" s="57" t="s">
        <v>173</v>
      </c>
      <c r="E72" s="57" t="s">
        <v>197</v>
      </c>
      <c r="F72" s="74">
        <v>22.107623398389855</v>
      </c>
      <c r="G72" s="74">
        <v>0.27708683701497488</v>
      </c>
      <c r="H72" s="74">
        <v>8.8081685648272376</v>
      </c>
      <c r="I72" s="74">
        <v>609.74517822265625</v>
      </c>
      <c r="J72" s="74">
        <v>3.1576729389377967</v>
      </c>
      <c r="K72" s="74">
        <f t="shared" si="54"/>
        <v>79.785902630932512</v>
      </c>
      <c r="L72" s="75">
        <f t="shared" si="55"/>
        <v>2.5099001268742716</v>
      </c>
    </row>
    <row r="73" spans="1:12" ht="15" thickBot="1" x14ac:dyDescent="0.4">
      <c r="A73" t="s">
        <v>157</v>
      </c>
      <c r="B73" s="76" t="s">
        <v>155</v>
      </c>
      <c r="C73" t="s">
        <v>260</v>
      </c>
      <c r="D73" s="77" t="s">
        <v>173</v>
      </c>
      <c r="E73" s="57" t="s">
        <v>197</v>
      </c>
      <c r="F73" s="78">
        <v>21.801801458777057</v>
      </c>
      <c r="G73" s="78">
        <v>0.24080716270074032</v>
      </c>
      <c r="H73" s="78">
        <v>7.8462192887036908</v>
      </c>
      <c r="I73" s="78">
        <v>705.10986328125</v>
      </c>
      <c r="J73" s="78">
        <v>3.2244998234694688</v>
      </c>
      <c r="K73" s="78">
        <f t="shared" si="54"/>
        <v>90.536349559796676</v>
      </c>
      <c r="L73" s="79">
        <f t="shared" si="55"/>
        <v>2.778637794404422</v>
      </c>
    </row>
    <row r="74" spans="1:12" x14ac:dyDescent="0.35">
      <c r="A74" t="s">
        <v>156</v>
      </c>
      <c r="B74" s="70" t="s">
        <v>154</v>
      </c>
      <c r="C74" t="s">
        <v>259</v>
      </c>
      <c r="D74" s="71" t="s">
        <v>162</v>
      </c>
      <c r="E74" s="102" t="s">
        <v>198</v>
      </c>
      <c r="F74" s="67">
        <v>18.23116120575477</v>
      </c>
      <c r="G74" s="67">
        <v>0.14342801142771236</v>
      </c>
      <c r="H74" s="67">
        <v>5.4706218873524595</v>
      </c>
      <c r="I74" s="67">
        <v>435.59323120117188</v>
      </c>
      <c r="J74" s="67">
        <v>3.7600401731176762</v>
      </c>
      <c r="K74" s="80">
        <f>F74/G74</f>
        <v>127.11018596910036</v>
      </c>
      <c r="L74" s="81">
        <f>F74/H74</f>
        <v>3.3325573547503664</v>
      </c>
    </row>
    <row r="75" spans="1:12" x14ac:dyDescent="0.35">
      <c r="A75" t="s">
        <v>157</v>
      </c>
      <c r="B75" s="41" t="s">
        <v>155</v>
      </c>
      <c r="C75" t="s">
        <v>259</v>
      </c>
      <c r="D75" s="57" t="s">
        <v>162</v>
      </c>
      <c r="E75" s="91" t="s">
        <v>198</v>
      </c>
      <c r="F75" s="67">
        <v>16.260582438883787</v>
      </c>
      <c r="G75" s="67">
        <v>0.14001715654298169</v>
      </c>
      <c r="H75" s="67">
        <v>5.050850027699326</v>
      </c>
      <c r="I75" s="67">
        <v>736.4100341796875</v>
      </c>
      <c r="J75" s="67">
        <v>3.5589347140517416</v>
      </c>
      <c r="K75" s="67">
        <f t="shared" ref="K75:K97" si="56">F75/G75</f>
        <v>116.13278572681344</v>
      </c>
      <c r="L75" s="82">
        <f t="shared" ref="L75:L97" si="57">F75/H75</f>
        <v>3.219375421901117</v>
      </c>
    </row>
    <row r="76" spans="1:12" x14ac:dyDescent="0.35">
      <c r="A76" t="s">
        <v>156</v>
      </c>
      <c r="B76" s="41" t="s">
        <v>154</v>
      </c>
      <c r="C76" t="s">
        <v>259</v>
      </c>
      <c r="D76" s="57" t="s">
        <v>163</v>
      </c>
      <c r="E76" s="91" t="s">
        <v>198</v>
      </c>
      <c r="F76" s="67">
        <v>20.396277004998328</v>
      </c>
      <c r="G76" s="67">
        <v>0.16187307906385531</v>
      </c>
      <c r="H76" s="67">
        <v>6.5549205816035103</v>
      </c>
      <c r="I76" s="67">
        <v>432.50006103515625</v>
      </c>
      <c r="J76" s="67">
        <v>3.9927555361557641</v>
      </c>
      <c r="K76" s="67">
        <f t="shared" si="56"/>
        <v>126.0016620611291</v>
      </c>
      <c r="L76" s="82">
        <f t="shared" si="57"/>
        <v>3.1115978830072795</v>
      </c>
    </row>
    <row r="77" spans="1:12" x14ac:dyDescent="0.35">
      <c r="A77" t="s">
        <v>157</v>
      </c>
      <c r="B77" s="41" t="s">
        <v>155</v>
      </c>
      <c r="C77" t="s">
        <v>259</v>
      </c>
      <c r="D77" s="57" t="s">
        <v>163</v>
      </c>
      <c r="E77" s="91" t="s">
        <v>198</v>
      </c>
      <c r="F77" s="67">
        <v>21.323761819422028</v>
      </c>
      <c r="G77" s="67">
        <v>0.18178407898709723</v>
      </c>
      <c r="H77" s="67">
        <v>6.875051802386861</v>
      </c>
      <c r="I77" s="67">
        <v>422.55853271484375</v>
      </c>
      <c r="J77" s="67">
        <v>3.7411068202240623</v>
      </c>
      <c r="K77" s="67">
        <f t="shared" si="56"/>
        <v>117.30269195321313</v>
      </c>
      <c r="L77" s="82">
        <f t="shared" si="57"/>
        <v>3.1016147124911706</v>
      </c>
    </row>
    <row r="78" spans="1:12" x14ac:dyDescent="0.35">
      <c r="A78" t="s">
        <v>156</v>
      </c>
      <c r="B78" s="41" t="s">
        <v>154</v>
      </c>
      <c r="C78" t="s">
        <v>259</v>
      </c>
      <c r="D78" s="57" t="s">
        <v>164</v>
      </c>
      <c r="E78" s="91" t="s">
        <v>198</v>
      </c>
      <c r="F78" s="67">
        <v>21.869733028834045</v>
      </c>
      <c r="G78" s="67">
        <v>0.15694820273184451</v>
      </c>
      <c r="H78" s="67">
        <v>6.4174125791308754</v>
      </c>
      <c r="I78" s="67">
        <v>486.00442504882813</v>
      </c>
      <c r="J78" s="67">
        <v>4.0283056535696744</v>
      </c>
      <c r="K78" s="67">
        <f t="shared" si="56"/>
        <v>139.34363470348114</v>
      </c>
      <c r="L78" s="82">
        <f t="shared" si="57"/>
        <v>3.4078739303677295</v>
      </c>
    </row>
    <row r="79" spans="1:12" x14ac:dyDescent="0.35">
      <c r="A79" t="s">
        <v>157</v>
      </c>
      <c r="B79" s="41" t="s">
        <v>155</v>
      </c>
      <c r="C79" t="s">
        <v>259</v>
      </c>
      <c r="D79" s="57" t="s">
        <v>164</v>
      </c>
      <c r="E79" s="91" t="s">
        <v>198</v>
      </c>
      <c r="F79" s="67">
        <v>16.768835738128072</v>
      </c>
      <c r="G79" s="67">
        <v>0.14604814235332844</v>
      </c>
      <c r="H79" s="67">
        <v>5.2125579422672166</v>
      </c>
      <c r="I79" s="67">
        <v>343.40188598632813</v>
      </c>
      <c r="J79" s="67">
        <v>3.5228662590794984</v>
      </c>
      <c r="K79" s="67">
        <f t="shared" si="56"/>
        <v>114.8171792391573</v>
      </c>
      <c r="L79" s="82">
        <f t="shared" si="57"/>
        <v>3.217007067135722</v>
      </c>
    </row>
    <row r="80" spans="1:12" x14ac:dyDescent="0.35">
      <c r="A80" t="s">
        <v>156</v>
      </c>
      <c r="B80" s="41" t="s">
        <v>154</v>
      </c>
      <c r="C80" t="s">
        <v>259</v>
      </c>
      <c r="D80" s="57" t="s">
        <v>165</v>
      </c>
      <c r="E80" s="91" t="s">
        <v>198</v>
      </c>
      <c r="F80" s="67">
        <v>22.303378902915469</v>
      </c>
      <c r="G80" s="67">
        <v>0.16219953094777662</v>
      </c>
      <c r="H80" s="67">
        <v>6.4763995266500185</v>
      </c>
      <c r="I80" s="67">
        <v>427.50277709960938</v>
      </c>
      <c r="J80" s="67">
        <v>3.937554215023904</v>
      </c>
      <c r="K80" s="67">
        <f t="shared" si="56"/>
        <v>137.50581627820173</v>
      </c>
      <c r="L80" s="82">
        <f t="shared" si="57"/>
        <v>3.4437929301826307</v>
      </c>
    </row>
    <row r="81" spans="1:12" x14ac:dyDescent="0.35">
      <c r="A81" t="s">
        <v>157</v>
      </c>
      <c r="B81" s="41" t="s">
        <v>155</v>
      </c>
      <c r="C81" t="s">
        <v>259</v>
      </c>
      <c r="D81" s="57" t="s">
        <v>165</v>
      </c>
      <c r="E81" s="91" t="s">
        <v>198</v>
      </c>
      <c r="F81" s="67">
        <v>25.817075637037714</v>
      </c>
      <c r="G81" s="67">
        <v>0.25731706209108302</v>
      </c>
      <c r="H81" s="67">
        <v>9.7311652161618074</v>
      </c>
      <c r="I81" s="67">
        <v>686.07220458984375</v>
      </c>
      <c r="J81" s="67">
        <v>3.7653705712190453</v>
      </c>
      <c r="K81" s="67">
        <f t="shared" si="56"/>
        <v>100.3317674593191</v>
      </c>
      <c r="L81" s="82">
        <f t="shared" si="57"/>
        <v>2.6530302449453793</v>
      </c>
    </row>
    <row r="82" spans="1:12" x14ac:dyDescent="0.35">
      <c r="A82" t="s">
        <v>156</v>
      </c>
      <c r="B82" s="41" t="s">
        <v>154</v>
      </c>
      <c r="C82" t="s">
        <v>259</v>
      </c>
      <c r="D82" s="57" t="s">
        <v>166</v>
      </c>
      <c r="E82" s="91" t="s">
        <v>198</v>
      </c>
      <c r="F82" s="67">
        <v>26.135629493696086</v>
      </c>
      <c r="G82" s="67">
        <v>0.20884748333440972</v>
      </c>
      <c r="H82" s="67">
        <v>8.1142610467243319</v>
      </c>
      <c r="I82" s="67">
        <v>533.333740234375</v>
      </c>
      <c r="J82" s="67">
        <v>3.8496478978523259</v>
      </c>
      <c r="K82" s="67">
        <f t="shared" si="56"/>
        <v>125.14218067855442</v>
      </c>
      <c r="L82" s="82">
        <f t="shared" si="57"/>
        <v>3.2209500462456591</v>
      </c>
    </row>
    <row r="83" spans="1:12" x14ac:dyDescent="0.35">
      <c r="A83" t="s">
        <v>157</v>
      </c>
      <c r="B83" s="41" t="s">
        <v>155</v>
      </c>
      <c r="C83" t="s">
        <v>259</v>
      </c>
      <c r="D83" s="57" t="s">
        <v>166</v>
      </c>
      <c r="E83" s="91" t="s">
        <v>198</v>
      </c>
      <c r="F83" s="67">
        <v>26.054006996451125</v>
      </c>
      <c r="G83" s="67">
        <v>0.24323718696068239</v>
      </c>
      <c r="H83" s="67">
        <v>8.9175172861464151</v>
      </c>
      <c r="I83" s="67">
        <v>518.91162109375</v>
      </c>
      <c r="J83" s="67">
        <v>3.6483280288211146</v>
      </c>
      <c r="K83" s="67">
        <f t="shared" si="56"/>
        <v>107.11358457151775</v>
      </c>
      <c r="L83" s="82">
        <f t="shared" si="57"/>
        <v>2.9216659929470139</v>
      </c>
    </row>
    <row r="84" spans="1:12" x14ac:dyDescent="0.35">
      <c r="A84" t="s">
        <v>156</v>
      </c>
      <c r="B84" s="41" t="s">
        <v>154</v>
      </c>
      <c r="C84" t="s">
        <v>259</v>
      </c>
      <c r="D84" s="57" t="s">
        <v>167</v>
      </c>
      <c r="E84" s="91" t="s">
        <v>198</v>
      </c>
      <c r="F84" s="67">
        <v>24.513939907786945</v>
      </c>
      <c r="G84" s="67">
        <v>0.21839403207956276</v>
      </c>
      <c r="H84" s="67">
        <v>8.4202206588627106</v>
      </c>
      <c r="I84" s="67">
        <v>688.8250732421875</v>
      </c>
      <c r="J84" s="67">
        <v>3.8239773312312657</v>
      </c>
      <c r="K84" s="67">
        <f t="shared" si="56"/>
        <v>112.24638180065431</v>
      </c>
      <c r="L84" s="82">
        <f t="shared" si="57"/>
        <v>2.911317992834876</v>
      </c>
    </row>
    <row r="85" spans="1:12" x14ac:dyDescent="0.35">
      <c r="A85" t="s">
        <v>157</v>
      </c>
      <c r="B85" s="41" t="s">
        <v>155</v>
      </c>
      <c r="C85" t="s">
        <v>259</v>
      </c>
      <c r="D85" s="57" t="s">
        <v>167</v>
      </c>
      <c r="E85" s="91" t="s">
        <v>198</v>
      </c>
      <c r="F85" s="67">
        <v>25.087657589018097</v>
      </c>
      <c r="G85" s="67">
        <v>0.24430762735467332</v>
      </c>
      <c r="H85" s="67">
        <v>8.4739404916518417</v>
      </c>
      <c r="I85" s="67">
        <v>466.52127075195313</v>
      </c>
      <c r="J85" s="67">
        <v>3.4560134737630097</v>
      </c>
      <c r="K85" s="67">
        <f t="shared" si="56"/>
        <v>102.68880206755526</v>
      </c>
      <c r="L85" s="82">
        <f t="shared" si="57"/>
        <v>2.9605657030201438</v>
      </c>
    </row>
    <row r="86" spans="1:12" x14ac:dyDescent="0.35">
      <c r="A86" t="s">
        <v>156</v>
      </c>
      <c r="B86" s="41" t="s">
        <v>154</v>
      </c>
      <c r="C86" t="s">
        <v>260</v>
      </c>
      <c r="D86" s="57" t="s">
        <v>168</v>
      </c>
      <c r="E86" s="91" t="s">
        <v>198</v>
      </c>
      <c r="F86" s="67">
        <v>12.082392749507651</v>
      </c>
      <c r="G86" s="67">
        <v>0.25309341893853898</v>
      </c>
      <c r="H86" s="67">
        <v>9.6903059451457221</v>
      </c>
      <c r="I86" s="67">
        <v>537.13262939453125</v>
      </c>
      <c r="J86" s="67">
        <v>3.8097758731194125</v>
      </c>
      <c r="K86" s="67">
        <f t="shared" si="56"/>
        <v>47.738865752339969</v>
      </c>
      <c r="L86" s="82">
        <f t="shared" si="57"/>
        <v>1.2468535893399966</v>
      </c>
    </row>
    <row r="87" spans="1:12" x14ac:dyDescent="0.35">
      <c r="A87" t="s">
        <v>157</v>
      </c>
      <c r="B87" s="41" t="s">
        <v>155</v>
      </c>
      <c r="C87" t="s">
        <v>260</v>
      </c>
      <c r="D87" s="57" t="s">
        <v>168</v>
      </c>
      <c r="E87" s="91" t="s">
        <v>198</v>
      </c>
      <c r="F87" s="67">
        <v>12.746835417770924</v>
      </c>
      <c r="G87" s="67">
        <v>0.25612614764455199</v>
      </c>
      <c r="H87" s="67">
        <v>10.919754569213209</v>
      </c>
      <c r="I87" s="67">
        <v>616.4149169921875</v>
      </c>
      <c r="J87" s="67">
        <v>4.2322662704155114</v>
      </c>
      <c r="K87" s="67">
        <f t="shared" si="56"/>
        <v>49.767802057682886</v>
      </c>
      <c r="L87" s="82">
        <f t="shared" si="57"/>
        <v>1.1673188565710924</v>
      </c>
    </row>
    <row r="88" spans="1:12" x14ac:dyDescent="0.35">
      <c r="A88" t="s">
        <v>156</v>
      </c>
      <c r="B88" s="41" t="s">
        <v>154</v>
      </c>
      <c r="C88" t="s">
        <v>260</v>
      </c>
      <c r="D88" s="57" t="s">
        <v>169</v>
      </c>
      <c r="E88" s="91" t="s">
        <v>198</v>
      </c>
      <c r="F88" s="67">
        <v>11.296994799692254</v>
      </c>
      <c r="G88" s="67">
        <v>0.28496845202919702</v>
      </c>
      <c r="H88" s="67">
        <v>10.315537413200854</v>
      </c>
      <c r="I88" s="67">
        <v>525.72833251953125</v>
      </c>
      <c r="J88" s="67">
        <v>3.616546630737377</v>
      </c>
      <c r="K88" s="67">
        <f t="shared" si="56"/>
        <v>39.642966508218237</v>
      </c>
      <c r="L88" s="82">
        <f t="shared" si="57"/>
        <v>1.0951436020420442</v>
      </c>
    </row>
    <row r="89" spans="1:12" x14ac:dyDescent="0.35">
      <c r="A89" t="s">
        <v>157</v>
      </c>
      <c r="B89" s="41" t="s">
        <v>155</v>
      </c>
      <c r="C89" t="s">
        <v>260</v>
      </c>
      <c r="D89" s="57" t="s">
        <v>169</v>
      </c>
      <c r="E89" s="91" t="s">
        <v>198</v>
      </c>
      <c r="F89" s="67">
        <v>14.545831298038246</v>
      </c>
      <c r="G89" s="67">
        <v>0.29281229107422874</v>
      </c>
      <c r="H89" s="67">
        <v>10.642740467385636</v>
      </c>
      <c r="I89" s="67">
        <v>688.4520263671875</v>
      </c>
      <c r="J89" s="67">
        <v>3.6334399380682392</v>
      </c>
      <c r="K89" s="67">
        <f t="shared" si="56"/>
        <v>49.676300283278877</v>
      </c>
      <c r="L89" s="82">
        <f t="shared" si="57"/>
        <v>1.3667373871056536</v>
      </c>
    </row>
    <row r="90" spans="1:12" x14ac:dyDescent="0.35">
      <c r="A90" t="s">
        <v>156</v>
      </c>
      <c r="B90" s="41" t="s">
        <v>154</v>
      </c>
      <c r="C90" t="s">
        <v>260</v>
      </c>
      <c r="D90" s="57" t="s">
        <v>170</v>
      </c>
      <c r="E90" s="91" t="s">
        <v>198</v>
      </c>
      <c r="F90" s="67">
        <v>15.657346880251488</v>
      </c>
      <c r="G90" s="67">
        <v>0.3605861788830631</v>
      </c>
      <c r="H90" s="67">
        <v>12.360303023339876</v>
      </c>
      <c r="I90" s="67">
        <v>505.24325561523438</v>
      </c>
      <c r="J90" s="67">
        <v>3.4516102908502337</v>
      </c>
      <c r="K90" s="67">
        <f t="shared" si="56"/>
        <v>43.421927398191023</v>
      </c>
      <c r="L90" s="82">
        <f t="shared" si="57"/>
        <v>1.2667445814787734</v>
      </c>
    </row>
    <row r="91" spans="1:12" x14ac:dyDescent="0.35">
      <c r="A91" t="s">
        <v>157</v>
      </c>
      <c r="B91" s="41" t="s">
        <v>155</v>
      </c>
      <c r="C91" t="s">
        <v>260</v>
      </c>
      <c r="D91" s="57" t="s">
        <v>170</v>
      </c>
      <c r="E91" s="91" t="s">
        <v>198</v>
      </c>
      <c r="F91" s="67">
        <v>14.668543019276157</v>
      </c>
      <c r="G91" s="67">
        <v>0.25713167659269398</v>
      </c>
      <c r="H91" s="67">
        <v>11.714721213084532</v>
      </c>
      <c r="I91" s="67">
        <v>636.60125732421875</v>
      </c>
      <c r="J91" s="67">
        <v>4.5145710196456701</v>
      </c>
      <c r="K91" s="67">
        <f t="shared" si="56"/>
        <v>57.046814354622157</v>
      </c>
      <c r="L91" s="82">
        <f t="shared" si="57"/>
        <v>1.2521461460723804</v>
      </c>
    </row>
    <row r="92" spans="1:12" x14ac:dyDescent="0.35">
      <c r="A92" t="s">
        <v>156</v>
      </c>
      <c r="B92" s="41" t="s">
        <v>154</v>
      </c>
      <c r="C92" t="s">
        <v>260</v>
      </c>
      <c r="D92" s="57" t="s">
        <v>171</v>
      </c>
      <c r="E92" s="91" t="s">
        <v>198</v>
      </c>
      <c r="F92" s="67">
        <v>14.540491904904789</v>
      </c>
      <c r="G92" s="67">
        <v>0.22314554499891234</v>
      </c>
      <c r="H92" s="67">
        <v>10.39335192082291</v>
      </c>
      <c r="I92" s="67">
        <v>531.13970947265625</v>
      </c>
      <c r="J92" s="67">
        <v>4.5993731236132014</v>
      </c>
      <c r="K92" s="67">
        <f t="shared" si="56"/>
        <v>65.1614707565668</v>
      </c>
      <c r="L92" s="82">
        <f t="shared" si="57"/>
        <v>1.3990185279662426</v>
      </c>
    </row>
    <row r="93" spans="1:12" x14ac:dyDescent="0.35">
      <c r="A93" t="s">
        <v>157</v>
      </c>
      <c r="B93" s="41" t="s">
        <v>155</v>
      </c>
      <c r="C93" t="s">
        <v>260</v>
      </c>
      <c r="D93" s="57" t="s">
        <v>171</v>
      </c>
      <c r="E93" s="91" t="s">
        <v>198</v>
      </c>
      <c r="F93" s="67">
        <v>10.944730838249352</v>
      </c>
      <c r="G93" s="67">
        <v>0.25201470909067936</v>
      </c>
      <c r="H93" s="67">
        <v>8.999191340504952</v>
      </c>
      <c r="I93" s="67">
        <v>753.02435302734375</v>
      </c>
      <c r="J93" s="67">
        <v>3.5580357088439012</v>
      </c>
      <c r="K93" s="67">
        <f t="shared" si="56"/>
        <v>43.42893665905526</v>
      </c>
      <c r="L93" s="82">
        <f t="shared" si="57"/>
        <v>1.2161904802476657</v>
      </c>
    </row>
    <row r="94" spans="1:12" x14ac:dyDescent="0.35">
      <c r="A94" t="s">
        <v>156</v>
      </c>
      <c r="B94" s="41" t="s">
        <v>154</v>
      </c>
      <c r="C94" t="s">
        <v>260</v>
      </c>
      <c r="D94" s="57" t="s">
        <v>172</v>
      </c>
      <c r="E94" s="91" t="s">
        <v>198</v>
      </c>
      <c r="F94" s="67">
        <v>11.671102633214234</v>
      </c>
      <c r="G94" s="67">
        <v>0.33079213792832968</v>
      </c>
      <c r="H94" s="67">
        <v>11.369648846084186</v>
      </c>
      <c r="I94" s="67">
        <v>569.3262939453125</v>
      </c>
      <c r="J94" s="67">
        <v>3.4516521334741226</v>
      </c>
      <c r="K94" s="67">
        <f t="shared" si="56"/>
        <v>35.282285444592176</v>
      </c>
      <c r="L94" s="82">
        <f t="shared" si="57"/>
        <v>1.0265139048013669</v>
      </c>
    </row>
    <row r="95" spans="1:12" x14ac:dyDescent="0.35">
      <c r="A95" t="s">
        <v>158</v>
      </c>
      <c r="B95" s="41" t="s">
        <v>155</v>
      </c>
      <c r="C95" t="s">
        <v>260</v>
      </c>
      <c r="D95" s="57" t="s">
        <v>172</v>
      </c>
      <c r="E95" s="91" t="s">
        <v>198</v>
      </c>
      <c r="F95" s="67">
        <v>17.724196444044644</v>
      </c>
      <c r="G95" s="67">
        <v>0.46264975216044929</v>
      </c>
      <c r="H95" s="67">
        <v>14.162896221546099</v>
      </c>
      <c r="I95" s="67">
        <v>679.710693359375</v>
      </c>
      <c r="J95" s="67">
        <v>3.1180727759265601</v>
      </c>
      <c r="K95" s="67">
        <f t="shared" si="56"/>
        <v>38.310182511235418</v>
      </c>
      <c r="L95" s="82">
        <f t="shared" si="57"/>
        <v>1.2514528219927727</v>
      </c>
    </row>
    <row r="96" spans="1:12" x14ac:dyDescent="0.35">
      <c r="A96" t="s">
        <v>156</v>
      </c>
      <c r="B96" s="41" t="s">
        <v>154</v>
      </c>
      <c r="C96" t="s">
        <v>260</v>
      </c>
      <c r="D96" s="57" t="s">
        <v>173</v>
      </c>
      <c r="E96" s="91" t="s">
        <v>198</v>
      </c>
      <c r="F96" s="67">
        <v>15.232847235623998</v>
      </c>
      <c r="G96" s="67">
        <v>0.41637780743557118</v>
      </c>
      <c r="H96" s="67">
        <v>14.43763916212362</v>
      </c>
      <c r="I96" s="67">
        <v>519.0633544921875</v>
      </c>
      <c r="J96" s="67">
        <v>3.5073746136363537</v>
      </c>
      <c r="K96" s="67">
        <f t="shared" si="56"/>
        <v>36.584195803905985</v>
      </c>
      <c r="L96" s="82">
        <f t="shared" si="57"/>
        <v>1.05507881618115</v>
      </c>
    </row>
    <row r="97" spans="1:12" ht="15" thickBot="1" x14ac:dyDescent="0.4">
      <c r="A97" t="s">
        <v>157</v>
      </c>
      <c r="B97" s="76" t="s">
        <v>155</v>
      </c>
      <c r="C97" t="s">
        <v>260</v>
      </c>
      <c r="D97" s="77" t="s">
        <v>173</v>
      </c>
      <c r="E97" s="93" t="s">
        <v>198</v>
      </c>
      <c r="F97" s="67">
        <v>10.42142875910384</v>
      </c>
      <c r="G97" s="67">
        <v>0.21265670452968707</v>
      </c>
      <c r="H97" s="67">
        <v>8.6048972460864608</v>
      </c>
      <c r="I97" s="67">
        <v>644.05059814453125</v>
      </c>
      <c r="J97" s="67">
        <v>4.0060060336291627</v>
      </c>
      <c r="K97" s="86">
        <f t="shared" si="56"/>
        <v>49.005879133469776</v>
      </c>
      <c r="L97" s="87">
        <f t="shared" si="57"/>
        <v>1.2111043817337324</v>
      </c>
    </row>
  </sheetData>
  <phoneticPr fontId="12" type="noConversion"/>
  <conditionalFormatting sqref="F2:F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6:F7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4:F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G7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4:G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:H7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:H9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7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I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25 K74:K9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6:K7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5 L74:L9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L7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3 P2:P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3 O2:O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AB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J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666D-05FE-4836-B9EF-B07CCC165288}">
  <dimension ref="A1:F35"/>
  <sheetViews>
    <sheetView zoomScale="114" workbookViewId="0">
      <selection activeCell="C1" sqref="C1:C1048576"/>
    </sheetView>
  </sheetViews>
  <sheetFormatPr baseColWidth="10" defaultRowHeight="14.5" x14ac:dyDescent="0.35"/>
  <cols>
    <col min="1" max="1" width="8.54296875" bestFit="1" customWidth="1"/>
    <col min="2" max="2" width="10.81640625" bestFit="1" customWidth="1"/>
    <col min="3" max="3" width="10.81640625" customWidth="1"/>
    <col min="4" max="4" width="10.81640625" style="57" bestFit="1" customWidth="1"/>
    <col min="5" max="5" width="13.26953125" bestFit="1" customWidth="1"/>
    <col min="6" max="6" width="12.36328125" bestFit="1" customWidth="1"/>
  </cols>
  <sheetData>
    <row r="1" spans="1:6" x14ac:dyDescent="0.35">
      <c r="A1" t="s">
        <v>160</v>
      </c>
      <c r="B1" t="s">
        <v>159</v>
      </c>
      <c r="C1" t="s">
        <v>258</v>
      </c>
      <c r="D1" s="57" t="s">
        <v>161</v>
      </c>
      <c r="E1" t="s">
        <v>181</v>
      </c>
      <c r="F1" t="s">
        <v>182</v>
      </c>
    </row>
    <row r="2" spans="1:6" x14ac:dyDescent="0.35">
      <c r="A2" t="s">
        <v>156</v>
      </c>
      <c r="B2" t="s">
        <v>154</v>
      </c>
      <c r="C2" t="s">
        <v>259</v>
      </c>
      <c r="D2" s="57" t="s">
        <v>162</v>
      </c>
      <c r="E2" s="56">
        <v>0.44262899999999999</v>
      </c>
      <c r="F2" s="56">
        <v>0.38322499999999998</v>
      </c>
    </row>
    <row r="3" spans="1:6" x14ac:dyDescent="0.35">
      <c r="A3" t="s">
        <v>157</v>
      </c>
      <c r="B3" t="s">
        <v>155</v>
      </c>
      <c r="C3" t="s">
        <v>259</v>
      </c>
      <c r="D3" s="57" t="s">
        <v>162</v>
      </c>
      <c r="E3" s="56">
        <v>0.37486900000000001</v>
      </c>
      <c r="F3" s="56">
        <v>0.34704299999999999</v>
      </c>
    </row>
    <row r="4" spans="1:6" x14ac:dyDescent="0.35">
      <c r="A4" t="s">
        <v>156</v>
      </c>
      <c r="B4" t="s">
        <v>154</v>
      </c>
      <c r="C4" t="s">
        <v>259</v>
      </c>
      <c r="D4" s="57" t="s">
        <v>163</v>
      </c>
      <c r="E4" s="56">
        <v>0.34344400000000003</v>
      </c>
      <c r="F4" s="56">
        <v>0.33775500000000003</v>
      </c>
    </row>
    <row r="5" spans="1:6" x14ac:dyDescent="0.35">
      <c r="A5" t="s">
        <v>157</v>
      </c>
      <c r="B5" t="s">
        <v>155</v>
      </c>
      <c r="C5" t="s">
        <v>259</v>
      </c>
      <c r="D5" s="57" t="s">
        <v>163</v>
      </c>
      <c r="E5" s="56">
        <v>0.55517300000000003</v>
      </c>
      <c r="F5" s="56">
        <v>0.39727000000000001</v>
      </c>
    </row>
    <row r="6" spans="1:6" x14ac:dyDescent="0.35">
      <c r="A6" t="s">
        <v>156</v>
      </c>
      <c r="B6" t="s">
        <v>154</v>
      </c>
      <c r="C6" t="s">
        <v>259</v>
      </c>
      <c r="D6" s="57" t="s">
        <v>164</v>
      </c>
      <c r="E6" s="56">
        <v>0.227217</v>
      </c>
      <c r="F6" s="56">
        <v>0.37243500000000002</v>
      </c>
    </row>
    <row r="7" spans="1:6" x14ac:dyDescent="0.35">
      <c r="A7" t="s">
        <v>157</v>
      </c>
      <c r="B7" t="s">
        <v>155</v>
      </c>
      <c r="C7" t="s">
        <v>259</v>
      </c>
      <c r="D7" s="57" t="s">
        <v>164</v>
      </c>
      <c r="E7" s="56">
        <v>0.322131</v>
      </c>
      <c r="F7" s="56">
        <v>0.43085400000000001</v>
      </c>
    </row>
    <row r="8" spans="1:6" x14ac:dyDescent="0.35">
      <c r="A8" t="s">
        <v>156</v>
      </c>
      <c r="B8" t="s">
        <v>154</v>
      </c>
      <c r="C8" t="s">
        <v>259</v>
      </c>
      <c r="D8" s="57" t="s">
        <v>165</v>
      </c>
      <c r="E8" s="56">
        <v>0.24108199999999999</v>
      </c>
      <c r="F8" s="56">
        <v>0.52705599999999997</v>
      </c>
    </row>
    <row r="9" spans="1:6" x14ac:dyDescent="0.35">
      <c r="A9" t="s">
        <v>157</v>
      </c>
      <c r="B9" t="s">
        <v>155</v>
      </c>
      <c r="C9" t="s">
        <v>259</v>
      </c>
      <c r="D9" s="57" t="s">
        <v>165</v>
      </c>
      <c r="E9" s="56">
        <v>0.45163900000000001</v>
      </c>
      <c r="F9" s="56">
        <v>0.56000099999999997</v>
      </c>
    </row>
    <row r="10" spans="1:6" x14ac:dyDescent="0.35">
      <c r="A10" t="s">
        <v>156</v>
      </c>
      <c r="B10" t="s">
        <v>154</v>
      </c>
      <c r="C10" t="s">
        <v>259</v>
      </c>
      <c r="D10" s="57" t="s">
        <v>166</v>
      </c>
      <c r="E10" s="56">
        <v>0.46334599999999998</v>
      </c>
      <c r="F10" s="56">
        <v>0.35960300000000001</v>
      </c>
    </row>
    <row r="11" spans="1:6" x14ac:dyDescent="0.35">
      <c r="A11" t="s">
        <v>157</v>
      </c>
      <c r="B11" t="s">
        <v>155</v>
      </c>
      <c r="C11" t="s">
        <v>259</v>
      </c>
      <c r="D11" s="57" t="s">
        <v>166</v>
      </c>
      <c r="E11" s="56">
        <v>0.35879699999999998</v>
      </c>
      <c r="F11" s="56">
        <v>0.37311100000000003</v>
      </c>
    </row>
    <row r="12" spans="1:6" x14ac:dyDescent="0.35">
      <c r="A12" t="s">
        <v>156</v>
      </c>
      <c r="B12" t="s">
        <v>154</v>
      </c>
      <c r="C12" t="s">
        <v>259</v>
      </c>
      <c r="D12" s="57" t="s">
        <v>167</v>
      </c>
      <c r="E12" s="56">
        <v>0.46297100000000002</v>
      </c>
      <c r="F12" s="56">
        <v>0.49058299999999999</v>
      </c>
    </row>
    <row r="13" spans="1:6" x14ac:dyDescent="0.35">
      <c r="A13" t="s">
        <v>157</v>
      </c>
      <c r="B13" t="s">
        <v>155</v>
      </c>
      <c r="C13" t="s">
        <v>259</v>
      </c>
      <c r="D13" s="57" t="s">
        <v>167</v>
      </c>
      <c r="E13" s="56">
        <v>0.48458400000000001</v>
      </c>
      <c r="F13" s="56">
        <v>0.46188699999999999</v>
      </c>
    </row>
    <row r="14" spans="1:6" x14ac:dyDescent="0.35">
      <c r="A14" t="s">
        <v>156</v>
      </c>
      <c r="B14" t="s">
        <v>154</v>
      </c>
      <c r="C14" t="s">
        <v>260</v>
      </c>
      <c r="D14" s="57" t="s">
        <v>168</v>
      </c>
      <c r="E14" s="56">
        <v>0.158891</v>
      </c>
      <c r="F14" s="56">
        <v>0.51262300000000005</v>
      </c>
    </row>
    <row r="15" spans="1:6" x14ac:dyDescent="0.35">
      <c r="A15" t="s">
        <v>157</v>
      </c>
      <c r="B15" t="s">
        <v>155</v>
      </c>
      <c r="C15" t="s">
        <v>260</v>
      </c>
      <c r="D15" s="57" t="s">
        <v>168</v>
      </c>
      <c r="E15" s="56">
        <v>0.31785400000000003</v>
      </c>
      <c r="F15" s="56">
        <v>0.51060000000000005</v>
      </c>
    </row>
    <row r="16" spans="1:6" x14ac:dyDescent="0.35">
      <c r="A16" t="s">
        <v>156</v>
      </c>
      <c r="B16" t="s">
        <v>154</v>
      </c>
      <c r="C16" t="s">
        <v>260</v>
      </c>
      <c r="D16" s="57" t="s">
        <v>169</v>
      </c>
      <c r="E16" s="56">
        <v>0.43162800000000001</v>
      </c>
      <c r="F16" s="56">
        <v>0.34761799999999998</v>
      </c>
    </row>
    <row r="17" spans="1:6" x14ac:dyDescent="0.35">
      <c r="A17" t="s">
        <v>157</v>
      </c>
      <c r="B17" t="s">
        <v>155</v>
      </c>
      <c r="C17" t="s">
        <v>260</v>
      </c>
      <c r="D17" s="57" t="s">
        <v>169</v>
      </c>
      <c r="E17" s="56">
        <v>0.32905200000000001</v>
      </c>
      <c r="F17" s="56">
        <v>0.36866500000000002</v>
      </c>
    </row>
    <row r="18" spans="1:6" x14ac:dyDescent="0.35">
      <c r="A18" t="s">
        <v>156</v>
      </c>
      <c r="B18" t="s">
        <v>154</v>
      </c>
      <c r="C18" t="s">
        <v>260</v>
      </c>
      <c r="D18" s="57" t="s">
        <v>170</v>
      </c>
      <c r="E18" s="56">
        <v>0.30114299999999999</v>
      </c>
      <c r="F18" s="56">
        <v>0.243753</v>
      </c>
    </row>
    <row r="19" spans="1:6" x14ac:dyDescent="0.35">
      <c r="A19" t="s">
        <v>157</v>
      </c>
      <c r="B19" t="s">
        <v>155</v>
      </c>
      <c r="C19" t="s">
        <v>260</v>
      </c>
      <c r="D19" s="57" t="s">
        <v>170</v>
      </c>
      <c r="E19" s="56">
        <v>0.31607800000000003</v>
      </c>
      <c r="F19" s="56">
        <v>0.28304099999999999</v>
      </c>
    </row>
    <row r="20" spans="1:6" x14ac:dyDescent="0.35">
      <c r="A20" t="s">
        <v>156</v>
      </c>
      <c r="B20" t="s">
        <v>154</v>
      </c>
      <c r="C20" t="s">
        <v>260</v>
      </c>
      <c r="D20" s="57" t="s">
        <v>171</v>
      </c>
      <c r="E20" s="56">
        <v>0.176677</v>
      </c>
      <c r="F20" s="56">
        <v>0.29219800000000001</v>
      </c>
    </row>
    <row r="21" spans="1:6" x14ac:dyDescent="0.35">
      <c r="A21" t="s">
        <v>157</v>
      </c>
      <c r="B21" t="s">
        <v>155</v>
      </c>
      <c r="C21" t="s">
        <v>260</v>
      </c>
      <c r="D21" s="57" t="s">
        <v>171</v>
      </c>
      <c r="E21" s="56">
        <v>0.344171</v>
      </c>
      <c r="F21" s="56">
        <v>0.33242500000000003</v>
      </c>
    </row>
    <row r="22" spans="1:6" x14ac:dyDescent="0.35">
      <c r="A22" t="s">
        <v>156</v>
      </c>
      <c r="B22" t="s">
        <v>154</v>
      </c>
      <c r="C22" t="s">
        <v>260</v>
      </c>
      <c r="D22" s="57" t="s">
        <v>172</v>
      </c>
      <c r="E22" s="56">
        <v>0.39641999999999999</v>
      </c>
      <c r="F22" s="56">
        <v>0.29578599999999999</v>
      </c>
    </row>
    <row r="23" spans="1:6" x14ac:dyDescent="0.35">
      <c r="A23" t="s">
        <v>158</v>
      </c>
      <c r="B23" t="s">
        <v>155</v>
      </c>
      <c r="C23" t="s">
        <v>260</v>
      </c>
      <c r="D23" s="57" t="s">
        <v>172</v>
      </c>
      <c r="E23" s="56">
        <v>4.7187E-2</v>
      </c>
      <c r="F23" s="56">
        <v>0.16949900000000001</v>
      </c>
    </row>
    <row r="24" spans="1:6" x14ac:dyDescent="0.35">
      <c r="A24" t="s">
        <v>156</v>
      </c>
      <c r="B24" t="s">
        <v>154</v>
      </c>
      <c r="C24" t="s">
        <v>260</v>
      </c>
      <c r="D24" s="57" t="s">
        <v>173</v>
      </c>
      <c r="E24" s="56">
        <v>0.15903100000000001</v>
      </c>
      <c r="F24" s="56">
        <v>0.21058499999999999</v>
      </c>
    </row>
    <row r="25" spans="1:6" x14ac:dyDescent="0.35">
      <c r="A25" t="s">
        <v>157</v>
      </c>
      <c r="B25" t="s">
        <v>155</v>
      </c>
      <c r="C25" t="s">
        <v>260</v>
      </c>
      <c r="D25" s="57" t="s">
        <v>173</v>
      </c>
      <c r="E25" s="56">
        <v>0.285107</v>
      </c>
      <c r="F25" s="56">
        <v>0.26958700000000002</v>
      </c>
    </row>
    <row r="28" spans="1:6" x14ac:dyDescent="0.35">
      <c r="D28" s="57" t="s">
        <v>159</v>
      </c>
      <c r="E28" s="57" t="s">
        <v>174</v>
      </c>
      <c r="F28" s="57" t="s">
        <v>183</v>
      </c>
    </row>
    <row r="29" spans="1:6" x14ac:dyDescent="0.35">
      <c r="D29" s="57" t="s">
        <v>154</v>
      </c>
      <c r="E29" s="56">
        <f>AVERAGE(E2,E4,E6,E8,E10,E12,E14,E16,E18,E20,E22,E24)</f>
        <v>0.3170399166666667</v>
      </c>
      <c r="F29" s="56">
        <f>AVERAGE(F2,F4,F6,F8,F10,F12,F14,F16,F18,F20,F22,F24)</f>
        <v>0.36443500000000001</v>
      </c>
    </row>
    <row r="30" spans="1:6" x14ac:dyDescent="0.35">
      <c r="D30" s="57" t="s">
        <v>155</v>
      </c>
      <c r="E30" s="56">
        <f>AVERAGE(E3,E5,E7,E9,E11,E13,E15,E17,E19,E21,E23,E25)</f>
        <v>0.34888683333333331</v>
      </c>
      <c r="F30" s="56">
        <f>AVERAGE(F3,F5,F7,F9,F11,F13,F15,F17,F19,F21,F23,F25)</f>
        <v>0.37533191666666665</v>
      </c>
    </row>
    <row r="33" spans="4:5" x14ac:dyDescent="0.35">
      <c r="D33" s="57" t="s">
        <v>184</v>
      </c>
      <c r="E33" t="s">
        <v>186</v>
      </c>
    </row>
    <row r="34" spans="4:5" x14ac:dyDescent="0.35">
      <c r="D34" s="57" t="s">
        <v>180</v>
      </c>
      <c r="E34" s="58">
        <f>AVERAGE(F2:F13)</f>
        <v>0.4200685833333333</v>
      </c>
    </row>
    <row r="35" spans="4:5" x14ac:dyDescent="0.35">
      <c r="D35" s="57" t="s">
        <v>185</v>
      </c>
      <c r="E35" s="58">
        <f>AVERAGE(F14:F25)</f>
        <v>0.31969833333333336</v>
      </c>
    </row>
  </sheetData>
  <conditionalFormatting sqref="E2:E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E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F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E77A-3ADF-4A13-A1D6-CC75E9461C45}">
  <dimension ref="A1:J39"/>
  <sheetViews>
    <sheetView workbookViewId="0">
      <selection activeCell="J25" sqref="E2:J25"/>
    </sheetView>
  </sheetViews>
  <sheetFormatPr baseColWidth="10" defaultRowHeight="14.5" x14ac:dyDescent="0.35"/>
  <cols>
    <col min="1" max="1" width="8.54296875" bestFit="1" customWidth="1"/>
    <col min="2" max="2" width="10.81640625" bestFit="1" customWidth="1"/>
    <col min="3" max="3" width="10.81640625" style="57" bestFit="1" customWidth="1"/>
    <col min="4" max="4" width="9.6328125" bestFit="1" customWidth="1"/>
    <col min="5" max="5" width="13.26953125" bestFit="1" customWidth="1"/>
    <col min="6" max="6" width="15.1796875" bestFit="1" customWidth="1"/>
    <col min="7" max="7" width="19.36328125" bestFit="1" customWidth="1"/>
    <col min="8" max="8" width="12.6328125" bestFit="1" customWidth="1"/>
  </cols>
  <sheetData>
    <row r="1" spans="1:10" ht="15" thickBot="1" x14ac:dyDescent="0.4">
      <c r="A1" t="s">
        <v>160</v>
      </c>
      <c r="B1" t="s">
        <v>159</v>
      </c>
      <c r="C1" s="57" t="s">
        <v>261</v>
      </c>
      <c r="D1" s="57" t="s">
        <v>161</v>
      </c>
      <c r="E1" t="s">
        <v>176</v>
      </c>
      <c r="F1" t="s">
        <v>187</v>
      </c>
      <c r="G1" t="s">
        <v>189</v>
      </c>
      <c r="H1" t="s">
        <v>220</v>
      </c>
      <c r="I1" t="s">
        <v>229</v>
      </c>
      <c r="J1" t="s">
        <v>240</v>
      </c>
    </row>
    <row r="2" spans="1:10" x14ac:dyDescent="0.35">
      <c r="A2" t="s">
        <v>156</v>
      </c>
      <c r="B2" t="s">
        <v>154</v>
      </c>
      <c r="C2" t="s">
        <v>259</v>
      </c>
      <c r="D2" s="57" t="s">
        <v>162</v>
      </c>
      <c r="E2" s="59">
        <v>-0.89800000000000002</v>
      </c>
      <c r="F2" s="62">
        <v>-0.59499999999999997</v>
      </c>
      <c r="G2">
        <v>-0.52200000000000002</v>
      </c>
      <c r="H2">
        <v>-0.64300000000000002</v>
      </c>
      <c r="I2">
        <v>-0.63600000000000001</v>
      </c>
      <c r="J2">
        <v>-0.504</v>
      </c>
    </row>
    <row r="3" spans="1:10" x14ac:dyDescent="0.35">
      <c r="A3" t="s">
        <v>157</v>
      </c>
      <c r="B3" t="s">
        <v>155</v>
      </c>
      <c r="C3" t="s">
        <v>259</v>
      </c>
      <c r="D3" s="57" t="s">
        <v>162</v>
      </c>
      <c r="E3" s="60">
        <v>-0.878</v>
      </c>
      <c r="F3" s="63">
        <v>-0.60199999999999998</v>
      </c>
      <c r="G3">
        <v>-0.58799999999999997</v>
      </c>
      <c r="H3">
        <v>-0.93799999999999994</v>
      </c>
      <c r="I3">
        <v>-0.84299999999999997</v>
      </c>
      <c r="J3">
        <v>-0.58599999999999997</v>
      </c>
    </row>
    <row r="4" spans="1:10" x14ac:dyDescent="0.35">
      <c r="A4" t="s">
        <v>156</v>
      </c>
      <c r="B4" t="s">
        <v>154</v>
      </c>
      <c r="C4" t="s">
        <v>259</v>
      </c>
      <c r="D4" s="57" t="s">
        <v>163</v>
      </c>
      <c r="E4" s="60">
        <v>-0.79300000000000004</v>
      </c>
      <c r="F4" s="63">
        <v>-0.38300000000000001</v>
      </c>
      <c r="G4">
        <v>-0.57799999999999996</v>
      </c>
      <c r="H4">
        <v>-0.79600000000000004</v>
      </c>
      <c r="I4">
        <v>-0.72399999999999998</v>
      </c>
      <c r="J4">
        <v>-0.61399999999999999</v>
      </c>
    </row>
    <row r="5" spans="1:10" x14ac:dyDescent="0.35">
      <c r="A5" t="s">
        <v>157</v>
      </c>
      <c r="B5" t="s">
        <v>155</v>
      </c>
      <c r="C5" t="s">
        <v>259</v>
      </c>
      <c r="D5" s="57" t="s">
        <v>163</v>
      </c>
      <c r="E5" s="60">
        <v>-0.84799999999999998</v>
      </c>
      <c r="F5" s="63">
        <v>-0.73799999999999999</v>
      </c>
      <c r="G5">
        <v>-0.623</v>
      </c>
      <c r="H5">
        <v>-0.68500000000000005</v>
      </c>
      <c r="I5">
        <v>-0.64300000000000002</v>
      </c>
      <c r="J5">
        <v>-0.47299999999999998</v>
      </c>
    </row>
    <row r="6" spans="1:10" x14ac:dyDescent="0.35">
      <c r="A6" t="s">
        <v>156</v>
      </c>
      <c r="B6" t="s">
        <v>154</v>
      </c>
      <c r="C6" t="s">
        <v>259</v>
      </c>
      <c r="D6" s="57" t="s">
        <v>164</v>
      </c>
      <c r="E6" s="60">
        <v>-0.76200000000000001</v>
      </c>
      <c r="F6" s="63">
        <v>-0.68400000000000005</v>
      </c>
      <c r="G6">
        <v>-0.65800000000000003</v>
      </c>
      <c r="H6">
        <v>-0.65600000000000003</v>
      </c>
      <c r="I6">
        <v>-0.504</v>
      </c>
      <c r="J6">
        <v>-0.46800000000000003</v>
      </c>
    </row>
    <row r="7" spans="1:10" x14ac:dyDescent="0.35">
      <c r="A7" t="s">
        <v>157</v>
      </c>
      <c r="B7" t="s">
        <v>155</v>
      </c>
      <c r="C7" t="s">
        <v>259</v>
      </c>
      <c r="D7" s="57" t="s">
        <v>164</v>
      </c>
      <c r="E7" s="60">
        <v>-0.86799999999999999</v>
      </c>
      <c r="F7" s="63">
        <v>-0.84799999999999998</v>
      </c>
      <c r="G7">
        <v>-0.64800000000000002</v>
      </c>
      <c r="H7">
        <v>-0.85799999999999998</v>
      </c>
      <c r="I7">
        <v>-0.76800000000000002</v>
      </c>
      <c r="J7">
        <v>-0.69699999999999995</v>
      </c>
    </row>
    <row r="8" spans="1:10" x14ac:dyDescent="0.35">
      <c r="A8" t="s">
        <v>156</v>
      </c>
      <c r="B8" t="s">
        <v>154</v>
      </c>
      <c r="C8" t="s">
        <v>259</v>
      </c>
      <c r="D8" s="57" t="s">
        <v>165</v>
      </c>
      <c r="E8" s="60">
        <v>-0.90400000000000003</v>
      </c>
      <c r="F8" s="63">
        <v>-0.59199999999999997</v>
      </c>
      <c r="G8">
        <v>-0.64500000000000002</v>
      </c>
      <c r="H8">
        <v>-0.66800000000000004</v>
      </c>
      <c r="I8">
        <v>-0.51600000000000001</v>
      </c>
      <c r="J8">
        <v>-0.66400000000000003</v>
      </c>
    </row>
    <row r="9" spans="1:10" x14ac:dyDescent="0.35">
      <c r="A9" t="s">
        <v>157</v>
      </c>
      <c r="B9" t="s">
        <v>155</v>
      </c>
      <c r="C9" t="s">
        <v>259</v>
      </c>
      <c r="D9" s="57" t="s">
        <v>165</v>
      </c>
      <c r="E9" s="60">
        <v>-1.228</v>
      </c>
      <c r="F9" s="63">
        <v>-0.61099999999999999</v>
      </c>
      <c r="G9">
        <v>-0.84099999999999997</v>
      </c>
      <c r="H9">
        <v>-0.79800000000000004</v>
      </c>
      <c r="I9">
        <v>-0.51</v>
      </c>
      <c r="J9">
        <v>-0.75800000000000001</v>
      </c>
    </row>
    <row r="10" spans="1:10" x14ac:dyDescent="0.35">
      <c r="A10" t="s">
        <v>156</v>
      </c>
      <c r="B10" t="s">
        <v>154</v>
      </c>
      <c r="C10" t="s">
        <v>259</v>
      </c>
      <c r="D10" s="57" t="s">
        <v>166</v>
      </c>
      <c r="E10" s="60">
        <v>-1.038</v>
      </c>
      <c r="F10" s="63">
        <v>-0.66700000000000004</v>
      </c>
      <c r="G10">
        <v>-0.70399999999999996</v>
      </c>
      <c r="H10">
        <v>-0.79400000000000004</v>
      </c>
      <c r="I10">
        <v>-0.88200000000000001</v>
      </c>
      <c r="J10">
        <v>-0.67100000000000004</v>
      </c>
    </row>
    <row r="11" spans="1:10" x14ac:dyDescent="0.35">
      <c r="A11" t="s">
        <v>157</v>
      </c>
      <c r="B11" t="s">
        <v>155</v>
      </c>
      <c r="C11" t="s">
        <v>259</v>
      </c>
      <c r="D11" s="57" t="s">
        <v>166</v>
      </c>
      <c r="E11" s="60">
        <v>-0.91400000000000003</v>
      </c>
      <c r="F11" s="63">
        <v>-0.63600000000000001</v>
      </c>
      <c r="G11">
        <v>-0.82</v>
      </c>
      <c r="H11">
        <v>-0.875</v>
      </c>
      <c r="I11">
        <v>-0.78100000000000003</v>
      </c>
      <c r="J11">
        <v>-0.72199999999999998</v>
      </c>
    </row>
    <row r="12" spans="1:10" x14ac:dyDescent="0.35">
      <c r="A12" t="s">
        <v>156</v>
      </c>
      <c r="B12" t="s">
        <v>154</v>
      </c>
      <c r="C12" t="s">
        <v>259</v>
      </c>
      <c r="D12" s="57" t="s">
        <v>167</v>
      </c>
      <c r="E12" s="60">
        <v>-0.80800000000000005</v>
      </c>
      <c r="F12" s="63">
        <v>-0.71499999999999997</v>
      </c>
      <c r="G12">
        <v>-0.82699999999999996</v>
      </c>
      <c r="H12">
        <v>-0.751</v>
      </c>
      <c r="I12">
        <v>-0.82599999999999996</v>
      </c>
      <c r="J12">
        <v>-0.622</v>
      </c>
    </row>
    <row r="13" spans="1:10" x14ac:dyDescent="0.35">
      <c r="A13" t="s">
        <v>157</v>
      </c>
      <c r="B13" t="s">
        <v>155</v>
      </c>
      <c r="C13" t="s">
        <v>259</v>
      </c>
      <c r="D13" s="57" t="s">
        <v>167</v>
      </c>
      <c r="E13" s="60">
        <v>-0.97799999999999998</v>
      </c>
      <c r="F13" s="63">
        <v>-0.64600000000000002</v>
      </c>
      <c r="G13">
        <v>-0.77600000000000002</v>
      </c>
      <c r="H13">
        <v>-1.0609999999999999</v>
      </c>
      <c r="I13">
        <v>-0.503</v>
      </c>
      <c r="J13">
        <v>-0.67600000000000005</v>
      </c>
    </row>
    <row r="14" spans="1:10" x14ac:dyDescent="0.35">
      <c r="A14" t="s">
        <v>156</v>
      </c>
      <c r="B14" t="s">
        <v>154</v>
      </c>
      <c r="C14" t="s">
        <v>260</v>
      </c>
      <c r="D14" s="57" t="s">
        <v>168</v>
      </c>
      <c r="E14" s="60">
        <v>-0.98499999999999999</v>
      </c>
      <c r="F14" s="63">
        <v>-1.1850000000000001</v>
      </c>
      <c r="G14">
        <v>-0.499</v>
      </c>
      <c r="H14">
        <v>-1.32</v>
      </c>
      <c r="I14">
        <v>-0.92700000000000005</v>
      </c>
      <c r="J14">
        <v>-0.57799999999999996</v>
      </c>
    </row>
    <row r="15" spans="1:10" x14ac:dyDescent="0.35">
      <c r="A15" t="s">
        <v>157</v>
      </c>
      <c r="B15" t="s">
        <v>155</v>
      </c>
      <c r="C15" t="s">
        <v>260</v>
      </c>
      <c r="D15" s="57" t="s">
        <v>168</v>
      </c>
      <c r="E15" s="60">
        <v>-0.96499999999999997</v>
      </c>
      <c r="F15" s="63">
        <v>-0.82799999999999996</v>
      </c>
      <c r="G15">
        <v>-0.74299999999999999</v>
      </c>
      <c r="H15">
        <v>-1.3129999999999999</v>
      </c>
      <c r="I15">
        <v>-0.621</v>
      </c>
      <c r="J15">
        <v>-0.72399999999999998</v>
      </c>
    </row>
    <row r="16" spans="1:10" x14ac:dyDescent="0.35">
      <c r="A16" t="s">
        <v>156</v>
      </c>
      <c r="B16" t="s">
        <v>154</v>
      </c>
      <c r="C16" t="s">
        <v>260</v>
      </c>
      <c r="D16" s="57" t="s">
        <v>169</v>
      </c>
      <c r="E16" s="60">
        <v>-1.099</v>
      </c>
      <c r="F16" s="63">
        <v>-0.64600000000000002</v>
      </c>
      <c r="G16">
        <v>-0.53800000000000003</v>
      </c>
      <c r="H16">
        <v>-1.3560000000000001</v>
      </c>
      <c r="I16">
        <v>-0.84699999999999998</v>
      </c>
      <c r="J16">
        <v>-0.59799999999999998</v>
      </c>
    </row>
    <row r="17" spans="1:10" x14ac:dyDescent="0.35">
      <c r="A17" t="s">
        <v>157</v>
      </c>
      <c r="B17" t="s">
        <v>155</v>
      </c>
      <c r="C17" t="s">
        <v>260</v>
      </c>
      <c r="D17" s="57" t="s">
        <v>169</v>
      </c>
      <c r="E17" s="60">
        <v>-1.1579999999999999</v>
      </c>
      <c r="F17" s="63">
        <v>-0.84399999999999997</v>
      </c>
      <c r="G17">
        <v>-0.67400000000000004</v>
      </c>
      <c r="H17">
        <v>-1.3220000000000001</v>
      </c>
      <c r="I17">
        <v>-0.86499999999999999</v>
      </c>
      <c r="J17">
        <v>-0.65400000000000003</v>
      </c>
    </row>
    <row r="18" spans="1:10" x14ac:dyDescent="0.35">
      <c r="A18" t="s">
        <v>156</v>
      </c>
      <c r="B18" t="s">
        <v>154</v>
      </c>
      <c r="C18" t="s">
        <v>260</v>
      </c>
      <c r="D18" s="57" t="s">
        <v>170</v>
      </c>
      <c r="E18" s="60">
        <v>-1.05</v>
      </c>
      <c r="F18" s="63">
        <v>-0.503</v>
      </c>
      <c r="G18">
        <v>-0.69599999999999995</v>
      </c>
      <c r="H18">
        <v>-1.788</v>
      </c>
      <c r="I18">
        <v>-0.86299999999999999</v>
      </c>
      <c r="J18">
        <v>-0.69599999999999995</v>
      </c>
    </row>
    <row r="19" spans="1:10" x14ac:dyDescent="0.35">
      <c r="A19" t="s">
        <v>157</v>
      </c>
      <c r="B19" t="s">
        <v>155</v>
      </c>
      <c r="C19" t="s">
        <v>260</v>
      </c>
      <c r="D19" s="57" t="s">
        <v>170</v>
      </c>
      <c r="E19" s="60">
        <v>-1.073</v>
      </c>
      <c r="F19" s="63">
        <v>-0.78400000000000003</v>
      </c>
      <c r="G19">
        <v>-0.628</v>
      </c>
      <c r="H19">
        <v>-1.875</v>
      </c>
      <c r="I19">
        <v>-0.69399999999999995</v>
      </c>
      <c r="J19">
        <v>-0.52300000000000002</v>
      </c>
    </row>
    <row r="20" spans="1:10" x14ac:dyDescent="0.35">
      <c r="A20" t="s">
        <v>156</v>
      </c>
      <c r="B20" t="s">
        <v>154</v>
      </c>
      <c r="C20" t="s">
        <v>260</v>
      </c>
      <c r="D20" s="57" t="s">
        <v>171</v>
      </c>
      <c r="E20" s="60">
        <v>-1.0149999999999999</v>
      </c>
      <c r="F20" s="63">
        <v>-0.878</v>
      </c>
      <c r="G20">
        <v>-1.1279999999999999</v>
      </c>
      <c r="H20">
        <v>-1.3140000000000001</v>
      </c>
      <c r="I20">
        <v>-0.88100000000000001</v>
      </c>
      <c r="J20">
        <v>-0.80400000000000005</v>
      </c>
    </row>
    <row r="21" spans="1:10" x14ac:dyDescent="0.35">
      <c r="A21" t="s">
        <v>157</v>
      </c>
      <c r="B21" t="s">
        <v>155</v>
      </c>
      <c r="C21" t="s">
        <v>260</v>
      </c>
      <c r="D21" s="57" t="s">
        <v>171</v>
      </c>
      <c r="E21" s="60">
        <v>-1.1639999999999999</v>
      </c>
      <c r="F21" s="63">
        <v>-0.81100000000000005</v>
      </c>
      <c r="G21">
        <v>-0.66</v>
      </c>
      <c r="H21">
        <v>-1.4079999999999999</v>
      </c>
      <c r="I21">
        <v>-0.71399999999999997</v>
      </c>
      <c r="J21">
        <v>-0.60299999999999998</v>
      </c>
    </row>
    <row r="22" spans="1:10" x14ac:dyDescent="0.35">
      <c r="A22" t="s">
        <v>156</v>
      </c>
      <c r="B22" t="s">
        <v>154</v>
      </c>
      <c r="C22" t="s">
        <v>260</v>
      </c>
      <c r="D22" s="57" t="s">
        <v>172</v>
      </c>
      <c r="E22" s="60">
        <v>-0.89400000000000002</v>
      </c>
      <c r="F22" s="63">
        <v>-0.66100000000000003</v>
      </c>
      <c r="G22">
        <v>-0.77800000000000002</v>
      </c>
      <c r="H22">
        <v>-1.296</v>
      </c>
      <c r="I22">
        <v>-0.82399999999999995</v>
      </c>
      <c r="J22">
        <v>-0.61699999999999999</v>
      </c>
    </row>
    <row r="23" spans="1:10" x14ac:dyDescent="0.35">
      <c r="A23" t="s">
        <v>158</v>
      </c>
      <c r="B23" t="s">
        <v>155</v>
      </c>
      <c r="C23" t="s">
        <v>260</v>
      </c>
      <c r="D23" s="57" t="s">
        <v>172</v>
      </c>
      <c r="E23" s="60">
        <v>-0.97799999999999998</v>
      </c>
      <c r="F23" s="63">
        <v>-0.94699999999999995</v>
      </c>
      <c r="G23">
        <v>-0.78700000000000003</v>
      </c>
      <c r="H23">
        <v>-1.373</v>
      </c>
      <c r="I23">
        <v>-0.997</v>
      </c>
      <c r="J23">
        <v>-0.747</v>
      </c>
    </row>
    <row r="24" spans="1:10" x14ac:dyDescent="0.35">
      <c r="A24" t="s">
        <v>156</v>
      </c>
      <c r="B24" t="s">
        <v>154</v>
      </c>
      <c r="C24" t="s">
        <v>260</v>
      </c>
      <c r="D24" s="57" t="s">
        <v>173</v>
      </c>
      <c r="E24" s="60">
        <v>-1.016</v>
      </c>
      <c r="F24" s="63">
        <v>-0.81299999999999994</v>
      </c>
      <c r="G24">
        <v>-0.83</v>
      </c>
      <c r="H24">
        <v>-1.3089999999999999</v>
      </c>
      <c r="I24">
        <v>-1.1639999999999999</v>
      </c>
      <c r="J24">
        <v>-0.59399999999999997</v>
      </c>
    </row>
    <row r="25" spans="1:10" ht="15" thickBot="1" x14ac:dyDescent="0.4">
      <c r="A25" t="s">
        <v>157</v>
      </c>
      <c r="B25" t="s">
        <v>155</v>
      </c>
      <c r="C25" t="s">
        <v>260</v>
      </c>
      <c r="D25" s="57" t="s">
        <v>173</v>
      </c>
      <c r="E25" s="61">
        <v>-1.0049999999999999</v>
      </c>
      <c r="F25" s="64">
        <v>-0.77700000000000002</v>
      </c>
      <c r="G25">
        <v>-0.79</v>
      </c>
      <c r="H25">
        <v>-1.4550000000000001</v>
      </c>
      <c r="I25">
        <v>-1.075</v>
      </c>
      <c r="J25">
        <v>-0.625</v>
      </c>
    </row>
    <row r="28" spans="1:10" x14ac:dyDescent="0.35">
      <c r="C28" s="57" t="s">
        <v>159</v>
      </c>
      <c r="D28" s="57" t="s">
        <v>175</v>
      </c>
      <c r="E28" s="57" t="s">
        <v>188</v>
      </c>
      <c r="F28" s="57" t="s">
        <v>200</v>
      </c>
      <c r="G28" t="s">
        <v>220</v>
      </c>
      <c r="H28" t="s">
        <v>229</v>
      </c>
    </row>
    <row r="29" spans="1:10" x14ac:dyDescent="0.35">
      <c r="C29" s="57" t="s">
        <v>154</v>
      </c>
      <c r="D29" s="56">
        <f>AVERAGE(E2,E4,E6,E8,E10,E12,E14,E16,E18,E20,E22,E24)</f>
        <v>-0.93850000000000022</v>
      </c>
      <c r="E29" s="56">
        <f>AVERAGE(F2,F4,F6,F8,F10,F12,F14,F16,F18,F20,F22,F24)</f>
        <v>-0.69350000000000012</v>
      </c>
      <c r="F29" s="56">
        <f>AVERAGE(G2,G4,G6,G8,G10,G12,G14,G16,G18,G22,G24)</f>
        <v>-0.66136363636363638</v>
      </c>
      <c r="G29" s="56">
        <f>AVERAGE(H2,H4,H6,H8,H10,H12,H14,H16,H18,H20,H22,H24)</f>
        <v>-1.0575833333333333</v>
      </c>
      <c r="H29" s="56">
        <f>AVERAGE(I2,I4,I6,I8,I10,I12,I14,I16,I18,I20,I22,I24)</f>
        <v>-0.79949999999999999</v>
      </c>
    </row>
    <row r="30" spans="1:10" x14ac:dyDescent="0.35">
      <c r="C30" s="57" t="s">
        <v>155</v>
      </c>
      <c r="D30" s="56">
        <f>AVERAGE(E3,E5,E7,E9,E11,E13,E15,E17,E19,E21,E23,E25)</f>
        <v>-1.0047499999999998</v>
      </c>
      <c r="E30" s="56">
        <f>AVERAGE(F3,F5,F7,F9,F11,F13,F15,F17,F19,F21,F23,F25)</f>
        <v>-0.75599999999999989</v>
      </c>
      <c r="F30" s="56">
        <f>AVERAGE(G3,G5,G7,G9,G11,G13,G15,G17,G19,G21,G23,G25)</f>
        <v>-0.71483333333333343</v>
      </c>
      <c r="G30" s="56">
        <f>AVERAGE(H3,H5,H7,H9,H11,H13,H15,H17,H19,H21,H23,H25)</f>
        <v>-1.1634166666666665</v>
      </c>
      <c r="H30" s="56">
        <f>AVERAGE(I3,I5,I7,I9,I11,I13,I15,I17,I19,I21,I23,I25)</f>
        <v>-0.75116666666666665</v>
      </c>
    </row>
    <row r="33" spans="3:4" x14ac:dyDescent="0.35">
      <c r="C33" s="57" t="s">
        <v>184</v>
      </c>
    </row>
    <row r="34" spans="3:4" x14ac:dyDescent="0.35">
      <c r="C34" s="57" t="s">
        <v>180</v>
      </c>
      <c r="D34" s="58" t="e">
        <f>AVERAGE(D2:D25)</f>
        <v>#DIV/0!</v>
      </c>
    </row>
    <row r="35" spans="3:4" x14ac:dyDescent="0.35">
      <c r="C35" s="57" t="s">
        <v>185</v>
      </c>
      <c r="D35" s="58">
        <f>AVERAGE(E14:E25)</f>
        <v>-1.0335000000000001</v>
      </c>
    </row>
    <row r="36" spans="3:4" x14ac:dyDescent="0.35">
      <c r="C36" s="57" t="s">
        <v>199</v>
      </c>
      <c r="D36" s="58">
        <f>AVERAGE(F2:F25)</f>
        <v>-0.72474999999999989</v>
      </c>
    </row>
    <row r="37" spans="3:4" x14ac:dyDescent="0.35">
      <c r="C37" s="57" t="s">
        <v>221</v>
      </c>
      <c r="D37" s="58">
        <f>AVERAGE(G2:G25)</f>
        <v>-0.70754166666666674</v>
      </c>
    </row>
    <row r="38" spans="3:4" x14ac:dyDescent="0.35">
      <c r="C38" s="57" t="s">
        <v>197</v>
      </c>
      <c r="D38" s="58">
        <f>AVERAGE(H2:H25)</f>
        <v>-1.1105</v>
      </c>
    </row>
    <row r="39" spans="3:4" x14ac:dyDescent="0.35">
      <c r="C39" s="57" t="s">
        <v>198</v>
      </c>
      <c r="D39" s="58">
        <f>AVERAGE(I2:I25)</f>
        <v>-0.77533333333333332</v>
      </c>
    </row>
  </sheetData>
  <conditionalFormatting sqref="E2:E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D35 D37:D3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D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H3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E30 H29:H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:F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15DB-00A4-44DE-9F24-EF8FBBC26A5C}">
  <dimension ref="A1:H39"/>
  <sheetViews>
    <sheetView topLeftCell="A8" workbookViewId="0">
      <selection activeCell="E2" sqref="E2:H25"/>
    </sheetView>
  </sheetViews>
  <sheetFormatPr baseColWidth="10" defaultRowHeight="14.5" x14ac:dyDescent="0.35"/>
  <cols>
    <col min="1" max="1" width="8.54296875" bestFit="1" customWidth="1"/>
    <col min="2" max="2" width="10.81640625" bestFit="1" customWidth="1"/>
    <col min="3" max="4" width="10.81640625" style="57" bestFit="1" customWidth="1"/>
    <col min="5" max="5" width="14.6328125" bestFit="1" customWidth="1"/>
    <col min="6" max="6" width="18.90625" bestFit="1" customWidth="1"/>
    <col min="7" max="7" width="12.08984375" bestFit="1" customWidth="1"/>
  </cols>
  <sheetData>
    <row r="1" spans="1:8" x14ac:dyDescent="0.35">
      <c r="A1" t="s">
        <v>160</v>
      </c>
      <c r="B1" t="s">
        <v>159</v>
      </c>
      <c r="C1" s="57" t="s">
        <v>261</v>
      </c>
      <c r="D1" s="57" t="s">
        <v>161</v>
      </c>
      <c r="E1" t="s">
        <v>195</v>
      </c>
      <c r="F1" t="s">
        <v>223</v>
      </c>
      <c r="G1" t="s">
        <v>222</v>
      </c>
      <c r="H1" t="s">
        <v>234</v>
      </c>
    </row>
    <row r="2" spans="1:8" x14ac:dyDescent="0.35">
      <c r="A2" t="s">
        <v>156</v>
      </c>
      <c r="B2" t="s">
        <v>154</v>
      </c>
      <c r="C2" t="s">
        <v>259</v>
      </c>
      <c r="D2" s="57" t="s">
        <v>162</v>
      </c>
      <c r="E2">
        <v>-0.13100000000000001</v>
      </c>
      <c r="F2">
        <v>-0.13400000000000001</v>
      </c>
      <c r="G2">
        <v>-0.14299999999999999</v>
      </c>
      <c r="H2">
        <v>-0.252</v>
      </c>
    </row>
    <row r="3" spans="1:8" x14ac:dyDescent="0.35">
      <c r="A3" t="s">
        <v>157</v>
      </c>
      <c r="B3" t="s">
        <v>155</v>
      </c>
      <c r="C3" t="s">
        <v>259</v>
      </c>
      <c r="D3" s="57" t="s">
        <v>162</v>
      </c>
      <c r="E3">
        <v>-0.216</v>
      </c>
      <c r="F3">
        <v>-0.161</v>
      </c>
      <c r="G3">
        <v>-0.31</v>
      </c>
      <c r="H3">
        <v>-0.151</v>
      </c>
    </row>
    <row r="4" spans="1:8" x14ac:dyDescent="0.35">
      <c r="A4" t="s">
        <v>156</v>
      </c>
      <c r="B4" t="s">
        <v>154</v>
      </c>
      <c r="C4" t="s">
        <v>259</v>
      </c>
      <c r="D4" s="57" t="s">
        <v>163</v>
      </c>
      <c r="E4">
        <v>-0.192</v>
      </c>
      <c r="F4">
        <v>-0.17799999999999999</v>
      </c>
      <c r="G4">
        <v>-0.20499999999999999</v>
      </c>
      <c r="H4">
        <v>-0.16300000000000001</v>
      </c>
    </row>
    <row r="5" spans="1:8" x14ac:dyDescent="0.35">
      <c r="A5" t="s">
        <v>157</v>
      </c>
      <c r="B5" t="s">
        <v>155</v>
      </c>
      <c r="C5" t="s">
        <v>259</v>
      </c>
      <c r="D5" s="57" t="s">
        <v>163</v>
      </c>
      <c r="E5">
        <v>-0.27600000000000002</v>
      </c>
      <c r="F5">
        <v>-0.309</v>
      </c>
      <c r="G5">
        <v>-0.51800000000000002</v>
      </c>
      <c r="H5">
        <v>-0.17599999999999999</v>
      </c>
    </row>
    <row r="6" spans="1:8" x14ac:dyDescent="0.35">
      <c r="A6" t="s">
        <v>156</v>
      </c>
      <c r="B6" t="s">
        <v>154</v>
      </c>
      <c r="C6" t="s">
        <v>259</v>
      </c>
      <c r="D6" s="57" t="s">
        <v>164</v>
      </c>
      <c r="E6">
        <v>-0.20300000000000001</v>
      </c>
      <c r="F6">
        <v>-0.248</v>
      </c>
      <c r="G6">
        <v>-0.30099999999999999</v>
      </c>
      <c r="H6">
        <v>-0.26600000000000001</v>
      </c>
    </row>
    <row r="7" spans="1:8" x14ac:dyDescent="0.35">
      <c r="A7" t="s">
        <v>157</v>
      </c>
      <c r="B7" t="s">
        <v>155</v>
      </c>
      <c r="C7" t="s">
        <v>259</v>
      </c>
      <c r="D7" s="57" t="s">
        <v>164</v>
      </c>
      <c r="E7">
        <v>-0.45800000000000002</v>
      </c>
      <c r="F7">
        <v>-0.36799999999999999</v>
      </c>
      <c r="G7">
        <v>-0.50900000000000001</v>
      </c>
      <c r="H7">
        <v>-0.20899999999999999</v>
      </c>
    </row>
    <row r="8" spans="1:8" x14ac:dyDescent="0.35">
      <c r="A8" t="s">
        <v>156</v>
      </c>
      <c r="B8" t="s">
        <v>154</v>
      </c>
      <c r="C8" t="s">
        <v>259</v>
      </c>
      <c r="D8" s="57" t="s">
        <v>165</v>
      </c>
      <c r="E8">
        <v>-0.27300000000000002</v>
      </c>
      <c r="F8">
        <v>-0.17399999999999999</v>
      </c>
      <c r="G8">
        <v>-0.28499999999999998</v>
      </c>
      <c r="H8">
        <v>-0.17899999999999999</v>
      </c>
    </row>
    <row r="9" spans="1:8" x14ac:dyDescent="0.35">
      <c r="A9" t="s">
        <v>157</v>
      </c>
      <c r="B9" t="s">
        <v>155</v>
      </c>
      <c r="C9" t="s">
        <v>259</v>
      </c>
      <c r="D9" s="57" t="s">
        <v>165</v>
      </c>
      <c r="E9">
        <v>-0.28599999999999998</v>
      </c>
      <c r="F9">
        <v>-0.21199999999999999</v>
      </c>
      <c r="G9">
        <v>-0.32700000000000001</v>
      </c>
      <c r="H9">
        <v>-0.182</v>
      </c>
    </row>
    <row r="10" spans="1:8" x14ac:dyDescent="0.35">
      <c r="A10" t="s">
        <v>156</v>
      </c>
      <c r="B10" t="s">
        <v>154</v>
      </c>
      <c r="C10" t="s">
        <v>259</v>
      </c>
      <c r="D10" s="57" t="s">
        <v>166</v>
      </c>
      <c r="E10">
        <v>-0.23300000000000001</v>
      </c>
      <c r="F10">
        <v>-0.188</v>
      </c>
      <c r="G10">
        <v>-0.20499999999999999</v>
      </c>
      <c r="H10">
        <v>-0.21</v>
      </c>
    </row>
    <row r="11" spans="1:8" x14ac:dyDescent="0.35">
      <c r="A11" t="s">
        <v>157</v>
      </c>
      <c r="B11" t="s">
        <v>155</v>
      </c>
      <c r="C11" t="s">
        <v>259</v>
      </c>
      <c r="D11" s="57" t="s">
        <v>166</v>
      </c>
      <c r="E11">
        <v>-0.41799999999999998</v>
      </c>
      <c r="F11">
        <v>-0.248</v>
      </c>
      <c r="G11">
        <v>-0.39300000000000002</v>
      </c>
      <c r="H11">
        <v>-0.187</v>
      </c>
    </row>
    <row r="12" spans="1:8" x14ac:dyDescent="0.35">
      <c r="A12" t="s">
        <v>156</v>
      </c>
      <c r="B12" t="s">
        <v>154</v>
      </c>
      <c r="C12" t="s">
        <v>259</v>
      </c>
      <c r="D12" s="57" t="s">
        <v>167</v>
      </c>
      <c r="E12">
        <v>-0.245</v>
      </c>
      <c r="F12">
        <v>-0.20399999999999999</v>
      </c>
      <c r="G12">
        <v>-0.20599999999999999</v>
      </c>
      <c r="H12">
        <v>-0.248</v>
      </c>
    </row>
    <row r="13" spans="1:8" x14ac:dyDescent="0.35">
      <c r="A13" t="s">
        <v>157</v>
      </c>
      <c r="B13" t="s">
        <v>155</v>
      </c>
      <c r="C13" t="s">
        <v>259</v>
      </c>
      <c r="D13" s="57" t="s">
        <v>167</v>
      </c>
      <c r="E13">
        <v>-0.42799999999999999</v>
      </c>
      <c r="F13">
        <v>-0.32200000000000001</v>
      </c>
      <c r="G13">
        <v>-0.51500000000000001</v>
      </c>
      <c r="H13">
        <v>-0.26100000000000001</v>
      </c>
    </row>
    <row r="14" spans="1:8" x14ac:dyDescent="0.35">
      <c r="A14" t="s">
        <v>156</v>
      </c>
      <c r="B14" t="s">
        <v>154</v>
      </c>
      <c r="C14" t="s">
        <v>260</v>
      </c>
      <c r="D14" s="57" t="s">
        <v>168</v>
      </c>
      <c r="E14">
        <v>-0.23599999999999999</v>
      </c>
      <c r="F14">
        <v>-1.1120000000000001</v>
      </c>
      <c r="G14">
        <v>-0.214</v>
      </c>
      <c r="H14">
        <v>-0.28699999999999998</v>
      </c>
    </row>
    <row r="15" spans="1:8" x14ac:dyDescent="0.35">
      <c r="A15" t="s">
        <v>157</v>
      </c>
      <c r="B15" t="s">
        <v>155</v>
      </c>
      <c r="C15" t="s">
        <v>260</v>
      </c>
      <c r="D15" s="57" t="s">
        <v>168</v>
      </c>
      <c r="E15">
        <v>-0.29099999999999998</v>
      </c>
      <c r="F15">
        <v>-0.39600000000000002</v>
      </c>
      <c r="G15">
        <v>-0.24399999999999999</v>
      </c>
      <c r="H15">
        <v>-0.21099999999999999</v>
      </c>
    </row>
    <row r="16" spans="1:8" x14ac:dyDescent="0.35">
      <c r="A16" t="s">
        <v>156</v>
      </c>
      <c r="B16" t="s">
        <v>154</v>
      </c>
      <c r="C16" t="s">
        <v>260</v>
      </c>
      <c r="D16" s="57" t="s">
        <v>169</v>
      </c>
      <c r="E16">
        <v>-0.495</v>
      </c>
      <c r="F16">
        <v>-0.64400000000000002</v>
      </c>
      <c r="G16">
        <v>-0.24399999999999999</v>
      </c>
      <c r="H16">
        <v>-0.22</v>
      </c>
    </row>
    <row r="17" spans="1:8" x14ac:dyDescent="0.35">
      <c r="A17" t="s">
        <v>157</v>
      </c>
      <c r="B17" t="s">
        <v>155</v>
      </c>
      <c r="C17" t="s">
        <v>260</v>
      </c>
      <c r="D17" s="57" t="s">
        <v>169</v>
      </c>
      <c r="E17">
        <v>-0.56499999999999995</v>
      </c>
      <c r="F17">
        <v>-0.86799999999999999</v>
      </c>
      <c r="G17">
        <v>-0.307</v>
      </c>
      <c r="H17">
        <v>-0.10299999999999999</v>
      </c>
    </row>
    <row r="18" spans="1:8" x14ac:dyDescent="0.35">
      <c r="A18" t="s">
        <v>156</v>
      </c>
      <c r="B18" t="s">
        <v>154</v>
      </c>
      <c r="C18" t="s">
        <v>260</v>
      </c>
      <c r="D18" s="57" t="s">
        <v>170</v>
      </c>
      <c r="E18">
        <v>-0.24199999999999999</v>
      </c>
      <c r="F18">
        <v>-1.397</v>
      </c>
      <c r="G18">
        <v>-0.31</v>
      </c>
      <c r="H18">
        <v>-0.186</v>
      </c>
    </row>
    <row r="19" spans="1:8" x14ac:dyDescent="0.35">
      <c r="A19" t="s">
        <v>157</v>
      </c>
      <c r="B19" t="s">
        <v>155</v>
      </c>
      <c r="C19" t="s">
        <v>260</v>
      </c>
      <c r="D19" s="57" t="s">
        <v>170</v>
      </c>
      <c r="E19">
        <v>-0.22700000000000001</v>
      </c>
      <c r="F19">
        <v>-1.2170000000000001</v>
      </c>
      <c r="G19">
        <v>-0.29599999999999999</v>
      </c>
      <c r="H19">
        <v>-0.17899999999999999</v>
      </c>
    </row>
    <row r="20" spans="1:8" x14ac:dyDescent="0.35">
      <c r="A20" t="s">
        <v>156</v>
      </c>
      <c r="B20" t="s">
        <v>154</v>
      </c>
      <c r="C20" t="s">
        <v>260</v>
      </c>
      <c r="D20" s="57" t="s">
        <v>171</v>
      </c>
      <c r="E20">
        <v>-0.29899999999999999</v>
      </c>
      <c r="F20">
        <v>-0.48799999999999999</v>
      </c>
      <c r="G20">
        <v>-0.23200000000000001</v>
      </c>
      <c r="H20">
        <v>-0.186</v>
      </c>
    </row>
    <row r="21" spans="1:8" x14ac:dyDescent="0.35">
      <c r="A21" t="s">
        <v>157</v>
      </c>
      <c r="B21" t="s">
        <v>155</v>
      </c>
      <c r="C21" t="s">
        <v>260</v>
      </c>
      <c r="D21" s="57" t="s">
        <v>171</v>
      </c>
      <c r="E21">
        <v>-0.28499999999999998</v>
      </c>
      <c r="F21">
        <v>-0.89500000000000002</v>
      </c>
      <c r="G21">
        <v>-0.27800000000000002</v>
      </c>
      <c r="H21">
        <v>-0.20799999999999999</v>
      </c>
    </row>
    <row r="22" spans="1:8" x14ac:dyDescent="0.35">
      <c r="A22" t="s">
        <v>156</v>
      </c>
      <c r="B22" t="s">
        <v>154</v>
      </c>
      <c r="C22" t="s">
        <v>260</v>
      </c>
      <c r="D22" s="57" t="s">
        <v>172</v>
      </c>
      <c r="E22">
        <v>-0.253</v>
      </c>
      <c r="F22">
        <v>-0.99199999999999999</v>
      </c>
      <c r="G22">
        <v>-0.24099999999999999</v>
      </c>
      <c r="H22">
        <v>-0.14499999999999999</v>
      </c>
    </row>
    <row r="23" spans="1:8" x14ac:dyDescent="0.35">
      <c r="A23" t="s">
        <v>158</v>
      </c>
      <c r="B23" t="s">
        <v>155</v>
      </c>
      <c r="C23" t="s">
        <v>260</v>
      </c>
      <c r="D23" s="57" t="s">
        <v>172</v>
      </c>
      <c r="E23">
        <v>-0.26400000000000001</v>
      </c>
      <c r="F23">
        <v>-0.622</v>
      </c>
      <c r="G23">
        <v>-0.32600000000000001</v>
      </c>
      <c r="H23">
        <v>-0.23300000000000001</v>
      </c>
    </row>
    <row r="24" spans="1:8" x14ac:dyDescent="0.35">
      <c r="A24" t="s">
        <v>156</v>
      </c>
      <c r="B24" t="s">
        <v>154</v>
      </c>
      <c r="C24" t="s">
        <v>260</v>
      </c>
      <c r="D24" s="57" t="s">
        <v>173</v>
      </c>
      <c r="E24">
        <v>-0.223</v>
      </c>
      <c r="F24">
        <v>-0.70899999999999996</v>
      </c>
      <c r="G24">
        <v>-0.216</v>
      </c>
      <c r="H24">
        <v>-0.25900000000000001</v>
      </c>
    </row>
    <row r="25" spans="1:8" x14ac:dyDescent="0.35">
      <c r="A25" t="s">
        <v>157</v>
      </c>
      <c r="B25" t="s">
        <v>155</v>
      </c>
      <c r="C25" t="s">
        <v>260</v>
      </c>
      <c r="D25" s="57" t="s">
        <v>173</v>
      </c>
      <c r="E25">
        <v>-0.441</v>
      </c>
      <c r="F25">
        <v>-1.028</v>
      </c>
      <c r="G25">
        <v>-0.27200000000000002</v>
      </c>
      <c r="H25">
        <v>-0.14499999999999999</v>
      </c>
    </row>
    <row r="28" spans="1:8" x14ac:dyDescent="0.35">
      <c r="C28" s="57" t="s">
        <v>159</v>
      </c>
      <c r="D28" s="57" t="s">
        <v>159</v>
      </c>
      <c r="E28" s="57" t="s">
        <v>228</v>
      </c>
      <c r="F28" s="57" t="s">
        <v>227</v>
      </c>
      <c r="G28" s="57" t="s">
        <v>226</v>
      </c>
      <c r="H28" s="57" t="s">
        <v>235</v>
      </c>
    </row>
    <row r="29" spans="1:8" x14ac:dyDescent="0.35">
      <c r="C29" s="57" t="s">
        <v>154</v>
      </c>
      <c r="D29" s="57" t="s">
        <v>154</v>
      </c>
      <c r="E29" s="56">
        <f t="shared" ref="E29:G30" si="0">AVERAGE(E2,E4,E6,E8,E10,E12,E14,E16,E18,E20,E22,E24)</f>
        <v>-0.25208333333333333</v>
      </c>
      <c r="F29" s="56">
        <f t="shared" si="0"/>
        <v>-0.53899999999999992</v>
      </c>
      <c r="G29" s="56">
        <f t="shared" si="0"/>
        <v>-0.23350000000000004</v>
      </c>
      <c r="H29" s="56">
        <f t="shared" ref="H29" si="1">AVERAGE(H2,H4,H6,H8,H10,H12,H14,H16,H18,H20,H22,H24)</f>
        <v>-0.21675</v>
      </c>
    </row>
    <row r="30" spans="1:8" x14ac:dyDescent="0.35">
      <c r="C30" s="57" t="s">
        <v>155</v>
      </c>
      <c r="D30" s="57" t="s">
        <v>155</v>
      </c>
      <c r="E30" s="56">
        <f t="shared" si="0"/>
        <v>-0.34624999999999995</v>
      </c>
      <c r="F30" s="56">
        <f t="shared" si="0"/>
        <v>-0.5538333333333334</v>
      </c>
      <c r="G30" s="56">
        <f t="shared" si="0"/>
        <v>-0.35791666666666672</v>
      </c>
      <c r="H30" s="56">
        <f t="shared" ref="H30" si="2">AVERAGE(H3,H5,H7,H9,H11,H13,H15,H17,H19,H21,H23,H25)</f>
        <v>-0.18708333333333335</v>
      </c>
    </row>
    <row r="33" spans="3:5" x14ac:dyDescent="0.35">
      <c r="C33" s="57" t="s">
        <v>184</v>
      </c>
      <c r="D33" s="57" t="s">
        <v>184</v>
      </c>
      <c r="E33" t="s">
        <v>186</v>
      </c>
    </row>
    <row r="34" spans="3:5" x14ac:dyDescent="0.35">
      <c r="C34" s="57" t="s">
        <v>180</v>
      </c>
      <c r="D34" s="57" t="s">
        <v>199</v>
      </c>
      <c r="E34" s="58">
        <f>AVERAGE(E2:E25)</f>
        <v>-0.29916666666666669</v>
      </c>
    </row>
    <row r="35" spans="3:5" x14ac:dyDescent="0.35">
      <c r="C35" s="57" t="s">
        <v>185</v>
      </c>
      <c r="D35" s="57" t="s">
        <v>196</v>
      </c>
      <c r="E35" s="58">
        <f>AVERAGE(F2:F25)</f>
        <v>-0.54641666666666666</v>
      </c>
    </row>
    <row r="36" spans="3:5" x14ac:dyDescent="0.35">
      <c r="C36" s="57" t="s">
        <v>199</v>
      </c>
      <c r="D36" s="57" t="s">
        <v>197</v>
      </c>
      <c r="E36" s="58">
        <f>AVERAGE(G2:G25)</f>
        <v>-0.2957083333333333</v>
      </c>
    </row>
    <row r="37" spans="3:5" x14ac:dyDescent="0.35">
      <c r="C37" s="57" t="s">
        <v>221</v>
      </c>
      <c r="D37" s="57" t="s">
        <v>198</v>
      </c>
      <c r="E37" s="58">
        <f>AVERAGE(H2:H25)</f>
        <v>-0.20191666666666663</v>
      </c>
    </row>
    <row r="38" spans="3:5" x14ac:dyDescent="0.35">
      <c r="C38" s="57" t="s">
        <v>197</v>
      </c>
    </row>
    <row r="39" spans="3:5" x14ac:dyDescent="0.35">
      <c r="C39" s="57" t="s">
        <v>198</v>
      </c>
    </row>
  </sheetData>
  <conditionalFormatting sqref="E2:E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4:E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H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EAD3-406D-491C-AFE5-8DC98B317AE8}">
  <dimension ref="A1:Q39"/>
  <sheetViews>
    <sheetView workbookViewId="0">
      <selection activeCell="H1" sqref="H1:H1048576"/>
    </sheetView>
  </sheetViews>
  <sheetFormatPr baseColWidth="10" defaultRowHeight="14.5" x14ac:dyDescent="0.35"/>
  <cols>
    <col min="3" max="3" width="10.81640625" style="57" bestFit="1" customWidth="1"/>
    <col min="5" max="5" width="10" bestFit="1" customWidth="1"/>
    <col min="6" max="6" width="10.81640625" bestFit="1" customWidth="1"/>
    <col min="7" max="7" width="10.08984375" bestFit="1" customWidth="1"/>
    <col min="8" max="9" width="9.54296875" bestFit="1" customWidth="1"/>
    <col min="10" max="10" width="14.1796875" bestFit="1" customWidth="1"/>
    <col min="11" max="11" width="6.26953125" bestFit="1" customWidth="1"/>
    <col min="12" max="12" width="2.90625" bestFit="1" customWidth="1"/>
    <col min="14" max="14" width="6.26953125" bestFit="1" customWidth="1"/>
    <col min="15" max="15" width="2.90625" bestFit="1" customWidth="1"/>
  </cols>
  <sheetData>
    <row r="1" spans="1:16" x14ac:dyDescent="0.35">
      <c r="A1" t="s">
        <v>160</v>
      </c>
      <c r="B1" t="s">
        <v>159</v>
      </c>
      <c r="C1" s="57" t="s">
        <v>261</v>
      </c>
      <c r="D1" s="57" t="s">
        <v>161</v>
      </c>
      <c r="E1" t="s">
        <v>201</v>
      </c>
      <c r="F1" t="s">
        <v>202</v>
      </c>
      <c r="G1" t="s">
        <v>203</v>
      </c>
      <c r="H1" t="s">
        <v>214</v>
      </c>
      <c r="I1" t="s">
        <v>214</v>
      </c>
      <c r="J1" t="s">
        <v>225</v>
      </c>
      <c r="K1" t="s">
        <v>197</v>
      </c>
      <c r="L1" t="s">
        <v>197</v>
      </c>
      <c r="M1" t="s">
        <v>224</v>
      </c>
      <c r="N1" t="s">
        <v>198</v>
      </c>
      <c r="O1" t="s">
        <v>198</v>
      </c>
      <c r="P1" t="s">
        <v>236</v>
      </c>
    </row>
    <row r="2" spans="1:16" x14ac:dyDescent="0.35">
      <c r="A2" t="s">
        <v>156</v>
      </c>
      <c r="B2" t="s">
        <v>154</v>
      </c>
      <c r="C2" t="s">
        <v>259</v>
      </c>
      <c r="D2" s="57" t="s">
        <v>162</v>
      </c>
      <c r="E2">
        <v>32</v>
      </c>
      <c r="F2">
        <v>33</v>
      </c>
      <c r="G2">
        <f>SUM(E2:F2)</f>
        <v>65</v>
      </c>
      <c r="H2">
        <v>36</v>
      </c>
      <c r="I2">
        <v>35</v>
      </c>
      <c r="J2">
        <f>SUM(H2:I2)</f>
        <v>71</v>
      </c>
      <c r="K2">
        <v>36</v>
      </c>
      <c r="L2">
        <v>35</v>
      </c>
      <c r="M2">
        <f>SUM(K2:L2)</f>
        <v>71</v>
      </c>
      <c r="N2">
        <v>36</v>
      </c>
      <c r="O2">
        <v>35</v>
      </c>
      <c r="P2">
        <f>SUM(N2:O2)</f>
        <v>71</v>
      </c>
    </row>
    <row r="3" spans="1:16" x14ac:dyDescent="0.35">
      <c r="A3" t="s">
        <v>157</v>
      </c>
      <c r="B3" t="s">
        <v>155</v>
      </c>
      <c r="C3" t="s">
        <v>259</v>
      </c>
      <c r="D3" s="57" t="s">
        <v>162</v>
      </c>
      <c r="E3">
        <v>36</v>
      </c>
      <c r="F3">
        <v>29</v>
      </c>
      <c r="G3">
        <f t="shared" ref="G3:G25" si="0">SUM(E3:F3)</f>
        <v>65</v>
      </c>
      <c r="H3">
        <v>29</v>
      </c>
      <c r="I3">
        <v>37</v>
      </c>
      <c r="J3">
        <f t="shared" ref="J3:J25" si="1">SUM(H3:I3)</f>
        <v>66</v>
      </c>
      <c r="K3">
        <v>29</v>
      </c>
      <c r="L3">
        <v>37</v>
      </c>
      <c r="M3">
        <f t="shared" ref="M3:M25" si="2">SUM(K3:L3)</f>
        <v>66</v>
      </c>
      <c r="N3">
        <v>29</v>
      </c>
      <c r="O3">
        <v>37</v>
      </c>
      <c r="P3">
        <f t="shared" ref="P3:P25" si="3">SUM(N3:O3)</f>
        <v>66</v>
      </c>
    </row>
    <row r="4" spans="1:16" x14ac:dyDescent="0.35">
      <c r="A4" t="s">
        <v>156</v>
      </c>
      <c r="B4" t="s">
        <v>154</v>
      </c>
      <c r="C4" t="s">
        <v>259</v>
      </c>
      <c r="D4" s="57" t="s">
        <v>163</v>
      </c>
      <c r="E4">
        <v>25</v>
      </c>
      <c r="F4">
        <v>25</v>
      </c>
      <c r="G4">
        <f t="shared" si="0"/>
        <v>50</v>
      </c>
      <c r="H4">
        <v>24</v>
      </c>
      <c r="I4">
        <v>25</v>
      </c>
      <c r="J4">
        <f t="shared" si="1"/>
        <v>49</v>
      </c>
      <c r="K4">
        <v>24</v>
      </c>
      <c r="L4">
        <v>25</v>
      </c>
      <c r="M4">
        <f t="shared" si="2"/>
        <v>49</v>
      </c>
      <c r="N4">
        <v>24</v>
      </c>
      <c r="O4">
        <v>25</v>
      </c>
      <c r="P4">
        <f t="shared" si="3"/>
        <v>49</v>
      </c>
    </row>
    <row r="5" spans="1:16" x14ac:dyDescent="0.35">
      <c r="A5" t="s">
        <v>157</v>
      </c>
      <c r="B5" t="s">
        <v>155</v>
      </c>
      <c r="C5" t="s">
        <v>259</v>
      </c>
      <c r="D5" s="57" t="s">
        <v>163</v>
      </c>
      <c r="E5">
        <v>29</v>
      </c>
      <c r="F5">
        <v>20</v>
      </c>
      <c r="G5">
        <f t="shared" si="0"/>
        <v>49</v>
      </c>
      <c r="H5">
        <v>21</v>
      </c>
      <c r="I5">
        <v>31</v>
      </c>
      <c r="J5">
        <f t="shared" si="1"/>
        <v>52</v>
      </c>
      <c r="K5">
        <v>21</v>
      </c>
      <c r="L5">
        <v>31</v>
      </c>
      <c r="M5">
        <f t="shared" si="2"/>
        <v>52</v>
      </c>
      <c r="N5">
        <v>21</v>
      </c>
      <c r="O5">
        <v>31</v>
      </c>
      <c r="P5">
        <f t="shared" si="3"/>
        <v>52</v>
      </c>
    </row>
    <row r="6" spans="1:16" x14ac:dyDescent="0.35">
      <c r="A6" t="s">
        <v>156</v>
      </c>
      <c r="B6" t="s">
        <v>154</v>
      </c>
      <c r="C6" t="s">
        <v>259</v>
      </c>
      <c r="D6" s="57" t="s">
        <v>164</v>
      </c>
      <c r="E6">
        <v>28</v>
      </c>
      <c r="F6">
        <v>27</v>
      </c>
      <c r="G6">
        <f t="shared" si="0"/>
        <v>55</v>
      </c>
      <c r="H6">
        <v>28</v>
      </c>
      <c r="I6">
        <v>31</v>
      </c>
      <c r="J6">
        <f t="shared" si="1"/>
        <v>59</v>
      </c>
      <c r="K6">
        <v>28</v>
      </c>
      <c r="L6">
        <v>31</v>
      </c>
      <c r="M6">
        <f t="shared" si="2"/>
        <v>59</v>
      </c>
      <c r="N6">
        <v>28</v>
      </c>
      <c r="O6">
        <v>31</v>
      </c>
      <c r="P6">
        <f t="shared" si="3"/>
        <v>59</v>
      </c>
    </row>
    <row r="7" spans="1:16" x14ac:dyDescent="0.35">
      <c r="A7" t="s">
        <v>157</v>
      </c>
      <c r="B7" t="s">
        <v>155</v>
      </c>
      <c r="C7" t="s">
        <v>259</v>
      </c>
      <c r="D7" s="57" t="s">
        <v>164</v>
      </c>
      <c r="E7">
        <v>20</v>
      </c>
      <c r="F7">
        <v>23</v>
      </c>
      <c r="G7">
        <f t="shared" si="0"/>
        <v>43</v>
      </c>
      <c r="H7">
        <v>24</v>
      </c>
      <c r="I7">
        <v>24</v>
      </c>
      <c r="J7">
        <f t="shared" si="1"/>
        <v>48</v>
      </c>
      <c r="K7">
        <v>24</v>
      </c>
      <c r="L7">
        <v>24</v>
      </c>
      <c r="M7">
        <f t="shared" si="2"/>
        <v>48</v>
      </c>
      <c r="N7">
        <v>24</v>
      </c>
      <c r="O7">
        <v>24</v>
      </c>
      <c r="P7">
        <f t="shared" si="3"/>
        <v>48</v>
      </c>
    </row>
    <row r="8" spans="1:16" x14ac:dyDescent="0.35">
      <c r="A8" t="s">
        <v>156</v>
      </c>
      <c r="B8" t="s">
        <v>154</v>
      </c>
      <c r="C8" t="s">
        <v>259</v>
      </c>
      <c r="D8" s="57" t="s">
        <v>165</v>
      </c>
      <c r="E8">
        <v>37</v>
      </c>
      <c r="F8">
        <v>25</v>
      </c>
      <c r="G8">
        <f t="shared" si="0"/>
        <v>62</v>
      </c>
      <c r="H8">
        <v>40</v>
      </c>
      <c r="I8">
        <v>27</v>
      </c>
      <c r="J8">
        <f t="shared" si="1"/>
        <v>67</v>
      </c>
      <c r="K8">
        <v>40</v>
      </c>
      <c r="L8">
        <v>27</v>
      </c>
      <c r="M8">
        <f t="shared" si="2"/>
        <v>67</v>
      </c>
      <c r="N8">
        <v>40</v>
      </c>
      <c r="O8">
        <v>27</v>
      </c>
      <c r="P8">
        <f t="shared" si="3"/>
        <v>67</v>
      </c>
    </row>
    <row r="9" spans="1:16" x14ac:dyDescent="0.35">
      <c r="A9" t="s">
        <v>157</v>
      </c>
      <c r="B9" t="s">
        <v>155</v>
      </c>
      <c r="C9" t="s">
        <v>259</v>
      </c>
      <c r="D9" s="57" t="s">
        <v>165</v>
      </c>
      <c r="E9">
        <v>22</v>
      </c>
      <c r="F9">
        <v>21</v>
      </c>
      <c r="G9">
        <f t="shared" si="0"/>
        <v>43</v>
      </c>
      <c r="H9">
        <v>21</v>
      </c>
      <c r="I9">
        <v>24</v>
      </c>
      <c r="J9">
        <f t="shared" si="1"/>
        <v>45</v>
      </c>
      <c r="K9">
        <v>21</v>
      </c>
      <c r="L9">
        <v>24</v>
      </c>
      <c r="M9">
        <f t="shared" si="2"/>
        <v>45</v>
      </c>
      <c r="N9">
        <v>21</v>
      </c>
      <c r="O9">
        <v>24</v>
      </c>
      <c r="P9">
        <f t="shared" si="3"/>
        <v>45</v>
      </c>
    </row>
    <row r="10" spans="1:16" x14ac:dyDescent="0.35">
      <c r="A10" t="s">
        <v>156</v>
      </c>
      <c r="B10" t="s">
        <v>154</v>
      </c>
      <c r="C10" t="s">
        <v>259</v>
      </c>
      <c r="D10" s="57" t="s">
        <v>166</v>
      </c>
      <c r="E10">
        <v>32</v>
      </c>
      <c r="F10">
        <v>29</v>
      </c>
      <c r="G10">
        <f t="shared" si="0"/>
        <v>61</v>
      </c>
      <c r="H10">
        <v>36</v>
      </c>
      <c r="I10">
        <v>32</v>
      </c>
      <c r="J10">
        <f t="shared" si="1"/>
        <v>68</v>
      </c>
      <c r="K10">
        <v>36</v>
      </c>
      <c r="L10">
        <v>32</v>
      </c>
      <c r="M10">
        <f t="shared" si="2"/>
        <v>68</v>
      </c>
      <c r="N10">
        <v>36</v>
      </c>
      <c r="O10">
        <v>32</v>
      </c>
      <c r="P10">
        <f t="shared" si="3"/>
        <v>68</v>
      </c>
    </row>
    <row r="11" spans="1:16" x14ac:dyDescent="0.35">
      <c r="A11" t="s">
        <v>157</v>
      </c>
      <c r="B11" t="s">
        <v>155</v>
      </c>
      <c r="C11" t="s">
        <v>259</v>
      </c>
      <c r="D11" s="57" t="s">
        <v>166</v>
      </c>
      <c r="E11">
        <v>24</v>
      </c>
      <c r="F11">
        <v>20</v>
      </c>
      <c r="G11">
        <f t="shared" si="0"/>
        <v>44</v>
      </c>
      <c r="H11">
        <v>21</v>
      </c>
      <c r="I11">
        <v>24</v>
      </c>
      <c r="J11">
        <f t="shared" si="1"/>
        <v>45</v>
      </c>
      <c r="K11">
        <v>21</v>
      </c>
      <c r="L11">
        <v>24</v>
      </c>
      <c r="M11">
        <f t="shared" si="2"/>
        <v>45</v>
      </c>
      <c r="N11">
        <v>21</v>
      </c>
      <c r="O11">
        <v>24</v>
      </c>
      <c r="P11">
        <f t="shared" si="3"/>
        <v>45</v>
      </c>
    </row>
    <row r="12" spans="1:16" x14ac:dyDescent="0.35">
      <c r="A12" t="s">
        <v>156</v>
      </c>
      <c r="B12" t="s">
        <v>154</v>
      </c>
      <c r="C12" t="s">
        <v>259</v>
      </c>
      <c r="D12" s="57" t="s">
        <v>167</v>
      </c>
      <c r="E12">
        <v>27</v>
      </c>
      <c r="F12">
        <v>17</v>
      </c>
      <c r="G12">
        <f t="shared" si="0"/>
        <v>44</v>
      </c>
      <c r="H12">
        <v>28</v>
      </c>
      <c r="I12">
        <v>21</v>
      </c>
      <c r="J12">
        <f t="shared" si="1"/>
        <v>49</v>
      </c>
      <c r="K12">
        <v>28</v>
      </c>
      <c r="L12">
        <v>21</v>
      </c>
      <c r="M12">
        <f t="shared" si="2"/>
        <v>49</v>
      </c>
      <c r="N12">
        <v>28</v>
      </c>
      <c r="O12">
        <v>21</v>
      </c>
      <c r="P12">
        <f t="shared" si="3"/>
        <v>49</v>
      </c>
    </row>
    <row r="13" spans="1:16" x14ac:dyDescent="0.35">
      <c r="A13" t="s">
        <v>157</v>
      </c>
      <c r="B13" t="s">
        <v>155</v>
      </c>
      <c r="C13" t="s">
        <v>259</v>
      </c>
      <c r="D13" s="57" t="s">
        <v>167</v>
      </c>
      <c r="E13">
        <v>24</v>
      </c>
      <c r="F13">
        <v>23</v>
      </c>
      <c r="G13">
        <f t="shared" si="0"/>
        <v>47</v>
      </c>
      <c r="H13">
        <v>24</v>
      </c>
      <c r="I13">
        <v>25</v>
      </c>
      <c r="J13">
        <f t="shared" si="1"/>
        <v>49</v>
      </c>
      <c r="K13">
        <v>24</v>
      </c>
      <c r="L13">
        <v>25</v>
      </c>
      <c r="M13">
        <f t="shared" si="2"/>
        <v>49</v>
      </c>
      <c r="N13">
        <v>24</v>
      </c>
      <c r="O13">
        <v>25</v>
      </c>
      <c r="P13">
        <f t="shared" si="3"/>
        <v>49</v>
      </c>
    </row>
    <row r="14" spans="1:16" x14ac:dyDescent="0.35">
      <c r="A14" t="s">
        <v>156</v>
      </c>
      <c r="B14" t="s">
        <v>154</v>
      </c>
      <c r="C14" t="s">
        <v>260</v>
      </c>
      <c r="D14" s="57" t="s">
        <v>168</v>
      </c>
      <c r="E14">
        <v>11</v>
      </c>
      <c r="F14">
        <v>12</v>
      </c>
      <c r="G14">
        <f t="shared" si="0"/>
        <v>23</v>
      </c>
      <c r="H14">
        <v>10</v>
      </c>
      <c r="I14">
        <v>8</v>
      </c>
      <c r="J14">
        <f t="shared" si="1"/>
        <v>18</v>
      </c>
      <c r="K14">
        <v>10</v>
      </c>
      <c r="L14">
        <v>8</v>
      </c>
      <c r="M14">
        <f t="shared" si="2"/>
        <v>18</v>
      </c>
      <c r="N14">
        <v>10</v>
      </c>
      <c r="O14">
        <v>8</v>
      </c>
      <c r="P14">
        <f t="shared" si="3"/>
        <v>18</v>
      </c>
    </row>
    <row r="15" spans="1:16" x14ac:dyDescent="0.35">
      <c r="A15" t="s">
        <v>157</v>
      </c>
      <c r="B15" t="s">
        <v>155</v>
      </c>
      <c r="C15" t="s">
        <v>260</v>
      </c>
      <c r="D15" s="57" t="s">
        <v>168</v>
      </c>
      <c r="E15">
        <v>16</v>
      </c>
      <c r="F15">
        <v>20</v>
      </c>
      <c r="G15">
        <f t="shared" si="0"/>
        <v>36</v>
      </c>
      <c r="H15">
        <v>16</v>
      </c>
      <c r="I15">
        <v>21</v>
      </c>
      <c r="J15">
        <f t="shared" si="1"/>
        <v>37</v>
      </c>
      <c r="K15">
        <v>16</v>
      </c>
      <c r="L15">
        <v>21</v>
      </c>
      <c r="M15">
        <f t="shared" si="2"/>
        <v>37</v>
      </c>
      <c r="N15">
        <v>16</v>
      </c>
      <c r="O15">
        <v>21</v>
      </c>
      <c r="P15">
        <f t="shared" si="3"/>
        <v>37</v>
      </c>
    </row>
    <row r="16" spans="1:16" x14ac:dyDescent="0.35">
      <c r="A16" t="s">
        <v>156</v>
      </c>
      <c r="B16" t="s">
        <v>154</v>
      </c>
      <c r="C16" t="s">
        <v>260</v>
      </c>
      <c r="D16" s="57" t="s">
        <v>169</v>
      </c>
      <c r="E16">
        <v>9</v>
      </c>
      <c r="F16">
        <v>24</v>
      </c>
      <c r="G16">
        <f t="shared" si="0"/>
        <v>33</v>
      </c>
      <c r="H16">
        <v>25</v>
      </c>
      <c r="I16">
        <v>9</v>
      </c>
      <c r="J16">
        <f t="shared" si="1"/>
        <v>34</v>
      </c>
      <c r="K16">
        <v>25</v>
      </c>
      <c r="L16">
        <v>9</v>
      </c>
      <c r="M16">
        <f t="shared" si="2"/>
        <v>34</v>
      </c>
      <c r="N16">
        <v>25</v>
      </c>
      <c r="O16">
        <v>9</v>
      </c>
      <c r="P16">
        <f t="shared" si="3"/>
        <v>34</v>
      </c>
    </row>
    <row r="17" spans="1:17" x14ac:dyDescent="0.35">
      <c r="A17" t="s">
        <v>157</v>
      </c>
      <c r="B17" t="s">
        <v>155</v>
      </c>
      <c r="C17" t="s">
        <v>260</v>
      </c>
      <c r="D17" s="57" t="s">
        <v>169</v>
      </c>
      <c r="E17">
        <v>15</v>
      </c>
      <c r="F17">
        <v>17</v>
      </c>
      <c r="G17">
        <f t="shared" si="0"/>
        <v>32</v>
      </c>
      <c r="H17">
        <v>16</v>
      </c>
      <c r="I17">
        <v>16</v>
      </c>
      <c r="J17">
        <f t="shared" si="1"/>
        <v>32</v>
      </c>
      <c r="K17">
        <v>16</v>
      </c>
      <c r="L17">
        <v>16</v>
      </c>
      <c r="M17">
        <f t="shared" si="2"/>
        <v>32</v>
      </c>
      <c r="N17">
        <v>16</v>
      </c>
      <c r="O17">
        <v>16</v>
      </c>
      <c r="P17">
        <f t="shared" si="3"/>
        <v>32</v>
      </c>
    </row>
    <row r="18" spans="1:17" x14ac:dyDescent="0.35">
      <c r="A18" t="s">
        <v>156</v>
      </c>
      <c r="B18" t="s">
        <v>154</v>
      </c>
      <c r="C18" t="s">
        <v>260</v>
      </c>
      <c r="D18" s="57" t="s">
        <v>170</v>
      </c>
      <c r="E18">
        <v>20</v>
      </c>
      <c r="F18">
        <v>28</v>
      </c>
      <c r="G18">
        <f t="shared" si="0"/>
        <v>48</v>
      </c>
      <c r="H18">
        <v>21</v>
      </c>
      <c r="I18">
        <v>27</v>
      </c>
      <c r="J18">
        <f t="shared" si="1"/>
        <v>48</v>
      </c>
      <c r="K18">
        <v>21</v>
      </c>
      <c r="L18">
        <v>27</v>
      </c>
      <c r="M18">
        <f t="shared" si="2"/>
        <v>48</v>
      </c>
      <c r="N18">
        <v>21</v>
      </c>
      <c r="O18">
        <v>27</v>
      </c>
      <c r="P18">
        <f t="shared" si="3"/>
        <v>48</v>
      </c>
    </row>
    <row r="19" spans="1:17" x14ac:dyDescent="0.35">
      <c r="A19" t="s">
        <v>157</v>
      </c>
      <c r="B19" t="s">
        <v>155</v>
      </c>
      <c r="C19" t="s">
        <v>260</v>
      </c>
      <c r="D19" s="57" t="s">
        <v>170</v>
      </c>
      <c r="E19">
        <v>24</v>
      </c>
      <c r="F19">
        <v>9</v>
      </c>
      <c r="G19">
        <f t="shared" si="0"/>
        <v>33</v>
      </c>
      <c r="H19">
        <v>16</v>
      </c>
      <c r="I19">
        <v>21</v>
      </c>
      <c r="J19">
        <f t="shared" si="1"/>
        <v>37</v>
      </c>
      <c r="K19">
        <v>16</v>
      </c>
      <c r="L19">
        <v>21</v>
      </c>
      <c r="M19">
        <f t="shared" si="2"/>
        <v>37</v>
      </c>
      <c r="N19">
        <v>16</v>
      </c>
      <c r="O19">
        <v>21</v>
      </c>
      <c r="P19">
        <f t="shared" si="3"/>
        <v>37</v>
      </c>
    </row>
    <row r="20" spans="1:17" x14ac:dyDescent="0.35">
      <c r="A20" t="s">
        <v>156</v>
      </c>
      <c r="B20" t="s">
        <v>154</v>
      </c>
      <c r="C20" t="s">
        <v>260</v>
      </c>
      <c r="D20" s="57" t="s">
        <v>171</v>
      </c>
      <c r="E20">
        <v>12</v>
      </c>
      <c r="F20">
        <v>22</v>
      </c>
      <c r="G20">
        <f t="shared" si="0"/>
        <v>34</v>
      </c>
      <c r="H20">
        <v>22</v>
      </c>
      <c r="I20">
        <v>12</v>
      </c>
      <c r="J20">
        <f t="shared" si="1"/>
        <v>34</v>
      </c>
      <c r="K20">
        <v>22</v>
      </c>
      <c r="L20">
        <v>12</v>
      </c>
      <c r="M20">
        <f t="shared" si="2"/>
        <v>34</v>
      </c>
      <c r="N20">
        <v>22</v>
      </c>
      <c r="O20">
        <v>12</v>
      </c>
      <c r="P20">
        <f t="shared" si="3"/>
        <v>34</v>
      </c>
    </row>
    <row r="21" spans="1:17" x14ac:dyDescent="0.35">
      <c r="A21" t="s">
        <v>157</v>
      </c>
      <c r="B21" t="s">
        <v>155</v>
      </c>
      <c r="C21" t="s">
        <v>260</v>
      </c>
      <c r="D21" s="57" t="s">
        <v>171</v>
      </c>
      <c r="E21">
        <v>10</v>
      </c>
      <c r="F21">
        <v>21</v>
      </c>
      <c r="G21">
        <f t="shared" si="0"/>
        <v>31</v>
      </c>
      <c r="H21">
        <v>21</v>
      </c>
      <c r="I21">
        <v>10</v>
      </c>
      <c r="J21">
        <f t="shared" si="1"/>
        <v>31</v>
      </c>
      <c r="K21">
        <v>21</v>
      </c>
      <c r="L21">
        <v>10</v>
      </c>
      <c r="M21">
        <f t="shared" si="2"/>
        <v>31</v>
      </c>
      <c r="N21">
        <v>21</v>
      </c>
      <c r="O21">
        <v>10</v>
      </c>
      <c r="P21">
        <f t="shared" si="3"/>
        <v>31</v>
      </c>
    </row>
    <row r="22" spans="1:17" x14ac:dyDescent="0.35">
      <c r="A22" t="s">
        <v>156</v>
      </c>
      <c r="B22" t="s">
        <v>154</v>
      </c>
      <c r="C22" t="s">
        <v>260</v>
      </c>
      <c r="D22" s="57" t="s">
        <v>172</v>
      </c>
      <c r="E22">
        <v>19</v>
      </c>
      <c r="F22">
        <v>21</v>
      </c>
      <c r="G22">
        <f t="shared" si="0"/>
        <v>40</v>
      </c>
      <c r="H22">
        <v>21</v>
      </c>
      <c r="I22">
        <v>22</v>
      </c>
      <c r="J22">
        <f t="shared" si="1"/>
        <v>43</v>
      </c>
      <c r="K22">
        <v>21</v>
      </c>
      <c r="L22">
        <v>22</v>
      </c>
      <c r="M22">
        <f t="shared" si="2"/>
        <v>43</v>
      </c>
      <c r="N22">
        <v>21</v>
      </c>
      <c r="O22">
        <v>22</v>
      </c>
      <c r="P22">
        <f t="shared" si="3"/>
        <v>43</v>
      </c>
    </row>
    <row r="23" spans="1:17" x14ac:dyDescent="0.35">
      <c r="A23" t="s">
        <v>158</v>
      </c>
      <c r="B23" t="s">
        <v>155</v>
      </c>
      <c r="C23" t="s">
        <v>260</v>
      </c>
      <c r="D23" s="57" t="s">
        <v>172</v>
      </c>
      <c r="E23">
        <v>6</v>
      </c>
      <c r="F23">
        <v>6</v>
      </c>
      <c r="G23">
        <f t="shared" si="0"/>
        <v>12</v>
      </c>
      <c r="H23">
        <v>10</v>
      </c>
      <c r="I23">
        <v>16</v>
      </c>
      <c r="J23">
        <f t="shared" si="1"/>
        <v>26</v>
      </c>
      <c r="K23">
        <v>10</v>
      </c>
      <c r="L23">
        <v>16</v>
      </c>
      <c r="M23">
        <f t="shared" si="2"/>
        <v>26</v>
      </c>
      <c r="N23">
        <v>10</v>
      </c>
      <c r="O23">
        <v>16</v>
      </c>
      <c r="P23">
        <f t="shared" si="3"/>
        <v>26</v>
      </c>
    </row>
    <row r="24" spans="1:17" x14ac:dyDescent="0.35">
      <c r="A24" t="s">
        <v>156</v>
      </c>
      <c r="B24" t="s">
        <v>154</v>
      </c>
      <c r="C24" t="s">
        <v>260</v>
      </c>
      <c r="D24" s="57" t="s">
        <v>173</v>
      </c>
      <c r="E24">
        <v>23</v>
      </c>
      <c r="F24">
        <v>8</v>
      </c>
      <c r="G24">
        <f t="shared" si="0"/>
        <v>31</v>
      </c>
      <c r="H24">
        <v>24</v>
      </c>
      <c r="I24">
        <v>8</v>
      </c>
      <c r="J24">
        <f t="shared" si="1"/>
        <v>32</v>
      </c>
      <c r="K24">
        <v>24</v>
      </c>
      <c r="L24">
        <v>8</v>
      </c>
      <c r="M24">
        <f t="shared" si="2"/>
        <v>32</v>
      </c>
      <c r="N24">
        <v>24</v>
      </c>
      <c r="O24">
        <v>8</v>
      </c>
      <c r="P24">
        <f t="shared" si="3"/>
        <v>32</v>
      </c>
    </row>
    <row r="25" spans="1:17" x14ac:dyDescent="0.35">
      <c r="A25" t="s">
        <v>157</v>
      </c>
      <c r="B25" t="s">
        <v>155</v>
      </c>
      <c r="C25" t="s">
        <v>260</v>
      </c>
      <c r="D25" s="57" t="s">
        <v>173</v>
      </c>
      <c r="E25">
        <v>14</v>
      </c>
      <c r="F25">
        <v>16</v>
      </c>
      <c r="G25">
        <f t="shared" si="0"/>
        <v>30</v>
      </c>
      <c r="H25">
        <v>16</v>
      </c>
      <c r="I25">
        <v>20</v>
      </c>
      <c r="J25">
        <f t="shared" si="1"/>
        <v>36</v>
      </c>
      <c r="K25">
        <v>16</v>
      </c>
      <c r="L25">
        <v>20</v>
      </c>
      <c r="M25">
        <f t="shared" si="2"/>
        <v>36</v>
      </c>
      <c r="N25">
        <v>16</v>
      </c>
      <c r="O25">
        <v>20</v>
      </c>
      <c r="P25">
        <f t="shared" si="3"/>
        <v>36</v>
      </c>
    </row>
    <row r="28" spans="1:17" x14ac:dyDescent="0.35">
      <c r="C28" s="57" t="s">
        <v>159</v>
      </c>
      <c r="G28" t="s">
        <v>180</v>
      </c>
      <c r="J28" t="s">
        <v>215</v>
      </c>
      <c r="M28" t="s">
        <v>197</v>
      </c>
    </row>
    <row r="29" spans="1:17" x14ac:dyDescent="0.35">
      <c r="C29" s="57" t="s">
        <v>154</v>
      </c>
      <c r="E29" s="56"/>
      <c r="F29" s="57" t="s">
        <v>154</v>
      </c>
      <c r="G29" s="56">
        <f>AVERAGE(G2,G4,G6,G8,G10,G12,G14,G16,G18,G22,G24)</f>
        <v>46.545454545454547</v>
      </c>
      <c r="J29" s="56">
        <f>AVERAGE(J2,J4,J6,J8,J10,J12,J14,J16,J18,J22,J24)</f>
        <v>48.909090909090907</v>
      </c>
      <c r="K29" s="56"/>
      <c r="L29" s="56"/>
      <c r="M29" s="56">
        <f t="shared" ref="M29" si="4">AVERAGE(M2,M4,M6,M8,M10,M12,M14,M16,M18,M22,M24)</f>
        <v>48.909090909090907</v>
      </c>
      <c r="P29" s="56">
        <f t="shared" ref="P29" si="5">AVERAGE(P2,P4,P6,P8,P10,P12,P14,P16,P18,P22,P24)</f>
        <v>48.909090909090907</v>
      </c>
    </row>
    <row r="30" spans="1:17" x14ac:dyDescent="0.35">
      <c r="C30" s="57" t="s">
        <v>155</v>
      </c>
      <c r="E30" s="56"/>
      <c r="F30" s="57" t="s">
        <v>155</v>
      </c>
      <c r="G30" s="56">
        <f>AVERAGE(G3,G5,G7,G9,G11,G13,G15,G17,G19,G21,G25)</f>
        <v>41.18181818181818</v>
      </c>
      <c r="J30" s="56">
        <f>AVERAGE(J3,J5,J7,J9,J11,J13,J15,J17,J19,J21,J25)</f>
        <v>43.454545454545453</v>
      </c>
      <c r="K30" s="56"/>
      <c r="L30" s="56"/>
      <c r="M30" s="56">
        <f t="shared" ref="M30" si="6">AVERAGE(M3,M5,M7,M9,M11,M13,M15,M17,M19,M21,M25)</f>
        <v>43.454545454545453</v>
      </c>
      <c r="P30" s="56">
        <f t="shared" ref="P30" si="7">AVERAGE(P3,P5,P7,P9,P11,P13,P15,P17,P19,P21,P25)</f>
        <v>43.454545454545453</v>
      </c>
    </row>
    <row r="32" spans="1:17" x14ac:dyDescent="0.35">
      <c r="G32" s="57" t="s">
        <v>180</v>
      </c>
      <c r="H32" s="57" t="s">
        <v>185</v>
      </c>
      <c r="J32" s="57" t="s">
        <v>180</v>
      </c>
      <c r="K32" s="57" t="s">
        <v>185</v>
      </c>
      <c r="M32" s="57" t="s">
        <v>180</v>
      </c>
      <c r="N32" s="57" t="s">
        <v>185</v>
      </c>
      <c r="P32" s="57" t="s">
        <v>180</v>
      </c>
      <c r="Q32" s="57" t="s">
        <v>185</v>
      </c>
    </row>
    <row r="33" spans="3:17" x14ac:dyDescent="0.35">
      <c r="C33" s="57" t="s">
        <v>184</v>
      </c>
      <c r="E33" t="s">
        <v>212</v>
      </c>
      <c r="F33" s="57" t="s">
        <v>154</v>
      </c>
      <c r="G33" s="56">
        <f>AVERAGE(G6,G8,G10,G12,G2,G4)</f>
        <v>56.166666666666664</v>
      </c>
      <c r="H33" s="56">
        <f>AVERAGE(G18,G20,G22,G24,G14,G16)</f>
        <v>34.833333333333336</v>
      </c>
      <c r="J33" s="56">
        <f>AVERAGE(J6,J8,J10,J12,J2,J4)</f>
        <v>60.5</v>
      </c>
      <c r="K33" s="56">
        <f>AVERAGE(J18,J20,J22,J24,J14,J16)</f>
        <v>34.833333333333336</v>
      </c>
      <c r="L33" s="56"/>
      <c r="M33" s="56">
        <f>AVERAGE(M6,M8,M10,M12,M2,M4)</f>
        <v>60.5</v>
      </c>
      <c r="N33" s="56">
        <f>AVERAGE(M18,M20,M22,M24,M14,M16)</f>
        <v>34.833333333333336</v>
      </c>
      <c r="P33" s="56">
        <f>AVERAGE(P6,P8,P10,P12,P2,P4)</f>
        <v>60.5</v>
      </c>
      <c r="Q33" s="56">
        <f>AVERAGE(P18,P20,P22,P24,P14,P16)</f>
        <v>34.833333333333336</v>
      </c>
    </row>
    <row r="34" spans="3:17" x14ac:dyDescent="0.35">
      <c r="C34" s="57" t="s">
        <v>180</v>
      </c>
      <c r="F34" s="57" t="s">
        <v>155</v>
      </c>
      <c r="G34" s="56">
        <f>AVERAGE(G7,G9,G11,G13,G3,G5)</f>
        <v>48.5</v>
      </c>
      <c r="H34" s="56">
        <f>AVERAGE(G19,G21,G23,G25,G15,G17)</f>
        <v>29</v>
      </c>
      <c r="J34" s="56">
        <f>AVERAGE(J7,J9,J11,J13,J3,J5)</f>
        <v>50.833333333333336</v>
      </c>
      <c r="K34" s="56">
        <f>AVERAGE(J19,J21,J23,J25,J15,J17)</f>
        <v>33.166666666666664</v>
      </c>
      <c r="L34" s="56"/>
      <c r="M34" s="56">
        <f>AVERAGE(M7,M9,M11,M13,M3,M5)</f>
        <v>50.833333333333336</v>
      </c>
      <c r="N34" s="56">
        <f>AVERAGE(M19,M21,M23,M25,M15,M17)</f>
        <v>33.166666666666664</v>
      </c>
      <c r="P34" s="56">
        <f>AVERAGE(P7,P9,P11,P13,P3,P5)</f>
        <v>50.833333333333336</v>
      </c>
      <c r="Q34" s="56">
        <f>AVERAGE(P19,P21,P23,P25,P15,P17)</f>
        <v>33.166666666666664</v>
      </c>
    </row>
    <row r="35" spans="3:17" x14ac:dyDescent="0.35">
      <c r="C35" s="57" t="s">
        <v>185</v>
      </c>
    </row>
    <row r="36" spans="3:17" x14ac:dyDescent="0.35">
      <c r="C36" s="57" t="s">
        <v>199</v>
      </c>
      <c r="E36" t="s">
        <v>213</v>
      </c>
      <c r="F36" s="57" t="s">
        <v>154</v>
      </c>
      <c r="G36" s="69">
        <f>STDEV(G6,G8,G10,G12,G2,G4)/SQRT(COUNT(G6,G8,G10,G12,G2,G4))</f>
        <v>3.2804132530995349</v>
      </c>
      <c r="H36" s="69">
        <f>STDEV(G7,G9,G11,G13,G3,G5)/SQRT(COUNT(G7,G9,G11,G13,G3,G5))</f>
        <v>3.4423828956117015</v>
      </c>
      <c r="J36" s="69">
        <f>STDEV(J6,J8,J10,J12,J2,J4)/SQRT(COUNT(J6,J8,J10,J12,J2,J4))</f>
        <v>3.981205847478877</v>
      </c>
      <c r="K36" s="69">
        <f>STDEV(J18,J20,J22,J24,J14,J16)/SQRT(COUNT(J18,J20,J22,J24,J14,J16))</f>
        <v>4.214393326578703</v>
      </c>
      <c r="M36" s="69">
        <f>STDEV(M6,M8,M10,M12,M2,M4)/SQRT(COUNT(M6,M8,M10,M12,M2,M4))</f>
        <v>3.981205847478877</v>
      </c>
      <c r="N36" s="69">
        <f>STDEV(M18,M20,M22,M24,M14,M16)/SQRT(COUNT(M18,M20,M22,M24,M14,M16))</f>
        <v>4.214393326578703</v>
      </c>
      <c r="P36" s="69">
        <f>STDEV(P6,P8,P10,P12,P2,P4)/SQRT(COUNT(P6,P8,P10,P12,P2,P4))</f>
        <v>3.981205847478877</v>
      </c>
      <c r="Q36" s="69">
        <f>STDEV(P18,P20,P22,P24,P14,P16)/SQRT(COUNT(P18,P20,P22,P24,P14,P16))</f>
        <v>4.214393326578703</v>
      </c>
    </row>
    <row r="37" spans="3:17" x14ac:dyDescent="0.35">
      <c r="C37" s="57" t="s">
        <v>221</v>
      </c>
      <c r="F37" s="57" t="s">
        <v>155</v>
      </c>
      <c r="G37" s="69">
        <f>STDEV(G7,G9,G11,G13,G3,G5)/SQRT(COUNT(G7,G9,G11,G13,G3,G5))</f>
        <v>3.4423828956117015</v>
      </c>
      <c r="H37" s="69">
        <f>STDEV(G19,G21,G23,G25,G15,G17)/SQRT(COUNT(G19,G21,G23,G25,G15,G17))</f>
        <v>3.502380143083653</v>
      </c>
      <c r="J37" s="69">
        <f>STDEV(J7,J9,J11,J13,J3,J5)/SQRT(COUNT(J7,J9,J11,J13,J3,J5))</f>
        <v>3.2188679859713307</v>
      </c>
      <c r="K37" s="69">
        <f>STDEV(J19,J21,J23,J25,J15,J17)/SQRT(COUNT(J19,J21,J23,J25,J15,J17))</f>
        <v>1.777951380412609</v>
      </c>
      <c r="M37" s="69">
        <f>STDEV(M7,M9,M11,M13,M3,M5)/SQRT(COUNT(M7,M9,M11,M13,M3,M5))</f>
        <v>3.2188679859713307</v>
      </c>
      <c r="N37" s="69">
        <f>STDEV(M19,M21,M23,M25,M15,M17)/SQRT(COUNT(M19,M21,M23,M25,M15,M17))</f>
        <v>1.777951380412609</v>
      </c>
      <c r="P37" s="69">
        <f>STDEV(P7,P9,P11,P13,P3,P5)/SQRT(COUNT(P7,P9,P11,P13,P3,P5))</f>
        <v>3.2188679859713307</v>
      </c>
      <c r="Q37" s="69">
        <f>STDEV(P19,P21,P23,P25,P15,P17)/SQRT(COUNT(P19,P21,P23,P25,P15,P17))</f>
        <v>1.777951380412609</v>
      </c>
    </row>
    <row r="38" spans="3:17" x14ac:dyDescent="0.35">
      <c r="C38" s="57" t="s">
        <v>197</v>
      </c>
    </row>
    <row r="39" spans="3:17" x14ac:dyDescent="0.35">
      <c r="C39" s="57" t="s">
        <v>198</v>
      </c>
    </row>
  </sheetData>
  <conditionalFormatting sqref="E29:E30 G29:G30 J29:M30 P29:P3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:G30 J29:M30 P29:P3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3:H33 J33:N33 P33:Q3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H34 J34:N34 P34:Q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:H37 J36:K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M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3:M34 J33:J34 G33:G34 P33:P3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6:N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3:N34 H33:H34 K33:L34 Q33:Q3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9:P30 G29:G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9:P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6:Q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A183-621E-4D94-A2ED-453BE8F6A710}">
  <dimension ref="A1:P39"/>
  <sheetViews>
    <sheetView workbookViewId="0">
      <selection activeCell="C1" sqref="C1:C1048576"/>
    </sheetView>
  </sheetViews>
  <sheetFormatPr baseColWidth="10" defaultRowHeight="14.5" x14ac:dyDescent="0.35"/>
  <cols>
    <col min="1" max="1" width="8.54296875" bestFit="1" customWidth="1"/>
    <col min="2" max="2" width="10.81640625" bestFit="1" customWidth="1"/>
    <col min="3" max="3" width="10.81640625" style="57" bestFit="1" customWidth="1"/>
    <col min="5" max="5" width="15.36328125" bestFit="1" customWidth="1"/>
    <col min="6" max="6" width="19.36328125" bestFit="1" customWidth="1"/>
    <col min="7" max="7" width="21.6328125" bestFit="1" customWidth="1"/>
    <col min="8" max="8" width="14.08984375" bestFit="1" customWidth="1"/>
    <col min="9" max="9" width="14" bestFit="1" customWidth="1"/>
    <col min="10" max="10" width="18" bestFit="1" customWidth="1"/>
    <col min="11" max="11" width="20.1796875" bestFit="1" customWidth="1"/>
    <col min="12" max="12" width="12.7265625" bestFit="1" customWidth="1"/>
    <col min="13" max="13" width="16.08984375" bestFit="1" customWidth="1"/>
    <col min="14" max="14" width="20" bestFit="1" customWidth="1"/>
    <col min="15" max="15" width="21.453125" bestFit="1" customWidth="1"/>
    <col min="16" max="16" width="14.7265625" bestFit="1" customWidth="1"/>
  </cols>
  <sheetData>
    <row r="1" spans="1:16" ht="15" thickBot="1" x14ac:dyDescent="0.4">
      <c r="A1" s="70" t="s">
        <v>160</v>
      </c>
      <c r="B1" s="104" t="s">
        <v>159</v>
      </c>
      <c r="C1" s="57" t="s">
        <v>261</v>
      </c>
      <c r="D1" s="71" t="s">
        <v>161</v>
      </c>
      <c r="E1" s="5" t="s">
        <v>244</v>
      </c>
      <c r="F1" s="5" t="s">
        <v>245</v>
      </c>
      <c r="G1" s="5" t="s">
        <v>242</v>
      </c>
      <c r="H1" s="5" t="s">
        <v>255</v>
      </c>
      <c r="I1" s="111" t="s">
        <v>246</v>
      </c>
      <c r="J1" s="111" t="s">
        <v>247</v>
      </c>
      <c r="K1" s="111" t="s">
        <v>248</v>
      </c>
      <c r="L1" s="111" t="s">
        <v>256</v>
      </c>
      <c r="M1" s="112" t="s">
        <v>249</v>
      </c>
      <c r="N1" s="112" t="s">
        <v>250</v>
      </c>
      <c r="O1" s="112" t="s">
        <v>251</v>
      </c>
      <c r="P1" s="112" t="s">
        <v>257</v>
      </c>
    </row>
    <row r="2" spans="1:16" s="104" customFormat="1" x14ac:dyDescent="0.35">
      <c r="A2" s="70" t="s">
        <v>156</v>
      </c>
      <c r="B2" s="104" t="s">
        <v>154</v>
      </c>
      <c r="C2" t="s">
        <v>259</v>
      </c>
      <c r="D2" s="71" t="s">
        <v>162</v>
      </c>
      <c r="E2" s="110">
        <v>4.798</v>
      </c>
      <c r="F2" s="110">
        <v>5.7359999999999998</v>
      </c>
      <c r="G2" s="110">
        <v>8.9870000000000001</v>
      </c>
      <c r="H2" s="110">
        <v>1.7702</v>
      </c>
      <c r="I2" s="110">
        <v>1.3452999999999999</v>
      </c>
      <c r="J2" s="110">
        <v>2.8136000000000001</v>
      </c>
      <c r="K2" s="110">
        <v>5.2655000000000003</v>
      </c>
      <c r="L2" s="110">
        <v>0.74650000000000005</v>
      </c>
      <c r="M2" s="110">
        <f>(I2/E2)*100</f>
        <v>28.038766152563564</v>
      </c>
      <c r="N2" s="110">
        <f>(J2/F2)*100</f>
        <v>49.051603905160398</v>
      </c>
      <c r="O2" s="110">
        <f>(K2/G2)*100</f>
        <v>58.590185823967957</v>
      </c>
      <c r="P2" s="110">
        <f>(L2/H2)*100</f>
        <v>42.170376228674726</v>
      </c>
    </row>
    <row r="3" spans="1:16" x14ac:dyDescent="0.35">
      <c r="A3" s="41" t="s">
        <v>157</v>
      </c>
      <c r="B3" t="s">
        <v>155</v>
      </c>
      <c r="C3" t="s">
        <v>259</v>
      </c>
      <c r="D3" s="57" t="s">
        <v>162</v>
      </c>
      <c r="E3" s="69">
        <v>5.2169999999999996</v>
      </c>
      <c r="F3" s="69">
        <v>5.2110000000000003</v>
      </c>
      <c r="G3" s="69">
        <v>11.811999999999999</v>
      </c>
      <c r="H3" s="69">
        <v>1.45</v>
      </c>
      <c r="I3" s="69">
        <v>1.8904000000000001</v>
      </c>
      <c r="J3" s="69">
        <v>2.5724999999999998</v>
      </c>
      <c r="K3" s="69">
        <v>7.4352</v>
      </c>
      <c r="L3" s="69">
        <v>0.69850000000000001</v>
      </c>
      <c r="M3" s="69">
        <f t="shared" ref="M3:M25" si="0">(I3/E3)*100</f>
        <v>36.235384320490709</v>
      </c>
      <c r="N3" s="69">
        <f t="shared" ref="N3:N25" si="1">(J3/F3)*100</f>
        <v>49.366724237190553</v>
      </c>
      <c r="O3" s="69">
        <f t="shared" ref="O3:P25" si="2">(K3/G3)*100</f>
        <v>62.946156451066713</v>
      </c>
      <c r="P3" s="69">
        <f t="shared" si="2"/>
        <v>48.172413793103452</v>
      </c>
    </row>
    <row r="4" spans="1:16" x14ac:dyDescent="0.35">
      <c r="A4" s="41" t="s">
        <v>156</v>
      </c>
      <c r="B4" t="s">
        <v>154</v>
      </c>
      <c r="C4" t="s">
        <v>259</v>
      </c>
      <c r="D4" s="57" t="s">
        <v>163</v>
      </c>
      <c r="E4" s="69">
        <v>3.7639999999999998</v>
      </c>
      <c r="F4" s="69">
        <v>3.7530000000000001</v>
      </c>
      <c r="G4" s="69">
        <v>9.4039999999999999</v>
      </c>
      <c r="H4" s="69">
        <v>1.7704</v>
      </c>
      <c r="I4" s="69">
        <v>1.0555000000000001</v>
      </c>
      <c r="J4" s="69">
        <v>1.7930999999999999</v>
      </c>
      <c r="K4" s="69">
        <v>5.5968</v>
      </c>
      <c r="L4" s="69">
        <v>0.75680000000000003</v>
      </c>
      <c r="M4" s="69">
        <f t="shared" si="0"/>
        <v>28.041976620616371</v>
      </c>
      <c r="N4" s="69">
        <f t="shared" si="1"/>
        <v>47.777777777777771</v>
      </c>
      <c r="O4" s="69">
        <f t="shared" si="2"/>
        <v>59.515099957464912</v>
      </c>
      <c r="P4" s="69">
        <f t="shared" si="2"/>
        <v>42.747401717126074</v>
      </c>
    </row>
    <row r="5" spans="1:16" x14ac:dyDescent="0.35">
      <c r="A5" s="41" t="s">
        <v>157</v>
      </c>
      <c r="B5" t="s">
        <v>155</v>
      </c>
      <c r="C5" t="s">
        <v>259</v>
      </c>
      <c r="D5" s="57" t="s">
        <v>163</v>
      </c>
      <c r="E5" s="69">
        <v>4.3659999999999997</v>
      </c>
      <c r="F5" s="69">
        <v>3.2490000000000001</v>
      </c>
      <c r="G5" s="69">
        <v>9.2870000000000008</v>
      </c>
      <c r="H5" s="69">
        <v>1.1160000000000001</v>
      </c>
      <c r="I5" s="69">
        <v>1.3975</v>
      </c>
      <c r="J5" s="69">
        <v>1.6169</v>
      </c>
      <c r="K5" s="69">
        <v>5.6360999999999999</v>
      </c>
      <c r="L5" s="69">
        <v>0.55549999999999999</v>
      </c>
      <c r="M5" s="69">
        <f t="shared" si="0"/>
        <v>32.008703618873113</v>
      </c>
      <c r="N5" s="69">
        <f t="shared" si="1"/>
        <v>49.76608187134503</v>
      </c>
      <c r="O5" s="69">
        <f t="shared" si="2"/>
        <v>60.688058576504787</v>
      </c>
      <c r="P5" s="69">
        <f t="shared" si="2"/>
        <v>49.775985663082437</v>
      </c>
    </row>
    <row r="6" spans="1:16" x14ac:dyDescent="0.35">
      <c r="A6" s="41" t="s">
        <v>156</v>
      </c>
      <c r="B6" t="s">
        <v>154</v>
      </c>
      <c r="C6" t="s">
        <v>259</v>
      </c>
      <c r="D6" s="57" t="s">
        <v>164</v>
      </c>
      <c r="E6" s="69">
        <v>4.9969999999999999</v>
      </c>
      <c r="F6" s="69">
        <v>4.4939999999999998</v>
      </c>
      <c r="G6" s="69">
        <v>9.8840000000000003</v>
      </c>
      <c r="H6" s="69">
        <v>2.169</v>
      </c>
      <c r="I6" s="69">
        <v>1.3768</v>
      </c>
      <c r="J6" s="69">
        <v>2.1659999999999999</v>
      </c>
      <c r="K6" s="69">
        <v>5.7763</v>
      </c>
      <c r="L6" s="69">
        <v>0.84850000000000003</v>
      </c>
      <c r="M6" s="69">
        <f t="shared" si="0"/>
        <v>27.552531518911351</v>
      </c>
      <c r="N6" s="69">
        <f t="shared" si="1"/>
        <v>48.197596795727634</v>
      </c>
      <c r="O6" s="69">
        <f t="shared" si="2"/>
        <v>58.44091460946985</v>
      </c>
      <c r="P6" s="69">
        <f t="shared" si="2"/>
        <v>39.119409866297836</v>
      </c>
    </row>
    <row r="7" spans="1:16" x14ac:dyDescent="0.35">
      <c r="A7" s="41" t="s">
        <v>157</v>
      </c>
      <c r="B7" t="s">
        <v>155</v>
      </c>
      <c r="C7" t="s">
        <v>259</v>
      </c>
      <c r="D7" s="57" t="s">
        <v>164</v>
      </c>
      <c r="E7" s="69">
        <v>3.7959999999999998</v>
      </c>
      <c r="F7" s="69">
        <v>4.5960000000000001</v>
      </c>
      <c r="G7" s="69">
        <v>8.4489999999999998</v>
      </c>
      <c r="H7" s="69">
        <v>0.96599999999999997</v>
      </c>
      <c r="I7" s="69">
        <v>1.2713000000000001</v>
      </c>
      <c r="J7" s="69">
        <v>2.2103999999999999</v>
      </c>
      <c r="K7" s="69">
        <v>5.0705</v>
      </c>
      <c r="L7" s="69">
        <v>0.46510000000000001</v>
      </c>
      <c r="M7" s="69">
        <f t="shared" si="0"/>
        <v>33.490516332982089</v>
      </c>
      <c r="N7" s="69">
        <f t="shared" si="1"/>
        <v>48.093994778067881</v>
      </c>
      <c r="O7" s="69">
        <f t="shared" si="2"/>
        <v>60.013019292223937</v>
      </c>
      <c r="P7" s="69">
        <f t="shared" si="2"/>
        <v>48.146997929606627</v>
      </c>
    </row>
    <row r="8" spans="1:16" x14ac:dyDescent="0.35">
      <c r="A8" s="41" t="s">
        <v>156</v>
      </c>
      <c r="B8" t="s">
        <v>154</v>
      </c>
      <c r="C8" t="s">
        <v>259</v>
      </c>
      <c r="D8" s="57" t="s">
        <v>165</v>
      </c>
      <c r="E8" s="69">
        <v>2.88</v>
      </c>
      <c r="F8" s="69">
        <v>8.49</v>
      </c>
      <c r="G8" s="69">
        <v>19.143000000000001</v>
      </c>
      <c r="H8" s="69">
        <v>2.3570000000000002</v>
      </c>
      <c r="I8" s="69">
        <v>0.82820000000000005</v>
      </c>
      <c r="J8" s="69">
        <v>3.9872000000000001</v>
      </c>
      <c r="K8" s="69">
        <v>11.4831</v>
      </c>
      <c r="L8" s="69">
        <v>1.0701000000000001</v>
      </c>
      <c r="M8" s="69">
        <f t="shared" si="0"/>
        <v>28.75694444444445</v>
      </c>
      <c r="N8" s="69">
        <f t="shared" si="1"/>
        <v>46.963486454652532</v>
      </c>
      <c r="O8" s="69">
        <f t="shared" si="2"/>
        <v>59.985895627644567</v>
      </c>
      <c r="P8" s="69">
        <f t="shared" si="2"/>
        <v>45.400933389902413</v>
      </c>
    </row>
    <row r="9" spans="1:16" x14ac:dyDescent="0.35">
      <c r="A9" s="41" t="s">
        <v>157</v>
      </c>
      <c r="B9" t="s">
        <v>155</v>
      </c>
      <c r="C9" t="s">
        <v>259</v>
      </c>
      <c r="D9" s="57" t="s">
        <v>165</v>
      </c>
      <c r="E9" s="69">
        <v>5.2279999999999998</v>
      </c>
      <c r="F9" s="69">
        <v>2.073</v>
      </c>
      <c r="G9" s="69">
        <v>11.196</v>
      </c>
      <c r="H9" s="69">
        <v>3.2515000000000001</v>
      </c>
      <c r="I9" s="69">
        <v>1.7290000000000001</v>
      </c>
      <c r="J9" s="69">
        <v>1.0324</v>
      </c>
      <c r="K9" s="69">
        <v>7.3562000000000003</v>
      </c>
      <c r="L9" s="69">
        <v>1.0597000000000001</v>
      </c>
      <c r="M9" s="69">
        <f t="shared" si="0"/>
        <v>33.071920428462128</v>
      </c>
      <c r="N9" s="69">
        <f t="shared" si="1"/>
        <v>49.802219006271102</v>
      </c>
      <c r="O9" s="69">
        <f t="shared" si="2"/>
        <v>65.703822793854954</v>
      </c>
      <c r="P9" s="69">
        <f t="shared" si="2"/>
        <v>32.591111794556362</v>
      </c>
    </row>
    <row r="10" spans="1:16" x14ac:dyDescent="0.35">
      <c r="A10" s="41" t="s">
        <v>156</v>
      </c>
      <c r="B10" t="s">
        <v>154</v>
      </c>
      <c r="C10" t="s">
        <v>259</v>
      </c>
      <c r="D10" s="57" t="s">
        <v>166</v>
      </c>
      <c r="E10" s="69">
        <v>3.51</v>
      </c>
      <c r="F10" s="69">
        <v>6.1680000000000001</v>
      </c>
      <c r="G10" s="69">
        <v>11.396000000000001</v>
      </c>
      <c r="H10" s="69">
        <v>1.0243</v>
      </c>
      <c r="I10" s="69">
        <v>1.1163000000000001</v>
      </c>
      <c r="J10" s="69">
        <v>2.8010000000000002</v>
      </c>
      <c r="K10" s="69">
        <v>6.2388000000000003</v>
      </c>
      <c r="L10" s="69">
        <v>0.48759999999999998</v>
      </c>
      <c r="M10" s="69">
        <f t="shared" si="0"/>
        <v>31.803418803418808</v>
      </c>
      <c r="N10" s="69">
        <f t="shared" si="1"/>
        <v>45.411802853437095</v>
      </c>
      <c r="O10" s="69">
        <f t="shared" si="2"/>
        <v>54.74552474552474</v>
      </c>
      <c r="P10" s="69">
        <f t="shared" si="2"/>
        <v>47.603241237918574</v>
      </c>
    </row>
    <row r="11" spans="1:16" x14ac:dyDescent="0.35">
      <c r="A11" s="41" t="s">
        <v>157</v>
      </c>
      <c r="B11" t="s">
        <v>155</v>
      </c>
      <c r="C11" t="s">
        <v>259</v>
      </c>
      <c r="D11" s="57" t="s">
        <v>166</v>
      </c>
      <c r="E11" s="69">
        <v>7.2060000000000004</v>
      </c>
      <c r="F11" s="69">
        <v>3.601</v>
      </c>
      <c r="G11" s="69">
        <v>13.372</v>
      </c>
      <c r="H11" s="69">
        <v>2.0388000000000002</v>
      </c>
      <c r="I11" s="69">
        <v>2.5444</v>
      </c>
      <c r="J11" s="69">
        <v>1.8188</v>
      </c>
      <c r="K11" s="69">
        <v>8.5295000000000005</v>
      </c>
      <c r="L11" s="69">
        <v>0.78239999999999998</v>
      </c>
      <c r="M11" s="69">
        <f t="shared" si="0"/>
        <v>35.309464335276161</v>
      </c>
      <c r="N11" s="69">
        <f t="shared" si="1"/>
        <v>50.508192168841994</v>
      </c>
      <c r="O11" s="69">
        <f t="shared" si="2"/>
        <v>63.786269817529174</v>
      </c>
      <c r="P11" s="69">
        <f t="shared" si="2"/>
        <v>38.375515008828721</v>
      </c>
    </row>
    <row r="12" spans="1:16" x14ac:dyDescent="0.35">
      <c r="A12" s="41" t="s">
        <v>156</v>
      </c>
      <c r="B12" t="s">
        <v>154</v>
      </c>
      <c r="C12" t="s">
        <v>259</v>
      </c>
      <c r="D12" s="57" t="s">
        <v>167</v>
      </c>
      <c r="E12" s="69">
        <v>4.0129999999999999</v>
      </c>
      <c r="F12" s="69">
        <v>5</v>
      </c>
      <c r="G12" s="69">
        <v>11.472</v>
      </c>
      <c r="H12" s="69">
        <v>1.9851000000000001</v>
      </c>
      <c r="I12" s="69">
        <v>1.2242999999999999</v>
      </c>
      <c r="J12" s="69">
        <v>2.3586</v>
      </c>
      <c r="K12" s="69">
        <v>6.9492000000000003</v>
      </c>
      <c r="L12" s="69">
        <v>0.89559999999999995</v>
      </c>
      <c r="M12" s="69">
        <f t="shared" si="0"/>
        <v>30.508347869424369</v>
      </c>
      <c r="N12" s="69">
        <f t="shared" si="1"/>
        <v>47.172000000000004</v>
      </c>
      <c r="O12" s="69">
        <f t="shared" si="2"/>
        <v>60.575313807531387</v>
      </c>
      <c r="P12" s="69">
        <f t="shared" si="2"/>
        <v>45.116115057175953</v>
      </c>
    </row>
    <row r="13" spans="1:16" s="100" customFormat="1" ht="15" thickBot="1" x14ac:dyDescent="0.4">
      <c r="A13" s="76" t="s">
        <v>157</v>
      </c>
      <c r="B13" s="100" t="s">
        <v>155</v>
      </c>
      <c r="C13" t="s">
        <v>259</v>
      </c>
      <c r="D13" s="77" t="s">
        <v>167</v>
      </c>
      <c r="E13" s="98">
        <v>4.6820000000000004</v>
      </c>
      <c r="F13" s="98">
        <v>2.617</v>
      </c>
      <c r="G13" s="98">
        <v>11.465999999999999</v>
      </c>
      <c r="H13" s="98">
        <v>2.3170000000000002</v>
      </c>
      <c r="I13" s="98">
        <v>1.7222999999999999</v>
      </c>
      <c r="J13" s="98">
        <v>1.3680000000000001</v>
      </c>
      <c r="K13" s="98">
        <v>7.2144000000000004</v>
      </c>
      <c r="L13" s="98">
        <v>0.57799999999999996</v>
      </c>
      <c r="M13" s="98">
        <f t="shared" si="0"/>
        <v>36.785561725758221</v>
      </c>
      <c r="N13" s="98">
        <f t="shared" si="1"/>
        <v>52.273595720290409</v>
      </c>
      <c r="O13" s="98">
        <f t="shared" si="2"/>
        <v>62.9199372056515</v>
      </c>
      <c r="P13" s="98">
        <f t="shared" si="2"/>
        <v>24.946050927924034</v>
      </c>
    </row>
    <row r="14" spans="1:16" s="104" customFormat="1" x14ac:dyDescent="0.35">
      <c r="A14" s="70" t="s">
        <v>156</v>
      </c>
      <c r="B14" s="104" t="s">
        <v>154</v>
      </c>
      <c r="C14" t="s">
        <v>260</v>
      </c>
      <c r="D14" s="71" t="s">
        <v>168</v>
      </c>
      <c r="E14" s="110">
        <v>1.488</v>
      </c>
      <c r="F14" s="110">
        <v>1.492</v>
      </c>
      <c r="G14" s="110">
        <v>12.814</v>
      </c>
      <c r="H14" s="110">
        <v>0.73140000000000005</v>
      </c>
      <c r="I14" s="110">
        <v>0.4365</v>
      </c>
      <c r="J14" s="110">
        <v>0.66610000000000003</v>
      </c>
      <c r="K14" s="110">
        <v>8.1570999999999998</v>
      </c>
      <c r="L14" s="110">
        <v>0.30120000000000002</v>
      </c>
      <c r="M14" s="110">
        <f t="shared" si="0"/>
        <v>29.334677419354836</v>
      </c>
      <c r="N14" s="110">
        <f t="shared" si="1"/>
        <v>44.644772117962468</v>
      </c>
      <c r="O14" s="110">
        <f t="shared" si="2"/>
        <v>63.657718120805363</v>
      </c>
      <c r="P14" s="110">
        <f t="shared" si="2"/>
        <v>41.181296144380639</v>
      </c>
    </row>
    <row r="15" spans="1:16" x14ac:dyDescent="0.35">
      <c r="A15" s="41" t="s">
        <v>157</v>
      </c>
      <c r="B15" t="s">
        <v>155</v>
      </c>
      <c r="C15" t="s">
        <v>260</v>
      </c>
      <c r="D15" s="57" t="s">
        <v>168</v>
      </c>
      <c r="E15" s="69">
        <v>1.8959999999999999</v>
      </c>
      <c r="F15" s="69">
        <v>2.35</v>
      </c>
      <c r="G15" s="69">
        <v>14.028</v>
      </c>
      <c r="H15" s="69">
        <v>1.5463</v>
      </c>
      <c r="I15" s="69">
        <v>0.58560000000000001</v>
      </c>
      <c r="J15" s="69">
        <v>1.1817</v>
      </c>
      <c r="K15" s="69">
        <v>9.0401000000000007</v>
      </c>
      <c r="L15" s="69">
        <v>0.81230000000000002</v>
      </c>
      <c r="M15" s="69">
        <f t="shared" si="0"/>
        <v>30.886075949367093</v>
      </c>
      <c r="N15" s="69">
        <f t="shared" si="1"/>
        <v>50.285106382978718</v>
      </c>
      <c r="O15" s="69">
        <f t="shared" si="2"/>
        <v>64.443256344453943</v>
      </c>
      <c r="P15" s="69">
        <f t="shared" si="2"/>
        <v>52.531850223113238</v>
      </c>
    </row>
    <row r="16" spans="1:16" x14ac:dyDescent="0.35">
      <c r="A16" s="41" t="s">
        <v>156</v>
      </c>
      <c r="B16" t="s">
        <v>154</v>
      </c>
      <c r="C16" t="s">
        <v>260</v>
      </c>
      <c r="D16" s="57" t="s">
        <v>169</v>
      </c>
      <c r="E16" s="69">
        <v>2.835</v>
      </c>
      <c r="F16" s="69">
        <v>4.298</v>
      </c>
      <c r="G16" s="69">
        <v>10.775</v>
      </c>
      <c r="H16" s="69">
        <v>1.5629</v>
      </c>
      <c r="I16" s="69">
        <v>0.87019999999999997</v>
      </c>
      <c r="J16" s="69">
        <v>1.8995</v>
      </c>
      <c r="K16" s="69">
        <v>6.7281000000000004</v>
      </c>
      <c r="L16" s="69">
        <v>0.66649999999999998</v>
      </c>
      <c r="M16" s="69">
        <f t="shared" si="0"/>
        <v>30.694885361552025</v>
      </c>
      <c r="N16" s="69">
        <f t="shared" si="1"/>
        <v>44.194974406700787</v>
      </c>
      <c r="O16" s="69">
        <f t="shared" si="2"/>
        <v>62.441763341067293</v>
      </c>
      <c r="P16" s="69">
        <f t="shared" si="2"/>
        <v>42.64508285878815</v>
      </c>
    </row>
    <row r="17" spans="1:16" x14ac:dyDescent="0.35">
      <c r="A17" s="41" t="s">
        <v>157</v>
      </c>
      <c r="B17" t="s">
        <v>155</v>
      </c>
      <c r="C17" t="s">
        <v>260</v>
      </c>
      <c r="D17" s="57" t="s">
        <v>169</v>
      </c>
      <c r="E17" s="69">
        <v>1.885</v>
      </c>
      <c r="F17" s="69">
        <v>1.377</v>
      </c>
      <c r="G17" s="69">
        <v>12.023999999999999</v>
      </c>
      <c r="H17" s="69">
        <v>1.0875999999999999</v>
      </c>
      <c r="I17" s="69">
        <v>0.62529999999999997</v>
      </c>
      <c r="J17" s="69">
        <v>0.69020000000000004</v>
      </c>
      <c r="K17" s="69">
        <v>7.8072999999999997</v>
      </c>
      <c r="L17" s="69">
        <v>0.43330000000000002</v>
      </c>
      <c r="M17" s="69">
        <f t="shared" si="0"/>
        <v>33.172413793103445</v>
      </c>
      <c r="N17" s="69">
        <f t="shared" si="1"/>
        <v>50.123456790123456</v>
      </c>
      <c r="O17" s="69">
        <f t="shared" si="2"/>
        <v>64.93097139055223</v>
      </c>
      <c r="P17" s="69">
        <f t="shared" si="2"/>
        <v>39.84001471129092</v>
      </c>
    </row>
    <row r="18" spans="1:16" x14ac:dyDescent="0.35">
      <c r="A18" s="41" t="s">
        <v>156</v>
      </c>
      <c r="B18" t="s">
        <v>154</v>
      </c>
      <c r="C18" t="s">
        <v>260</v>
      </c>
      <c r="D18" s="57" t="s">
        <v>170</v>
      </c>
      <c r="E18" s="69">
        <v>2.931</v>
      </c>
      <c r="F18" s="69">
        <v>3.64</v>
      </c>
      <c r="G18" s="69">
        <v>13.288</v>
      </c>
      <c r="H18" s="69">
        <v>1.0047999999999999</v>
      </c>
      <c r="I18" s="69">
        <v>0.83450000000000002</v>
      </c>
      <c r="J18" s="69">
        <v>1.5965</v>
      </c>
      <c r="K18" s="69">
        <v>7.9846000000000004</v>
      </c>
      <c r="L18" s="69">
        <v>0.38619999999999999</v>
      </c>
      <c r="M18" s="69">
        <f t="shared" si="0"/>
        <v>28.471511429546233</v>
      </c>
      <c r="N18" s="69">
        <f t="shared" si="1"/>
        <v>43.859890109890109</v>
      </c>
      <c r="O18" s="69">
        <f t="shared" si="2"/>
        <v>60.088801926550275</v>
      </c>
      <c r="P18" s="69">
        <f t="shared" si="2"/>
        <v>38.435509554140133</v>
      </c>
    </row>
    <row r="19" spans="1:16" x14ac:dyDescent="0.35">
      <c r="A19" s="41" t="s">
        <v>157</v>
      </c>
      <c r="B19" t="s">
        <v>155</v>
      </c>
      <c r="C19" t="s">
        <v>260</v>
      </c>
      <c r="D19" s="57" t="s">
        <v>170</v>
      </c>
      <c r="E19" s="69">
        <v>1.073</v>
      </c>
      <c r="F19" s="69">
        <v>2.2909999999999999</v>
      </c>
      <c r="G19" s="69">
        <v>9.1969999999999992</v>
      </c>
      <c r="H19" s="69">
        <v>1.1068</v>
      </c>
      <c r="I19" s="69">
        <v>0.3226</v>
      </c>
      <c r="J19" s="69">
        <v>1.0116000000000001</v>
      </c>
      <c r="K19" s="69">
        <v>5.0102000000000002</v>
      </c>
      <c r="L19" s="69">
        <v>0.50880000000000003</v>
      </c>
      <c r="M19" s="69">
        <f t="shared" si="0"/>
        <v>30.065237651444548</v>
      </c>
      <c r="N19" s="69">
        <f t="shared" si="1"/>
        <v>44.155390659100831</v>
      </c>
      <c r="O19" s="69">
        <f t="shared" si="2"/>
        <v>54.476459715124506</v>
      </c>
      <c r="P19" s="69">
        <f t="shared" si="2"/>
        <v>45.970365016263102</v>
      </c>
    </row>
    <row r="20" spans="1:16" x14ac:dyDescent="0.35">
      <c r="A20" s="41" t="s">
        <v>156</v>
      </c>
      <c r="B20" t="s">
        <v>154</v>
      </c>
      <c r="C20" t="s">
        <v>260</v>
      </c>
      <c r="D20" s="57" t="s">
        <v>171</v>
      </c>
      <c r="E20" s="69">
        <v>1.5840000000000001</v>
      </c>
      <c r="F20" s="69">
        <v>2.4430000000000001</v>
      </c>
      <c r="G20" s="69">
        <v>11.329000000000001</v>
      </c>
      <c r="H20" s="69">
        <v>0.74970000000000003</v>
      </c>
      <c r="I20" s="69">
        <v>0.47310000000000002</v>
      </c>
      <c r="J20" s="69">
        <v>1.0931</v>
      </c>
      <c r="K20" s="69">
        <v>6.6398000000000001</v>
      </c>
      <c r="L20" s="69">
        <v>0.3221</v>
      </c>
      <c r="M20" s="69">
        <f t="shared" si="0"/>
        <v>29.867424242424239</v>
      </c>
      <c r="N20" s="69">
        <f t="shared" si="1"/>
        <v>44.744167007777321</v>
      </c>
      <c r="O20" s="69">
        <f t="shared" si="2"/>
        <v>58.608879865831057</v>
      </c>
      <c r="P20" s="69">
        <f t="shared" si="2"/>
        <v>42.963852207549685</v>
      </c>
    </row>
    <row r="21" spans="1:16" x14ac:dyDescent="0.35">
      <c r="A21" s="41" t="s">
        <v>157</v>
      </c>
      <c r="B21" t="s">
        <v>155</v>
      </c>
      <c r="C21" t="s">
        <v>260</v>
      </c>
      <c r="D21" s="57" t="s">
        <v>171</v>
      </c>
      <c r="E21" s="69">
        <v>1.6830000000000001</v>
      </c>
      <c r="F21" s="69">
        <v>2.2709999999999999</v>
      </c>
      <c r="G21" s="69">
        <v>9.3539999999999992</v>
      </c>
      <c r="H21" s="69">
        <v>1.3946000000000001</v>
      </c>
      <c r="I21" s="69">
        <v>0.47820000000000001</v>
      </c>
      <c r="J21" s="69">
        <v>1.0629999999999999</v>
      </c>
      <c r="K21" s="69">
        <v>5.3109999999999999</v>
      </c>
      <c r="L21" s="69">
        <v>0.64349999999999996</v>
      </c>
      <c r="M21" s="69">
        <f t="shared" si="0"/>
        <v>28.413547237076646</v>
      </c>
      <c r="N21" s="69">
        <f t="shared" si="1"/>
        <v>46.807573756054602</v>
      </c>
      <c r="O21" s="69">
        <f t="shared" si="2"/>
        <v>56.777849048535387</v>
      </c>
      <c r="P21" s="69">
        <f t="shared" si="2"/>
        <v>46.142263014484435</v>
      </c>
    </row>
    <row r="22" spans="1:16" x14ac:dyDescent="0.35">
      <c r="A22" s="41" t="s">
        <v>156</v>
      </c>
      <c r="B22" t="s">
        <v>154</v>
      </c>
      <c r="C22" t="s">
        <v>260</v>
      </c>
      <c r="D22" s="57" t="s">
        <v>172</v>
      </c>
      <c r="E22" s="69">
        <v>1.282</v>
      </c>
      <c r="F22" s="69">
        <v>2.5270000000000001</v>
      </c>
      <c r="G22" s="69">
        <v>11.114000000000001</v>
      </c>
      <c r="H22" s="69">
        <v>0.64380000000000004</v>
      </c>
      <c r="I22" s="69">
        <v>0.35909999999999997</v>
      </c>
      <c r="J22" s="69">
        <v>1.0723</v>
      </c>
      <c r="K22" s="69">
        <v>6.5303000000000004</v>
      </c>
      <c r="L22" s="69">
        <v>0.3115</v>
      </c>
      <c r="M22" s="69">
        <f t="shared" si="0"/>
        <v>28.010920436817472</v>
      </c>
      <c r="N22" s="69">
        <f t="shared" si="1"/>
        <v>42.433715868618918</v>
      </c>
      <c r="O22" s="69">
        <f t="shared" si="2"/>
        <v>58.757423070001799</v>
      </c>
      <c r="P22" s="69">
        <f t="shared" si="2"/>
        <v>48.38459148803976</v>
      </c>
    </row>
    <row r="23" spans="1:16" x14ac:dyDescent="0.35">
      <c r="A23" s="41" t="s">
        <v>158</v>
      </c>
      <c r="B23" t="s">
        <v>155</v>
      </c>
      <c r="C23" t="s">
        <v>260</v>
      </c>
      <c r="D23" s="57" t="s">
        <v>172</v>
      </c>
      <c r="E23" s="69">
        <v>0.59399999999999997</v>
      </c>
      <c r="F23" s="69">
        <v>1.5169999999999999</v>
      </c>
      <c r="G23" s="69">
        <v>8.6679999999999993</v>
      </c>
      <c r="H23" s="69">
        <v>0.67989999999999995</v>
      </c>
      <c r="I23" s="69">
        <v>0.1996</v>
      </c>
      <c r="J23" s="69">
        <v>0.63929999999999998</v>
      </c>
      <c r="K23" s="69">
        <v>5.3155000000000001</v>
      </c>
      <c r="L23" s="69">
        <v>0.31409999999999999</v>
      </c>
      <c r="M23" s="69">
        <f t="shared" si="0"/>
        <v>33.602693602693606</v>
      </c>
      <c r="N23" s="69">
        <f t="shared" si="1"/>
        <v>42.142386288727749</v>
      </c>
      <c r="O23" s="69">
        <f t="shared" si="2"/>
        <v>61.323257960313803</v>
      </c>
      <c r="P23" s="69">
        <f t="shared" si="2"/>
        <v>46.197970289748497</v>
      </c>
    </row>
    <row r="24" spans="1:16" x14ac:dyDescent="0.35">
      <c r="A24" s="41" t="s">
        <v>156</v>
      </c>
      <c r="B24" t="s">
        <v>154</v>
      </c>
      <c r="C24" t="s">
        <v>260</v>
      </c>
      <c r="D24" s="57" t="s">
        <v>173</v>
      </c>
      <c r="E24" s="69">
        <v>1.536</v>
      </c>
      <c r="F24" s="69">
        <v>3.161</v>
      </c>
      <c r="G24" s="69">
        <v>14.46</v>
      </c>
      <c r="H24" s="69">
        <v>1.353</v>
      </c>
      <c r="I24" s="69">
        <v>0.42399999999999999</v>
      </c>
      <c r="J24" s="69">
        <v>1.3380000000000001</v>
      </c>
      <c r="K24" s="69">
        <v>8.6968999999999994</v>
      </c>
      <c r="L24" s="69">
        <v>0.62139999999999995</v>
      </c>
      <c r="M24" s="69">
        <f t="shared" si="0"/>
        <v>27.604166666666664</v>
      </c>
      <c r="N24" s="69">
        <f t="shared" si="1"/>
        <v>42.328377095855743</v>
      </c>
      <c r="O24" s="69">
        <f t="shared" si="2"/>
        <v>60.144536652835399</v>
      </c>
      <c r="P24" s="69">
        <f t="shared" si="2"/>
        <v>45.927568366592752</v>
      </c>
    </row>
    <row r="25" spans="1:16" s="100" customFormat="1" ht="15" thickBot="1" x14ac:dyDescent="0.4">
      <c r="A25" s="76" t="s">
        <v>157</v>
      </c>
      <c r="B25" s="100" t="s">
        <v>155</v>
      </c>
      <c r="C25" t="s">
        <v>260</v>
      </c>
      <c r="D25" s="77" t="s">
        <v>173</v>
      </c>
      <c r="E25" s="98">
        <v>1.472</v>
      </c>
      <c r="F25" s="98">
        <v>1.4930000000000001</v>
      </c>
      <c r="G25" s="98">
        <v>12.321999999999999</v>
      </c>
      <c r="H25" s="98">
        <v>1.7732000000000001</v>
      </c>
      <c r="I25" s="98">
        <v>0.4662</v>
      </c>
      <c r="J25" s="98">
        <v>0.74029999999999996</v>
      </c>
      <c r="K25" s="98">
        <v>7.7149999999999999</v>
      </c>
      <c r="L25" s="98">
        <v>0.79079999999999995</v>
      </c>
      <c r="M25" s="98">
        <f t="shared" si="0"/>
        <v>31.67119565217391</v>
      </c>
      <c r="N25" s="98">
        <f t="shared" si="1"/>
        <v>49.584728734092423</v>
      </c>
      <c r="O25" s="98">
        <f t="shared" si="2"/>
        <v>62.61158902775523</v>
      </c>
      <c r="P25" s="98">
        <f t="shared" si="2"/>
        <v>44.597338145725232</v>
      </c>
    </row>
    <row r="28" spans="1:16" x14ac:dyDescent="0.35">
      <c r="C28" s="57" t="s">
        <v>159</v>
      </c>
    </row>
    <row r="29" spans="1:16" x14ac:dyDescent="0.35">
      <c r="C29" s="57" t="s">
        <v>154</v>
      </c>
    </row>
    <row r="30" spans="1:16" x14ac:dyDescent="0.35">
      <c r="C30" s="57" t="s">
        <v>155</v>
      </c>
    </row>
    <row r="33" spans="3:3" x14ac:dyDescent="0.35">
      <c r="C33" s="57" t="s">
        <v>184</v>
      </c>
    </row>
    <row r="34" spans="3:3" x14ac:dyDescent="0.35">
      <c r="C34" s="57" t="s">
        <v>180</v>
      </c>
    </row>
    <row r="35" spans="3:3" x14ac:dyDescent="0.35">
      <c r="C35" s="57" t="s">
        <v>185</v>
      </c>
    </row>
    <row r="36" spans="3:3" x14ac:dyDescent="0.35">
      <c r="C36" s="57" t="s">
        <v>199</v>
      </c>
    </row>
    <row r="37" spans="3:3" x14ac:dyDescent="0.35">
      <c r="C37" s="57" t="s">
        <v>221</v>
      </c>
    </row>
    <row r="38" spans="3:3" x14ac:dyDescent="0.35">
      <c r="C38" s="57" t="s">
        <v>197</v>
      </c>
    </row>
    <row r="39" spans="3:3" x14ac:dyDescent="0.35">
      <c r="C39" s="5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Plano</vt:lpstr>
      <vt:lpstr>Tareas</vt:lpstr>
      <vt:lpstr>Completo</vt:lpstr>
      <vt:lpstr>Biomasa</vt:lpstr>
      <vt:lpstr>Li-6400</vt:lpstr>
      <vt:lpstr>Li-600</vt:lpstr>
      <vt:lpstr>Ymd</vt:lpstr>
      <vt:lpstr>Ypd</vt:lpstr>
      <vt:lpstr>Nº Hojas</vt:lpstr>
      <vt:lpstr>Peso seco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Flor</dc:creator>
  <cp:lastModifiedBy>Luis Flor Chacón</cp:lastModifiedBy>
  <dcterms:created xsi:type="dcterms:W3CDTF">2025-04-04T10:57:26Z</dcterms:created>
  <dcterms:modified xsi:type="dcterms:W3CDTF">2025-12-03T16:48:37Z</dcterms:modified>
</cp:coreProperties>
</file>